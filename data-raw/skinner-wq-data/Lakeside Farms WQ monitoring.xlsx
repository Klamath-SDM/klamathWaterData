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I:\ES\Water Quality\Tx wetland and ag WQ monitoring (Merkley, KWP)\Data\"/>
    </mc:Choice>
  </mc:AlternateContent>
  <xr:revisionPtr revIDLastSave="0" documentId="13_ncr:1_{8DD8CA7B-D249-4B35-89B1-C86AACD00CA0}" xr6:coauthVersionLast="47" xr6:coauthVersionMax="47" xr10:uidLastSave="{00000000-0000-0000-0000-000000000000}"/>
  <bookViews>
    <workbookView xWindow="28680" yWindow="-120" windowWidth="21840" windowHeight="13020" activeTab="2" xr2:uid="{00000000-000D-0000-FFFF-FFFF00000000}"/>
  </bookViews>
  <sheets>
    <sheet name="Sample sites" sheetId="3" r:id="rId1"/>
    <sheet name="Metadata" sheetId="2" r:id="rId2"/>
    <sheet name="Lakeside_data" sheetId="1" r:id="rId3"/>
    <sheet name="Figur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2" i="1" l="1"/>
  <c r="V371" i="1"/>
  <c r="V370" i="1"/>
  <c r="V369" i="1"/>
  <c r="V368" i="1"/>
  <c r="V367" i="1"/>
  <c r="V366" i="1"/>
  <c r="U371" i="1"/>
  <c r="U370" i="1"/>
  <c r="U369" i="1"/>
  <c r="U368" i="1"/>
  <c r="U367" i="1"/>
  <c r="U366" i="1"/>
  <c r="T371" i="1"/>
  <c r="T370" i="1"/>
  <c r="T369" i="1"/>
  <c r="T368" i="1"/>
  <c r="T367" i="1"/>
  <c r="T366" i="1"/>
  <c r="B368" i="1"/>
  <c r="B375" i="1"/>
  <c r="B374" i="1"/>
  <c r="B373" i="1"/>
  <c r="B370" i="1"/>
  <c r="B372" i="1"/>
  <c r="B371" i="1"/>
  <c r="B369" i="1"/>
  <c r="B367" i="1"/>
  <c r="B366" i="1"/>
  <c r="T365" i="1"/>
  <c r="V364" i="1"/>
  <c r="T364" i="1"/>
  <c r="U364" i="1" s="1"/>
  <c r="V363" i="1"/>
  <c r="T363" i="1"/>
  <c r="U363" i="1" s="1"/>
  <c r="V362" i="1"/>
  <c r="T362" i="1"/>
  <c r="U362" i="1" s="1"/>
  <c r="V361" i="1"/>
  <c r="T361" i="1"/>
  <c r="U361" i="1" s="1"/>
  <c r="B365" i="1"/>
  <c r="B364" i="1"/>
  <c r="B363" i="1"/>
  <c r="B362" i="1"/>
  <c r="B361" i="1"/>
  <c r="B360" i="1"/>
  <c r="B359" i="1"/>
  <c r="B358" i="1"/>
  <c r="V357" i="1"/>
  <c r="T357" i="1"/>
  <c r="U357" i="1" s="1"/>
  <c r="V356" i="1"/>
  <c r="T356" i="1"/>
  <c r="U356" i="1" s="1"/>
  <c r="V355" i="1"/>
  <c r="T355" i="1"/>
  <c r="U355" i="1" s="1"/>
  <c r="V354" i="1"/>
  <c r="U354" i="1"/>
  <c r="T354" i="1"/>
  <c r="V353" i="1"/>
  <c r="T353" i="1"/>
  <c r="U353" i="1" s="1"/>
  <c r="B357" i="1"/>
  <c r="B356" i="1"/>
  <c r="B355" i="1"/>
  <c r="B354" i="1"/>
  <c r="B353" i="1"/>
  <c r="B352" i="1"/>
  <c r="B351" i="1"/>
  <c r="B350" i="1"/>
  <c r="V349" i="1"/>
  <c r="V348" i="1"/>
  <c r="V347" i="1"/>
  <c r="V346" i="1"/>
  <c r="V345" i="1"/>
  <c r="T349" i="1"/>
  <c r="U349" i="1" s="1"/>
  <c r="T348" i="1"/>
  <c r="U348" i="1" s="1"/>
  <c r="T347" i="1"/>
  <c r="U347" i="1" s="1"/>
  <c r="T346" i="1"/>
  <c r="U346" i="1" s="1"/>
  <c r="T345" i="1"/>
  <c r="U345" i="1" s="1"/>
  <c r="B344" i="1"/>
  <c r="B343" i="1"/>
  <c r="B342" i="1"/>
  <c r="B349" i="1"/>
  <c r="B348" i="1"/>
  <c r="B347" i="1"/>
  <c r="B346" i="1"/>
  <c r="B345" i="1"/>
  <c r="V340" i="1"/>
  <c r="T340" i="1"/>
  <c r="U340" i="1" s="1"/>
  <c r="V339" i="1"/>
  <c r="T339" i="1"/>
  <c r="U339" i="1" s="1"/>
  <c r="V338" i="1"/>
  <c r="T338" i="1"/>
  <c r="U338" i="1" s="1"/>
  <c r="V337" i="1"/>
  <c r="T337" i="1"/>
  <c r="U337" i="1" s="1"/>
  <c r="V336" i="1"/>
  <c r="T336" i="1"/>
  <c r="U336" i="1" s="1"/>
  <c r="B341" i="1"/>
  <c r="B340" i="1"/>
  <c r="B339" i="1"/>
  <c r="B338" i="1"/>
  <c r="B337" i="1"/>
  <c r="B336" i="1"/>
  <c r="B335" i="1"/>
  <c r="B334" i="1"/>
  <c r="B333" i="1"/>
  <c r="T328" i="1"/>
  <c r="U328" i="1" s="1"/>
  <c r="V332" i="1"/>
  <c r="T332" i="1"/>
  <c r="U332" i="1" s="1"/>
  <c r="V331" i="1"/>
  <c r="T331" i="1"/>
  <c r="U331" i="1" s="1"/>
  <c r="V330" i="1"/>
  <c r="T330" i="1"/>
  <c r="U330" i="1" s="1"/>
  <c r="V329" i="1"/>
  <c r="T329" i="1"/>
  <c r="U329" i="1" s="1"/>
  <c r="V328" i="1"/>
  <c r="B332" i="1"/>
  <c r="B331" i="1"/>
  <c r="B330" i="1"/>
  <c r="B329" i="1"/>
  <c r="B328" i="1"/>
  <c r="B327" i="1"/>
  <c r="B326" i="1"/>
  <c r="B325" i="1"/>
  <c r="B2" i="1"/>
  <c r="V323" i="1"/>
  <c r="T323" i="1"/>
  <c r="U323" i="1" s="1"/>
  <c r="V322" i="1"/>
  <c r="T322" i="1"/>
  <c r="U322" i="1" s="1"/>
  <c r="V321" i="1"/>
  <c r="T321" i="1"/>
  <c r="U321" i="1" s="1"/>
  <c r="V320" i="1"/>
  <c r="T320" i="1"/>
  <c r="U320" i="1" s="1"/>
  <c r="B319" i="1"/>
  <c r="B322" i="1"/>
  <c r="B324" i="1"/>
  <c r="B323" i="1"/>
  <c r="B321" i="1"/>
  <c r="B318" i="1"/>
  <c r="B320" i="1"/>
  <c r="B317" i="1"/>
  <c r="V312" i="1"/>
  <c r="T312" i="1"/>
  <c r="U312" i="1" s="1"/>
  <c r="V307" i="1"/>
  <c r="T307" i="1"/>
  <c r="U307" i="1" s="1"/>
  <c r="V314" i="1"/>
  <c r="T314" i="1"/>
  <c r="U314" i="1" s="1"/>
  <c r="V313" i="1"/>
  <c r="T313" i="1"/>
  <c r="U313" i="1" s="1"/>
  <c r="V315" i="1"/>
  <c r="T315" i="1"/>
  <c r="U315" i="1" s="1"/>
  <c r="V311" i="1"/>
  <c r="T311" i="1"/>
  <c r="U311" i="1" s="1"/>
  <c r="V309" i="1"/>
  <c r="T309" i="1"/>
  <c r="U309" i="1" s="1"/>
  <c r="V306" i="1"/>
  <c r="T306" i="1"/>
  <c r="U306" i="1" s="1"/>
  <c r="V296" i="1"/>
  <c r="T296" i="1"/>
  <c r="U296" i="1" s="1"/>
  <c r="V301" i="1"/>
  <c r="T301" i="1"/>
  <c r="U301" i="1" s="1"/>
  <c r="V295" i="1"/>
  <c r="T295" i="1"/>
  <c r="U295" i="1" s="1"/>
  <c r="V302" i="1"/>
  <c r="T302" i="1"/>
  <c r="U302" i="1" s="1"/>
  <c r="V303" i="1"/>
  <c r="T303" i="1"/>
  <c r="U303" i="1" s="1"/>
  <c r="V300" i="1"/>
  <c r="T300" i="1"/>
  <c r="U300" i="1" s="1"/>
  <c r="V298" i="1"/>
  <c r="T298" i="1"/>
  <c r="U298" i="1" s="1"/>
  <c r="B312" i="1"/>
  <c r="B307" i="1"/>
  <c r="B316" i="1"/>
  <c r="B308" i="1"/>
  <c r="B310" i="1"/>
  <c r="B314" i="1"/>
  <c r="B313" i="1"/>
  <c r="B315" i="1"/>
  <c r="B311" i="1"/>
  <c r="B309" i="1"/>
  <c r="B306" i="1"/>
  <c r="B296" i="1"/>
  <c r="B301" i="1"/>
  <c r="B295" i="1"/>
  <c r="B305" i="1"/>
  <c r="B297" i="1"/>
  <c r="B299" i="1"/>
  <c r="B304" i="1"/>
  <c r="B302" i="1"/>
  <c r="B303" i="1"/>
  <c r="B300" i="1"/>
  <c r="B298" i="1"/>
  <c r="V286" i="1"/>
  <c r="V292" i="1"/>
  <c r="V291" i="1"/>
  <c r="V293" i="1"/>
  <c r="V290" i="1"/>
  <c r="V288" i="1"/>
  <c r="T286" i="1"/>
  <c r="U286" i="1" s="1"/>
  <c r="T292" i="1"/>
  <c r="U292" i="1" s="1"/>
  <c r="T291" i="1"/>
  <c r="U291" i="1" s="1"/>
  <c r="T293" i="1"/>
  <c r="U293" i="1" s="1"/>
  <c r="T290" i="1"/>
  <c r="U290" i="1" s="1"/>
  <c r="T288" i="1"/>
  <c r="U288" i="1" s="1"/>
  <c r="B286" i="1"/>
  <c r="B294" i="1"/>
  <c r="B287" i="1"/>
  <c r="B289" i="1"/>
  <c r="B292" i="1"/>
  <c r="B291" i="1"/>
  <c r="B293" i="1"/>
  <c r="B290" i="1"/>
  <c r="B288" i="1"/>
  <c r="V283" i="1"/>
  <c r="V282" i="1"/>
  <c r="V284" i="1"/>
  <c r="V281" i="1"/>
  <c r="V279" i="1"/>
  <c r="T283" i="1"/>
  <c r="U283" i="1" s="1"/>
  <c r="T282" i="1"/>
  <c r="U282" i="1" s="1"/>
  <c r="T284" i="1"/>
  <c r="U284" i="1" s="1"/>
  <c r="T281" i="1"/>
  <c r="U281" i="1" s="1"/>
  <c r="T279" i="1"/>
  <c r="U279" i="1" s="1"/>
  <c r="V274" i="1"/>
  <c r="V276" i="1"/>
  <c r="V273" i="1"/>
  <c r="V271" i="1"/>
  <c r="T275" i="1"/>
  <c r="T274" i="1"/>
  <c r="U274" i="1" s="1"/>
  <c r="T276" i="1"/>
  <c r="U276" i="1" s="1"/>
  <c r="T273" i="1"/>
  <c r="U273" i="1" s="1"/>
  <c r="T271" i="1"/>
  <c r="U271" i="1" s="1"/>
  <c r="B285" i="1" l="1"/>
  <c r="B278" i="1"/>
  <c r="B280" i="1"/>
  <c r="B283" i="1"/>
  <c r="B282" i="1"/>
  <c r="B284" i="1"/>
  <c r="B281" i="1"/>
  <c r="B279" i="1"/>
  <c r="B277" i="1"/>
  <c r="B270" i="1"/>
  <c r="B272" i="1"/>
  <c r="B275" i="1"/>
  <c r="B274" i="1"/>
  <c r="B276" i="1"/>
  <c r="B273" i="1"/>
  <c r="B271" i="1"/>
  <c r="T267" i="1"/>
  <c r="V266" i="1"/>
  <c r="T266" i="1"/>
  <c r="U266" i="1" s="1"/>
  <c r="V268" i="1"/>
  <c r="T268" i="1"/>
  <c r="U268" i="1" s="1"/>
  <c r="V265" i="1"/>
  <c r="T265" i="1"/>
  <c r="U265" i="1" s="1"/>
  <c r="V263" i="1"/>
  <c r="T263" i="1"/>
  <c r="U263" i="1" s="1"/>
  <c r="B269" i="1"/>
  <c r="B262" i="1"/>
  <c r="B264" i="1"/>
  <c r="B267" i="1"/>
  <c r="B266" i="1"/>
  <c r="B268" i="1"/>
  <c r="B265" i="1"/>
  <c r="B263" i="1"/>
  <c r="V259" i="1"/>
  <c r="V258" i="1"/>
  <c r="V260" i="1"/>
  <c r="V257" i="1"/>
  <c r="V255" i="1"/>
  <c r="T259" i="1"/>
  <c r="U259" i="1" s="1"/>
  <c r="T258" i="1"/>
  <c r="U258" i="1" s="1"/>
  <c r="T260" i="1"/>
  <c r="U260" i="1" s="1"/>
  <c r="T257" i="1"/>
  <c r="U257" i="1" s="1"/>
  <c r="T255" i="1"/>
  <c r="U255" i="1" s="1"/>
  <c r="B261" i="1"/>
  <c r="B254" i="1"/>
  <c r="B256" i="1"/>
  <c r="B259" i="1"/>
  <c r="B258" i="1"/>
  <c r="B260" i="1"/>
  <c r="B257" i="1"/>
  <c r="B255" i="1"/>
  <c r="V250" i="1"/>
  <c r="V252" i="1"/>
  <c r="V249" i="1"/>
  <c r="V247" i="1"/>
  <c r="T251" i="1"/>
  <c r="T250" i="1"/>
  <c r="U250" i="1" s="1"/>
  <c r="T252" i="1"/>
  <c r="U252" i="1" s="1"/>
  <c r="T249" i="1"/>
  <c r="U249" i="1" s="1"/>
  <c r="T247" i="1"/>
  <c r="U247" i="1" s="1"/>
  <c r="B253" i="1"/>
  <c r="B246" i="1"/>
  <c r="B248" i="1"/>
  <c r="B251" i="1"/>
  <c r="B250" i="1"/>
  <c r="B252" i="1"/>
  <c r="B249" i="1"/>
  <c r="B247" i="1"/>
  <c r="V243" i="1"/>
  <c r="V242" i="1"/>
  <c r="V244" i="1"/>
  <c r="V241" i="1"/>
  <c r="V239" i="1"/>
  <c r="T243" i="1"/>
  <c r="U243" i="1" s="1"/>
  <c r="T242" i="1"/>
  <c r="U242" i="1" s="1"/>
  <c r="T244" i="1"/>
  <c r="U244" i="1" s="1"/>
  <c r="T241" i="1"/>
  <c r="U241" i="1" s="1"/>
  <c r="T239" i="1"/>
  <c r="U239" i="1" s="1"/>
  <c r="B245" i="1"/>
  <c r="B238" i="1"/>
  <c r="B240" i="1"/>
  <c r="B243" i="1"/>
  <c r="B242" i="1"/>
  <c r="B244" i="1"/>
  <c r="B241" i="1"/>
  <c r="B239" i="1"/>
  <c r="V234" i="1"/>
  <c r="T234" i="1"/>
  <c r="U234" i="1" s="1"/>
  <c r="V229" i="1"/>
  <c r="T229" i="1"/>
  <c r="U229" i="1" s="1"/>
  <c r="V236" i="1"/>
  <c r="T236" i="1"/>
  <c r="U236" i="1" s="1"/>
  <c r="V233" i="1"/>
  <c r="T233" i="1"/>
  <c r="U233" i="1" s="1"/>
  <c r="V231" i="1"/>
  <c r="T231" i="1"/>
  <c r="U231" i="1" s="1"/>
  <c r="B230" i="1"/>
  <c r="B232" i="1"/>
  <c r="B237" i="1"/>
  <c r="B235" i="1"/>
  <c r="B234" i="1"/>
  <c r="B229" i="1"/>
  <c r="B236" i="1"/>
  <c r="B233" i="1"/>
  <c r="B231" i="1"/>
  <c r="V226" i="1"/>
  <c r="T226" i="1"/>
  <c r="U226" i="1" s="1"/>
  <c r="V225" i="1"/>
  <c r="T225" i="1"/>
  <c r="U225" i="1" s="1"/>
  <c r="V227" i="1"/>
  <c r="T227" i="1"/>
  <c r="U227" i="1" s="1"/>
  <c r="V224" i="1"/>
  <c r="T224" i="1"/>
  <c r="U224" i="1" s="1"/>
  <c r="V222" i="1"/>
  <c r="T222" i="1"/>
  <c r="U222" i="1" s="1"/>
  <c r="V217" i="1"/>
  <c r="V219" i="1"/>
  <c r="V215" i="1"/>
  <c r="V213" i="1"/>
  <c r="T218" i="1"/>
  <c r="T217" i="1"/>
  <c r="U217" i="1" s="1"/>
  <c r="T219" i="1"/>
  <c r="U219" i="1" s="1"/>
  <c r="T215" i="1"/>
  <c r="U215" i="1" s="1"/>
  <c r="T213" i="1"/>
  <c r="U213" i="1" s="1"/>
  <c r="B228" i="1"/>
  <c r="B221" i="1"/>
  <c r="B223" i="1"/>
  <c r="B226" i="1"/>
  <c r="B225" i="1"/>
  <c r="B227" i="1"/>
  <c r="B224" i="1"/>
  <c r="B222" i="1"/>
  <c r="B216" i="1"/>
  <c r="B220" i="1"/>
  <c r="B212" i="1"/>
  <c r="B214" i="1"/>
  <c r="B218" i="1"/>
  <c r="B217" i="1"/>
  <c r="B219" i="1"/>
  <c r="B215" i="1"/>
  <c r="B213" i="1"/>
  <c r="V209" i="1"/>
  <c r="V210" i="1"/>
  <c r="V208" i="1"/>
  <c r="V205" i="1"/>
  <c r="T209" i="1"/>
  <c r="U209" i="1" s="1"/>
  <c r="T210" i="1"/>
  <c r="U210" i="1" s="1"/>
  <c r="T208" i="1"/>
  <c r="U208" i="1" s="1"/>
  <c r="T206" i="1"/>
  <c r="T205" i="1"/>
  <c r="U205" i="1" s="1"/>
  <c r="V199" i="1"/>
  <c r="V201" i="1"/>
  <c r="V200" i="1"/>
  <c r="V202" i="1"/>
  <c r="V194" i="1"/>
  <c r="V198" i="1"/>
  <c r="V196" i="1"/>
  <c r="T199" i="1"/>
  <c r="U199" i="1" s="1"/>
  <c r="T201" i="1"/>
  <c r="U201" i="1" s="1"/>
  <c r="T200" i="1"/>
  <c r="U200" i="1" s="1"/>
  <c r="T202" i="1"/>
  <c r="U202" i="1" s="1"/>
  <c r="T194" i="1"/>
  <c r="U194" i="1" s="1"/>
  <c r="T198" i="1"/>
  <c r="U198" i="1" s="1"/>
  <c r="T196" i="1"/>
  <c r="U196" i="1" s="1"/>
  <c r="B211" i="1"/>
  <c r="B204" i="1"/>
  <c r="B207" i="1"/>
  <c r="B209" i="1"/>
  <c r="B210" i="1"/>
  <c r="B208" i="1"/>
  <c r="B206" i="1"/>
  <c r="B205" i="1"/>
  <c r="B201" i="1"/>
  <c r="B203" i="1"/>
  <c r="B195" i="1"/>
  <c r="B197" i="1"/>
  <c r="B199" i="1"/>
  <c r="B200" i="1"/>
  <c r="B202" i="1"/>
  <c r="B194" i="1"/>
  <c r="B198" i="1"/>
  <c r="B196" i="1"/>
  <c r="T191" i="1"/>
  <c r="V190" i="1"/>
  <c r="T190" i="1"/>
  <c r="U190" i="1" s="1"/>
  <c r="V192" i="1"/>
  <c r="T192" i="1"/>
  <c r="U192" i="1" s="1"/>
  <c r="V189" i="1"/>
  <c r="T189" i="1"/>
  <c r="U189" i="1" s="1"/>
  <c r="V187" i="1"/>
  <c r="T187" i="1"/>
  <c r="U187" i="1" s="1"/>
  <c r="B192" i="1"/>
  <c r="B188" i="1"/>
  <c r="B186" i="1"/>
  <c r="B193" i="1"/>
  <c r="B189" i="1"/>
  <c r="B191" i="1"/>
  <c r="B190" i="1"/>
  <c r="B187" i="1"/>
  <c r="V184" i="1"/>
  <c r="V181" i="1"/>
  <c r="V183" i="1"/>
  <c r="V182" i="1"/>
  <c r="V179" i="1"/>
  <c r="T184" i="1"/>
  <c r="U184" i="1" s="1"/>
  <c r="T181" i="1"/>
  <c r="U181" i="1" s="1"/>
  <c r="T183" i="1"/>
  <c r="U183" i="1" s="1"/>
  <c r="T182" i="1"/>
  <c r="U182" i="1" s="1"/>
  <c r="T179" i="1"/>
  <c r="U179" i="1" s="1"/>
  <c r="B184" i="1"/>
  <c r="B180" i="1"/>
  <c r="B178" i="1"/>
  <c r="B185" i="1"/>
  <c r="B181" i="1"/>
  <c r="B183" i="1"/>
  <c r="B182" i="1"/>
  <c r="B179" i="1"/>
  <c r="V176" i="1"/>
  <c r="T176" i="1"/>
  <c r="U176" i="1" s="1"/>
  <c r="V173" i="1"/>
  <c r="T173" i="1"/>
  <c r="U173" i="1" s="1"/>
  <c r="V175" i="1"/>
  <c r="T175" i="1"/>
  <c r="V174" i="1"/>
  <c r="T174" i="1"/>
  <c r="U174" i="1" s="1"/>
  <c r="V171" i="1"/>
  <c r="T171" i="1"/>
  <c r="U171" i="1" s="1"/>
  <c r="B176" i="1"/>
  <c r="B172" i="1"/>
  <c r="B170" i="1"/>
  <c r="B177" i="1"/>
  <c r="B173" i="1"/>
  <c r="B175" i="1"/>
  <c r="B174" i="1"/>
  <c r="B171" i="1"/>
  <c r="V168" i="1"/>
  <c r="V165" i="1"/>
  <c r="V167" i="1"/>
  <c r="V166" i="1"/>
  <c r="V163" i="1"/>
  <c r="T168" i="1"/>
  <c r="U168" i="1" s="1"/>
  <c r="T165" i="1"/>
  <c r="U165" i="1" s="1"/>
  <c r="T167" i="1"/>
  <c r="U167" i="1" s="1"/>
  <c r="T166" i="1"/>
  <c r="U166" i="1" s="1"/>
  <c r="T163" i="1"/>
  <c r="U163" i="1" s="1"/>
  <c r="B168" i="1"/>
  <c r="B164" i="1"/>
  <c r="B162" i="1"/>
  <c r="B169" i="1"/>
  <c r="B165" i="1"/>
  <c r="B167" i="1"/>
  <c r="B166" i="1"/>
  <c r="B163" i="1"/>
  <c r="V160" i="1"/>
  <c r="V157" i="1"/>
  <c r="V158" i="1"/>
  <c r="V155" i="1"/>
  <c r="T160" i="1"/>
  <c r="U160" i="1" s="1"/>
  <c r="T157" i="1"/>
  <c r="U157" i="1" s="1"/>
  <c r="T159" i="1"/>
  <c r="T158" i="1"/>
  <c r="U158" i="1" s="1"/>
  <c r="T155" i="1"/>
  <c r="U155" i="1" s="1"/>
  <c r="B160" i="1"/>
  <c r="B156" i="1"/>
  <c r="B154" i="1"/>
  <c r="B161" i="1"/>
  <c r="B157" i="1"/>
  <c r="B159" i="1"/>
  <c r="B158" i="1"/>
  <c r="B155" i="1"/>
  <c r="V152" i="1"/>
  <c r="V149" i="1"/>
  <c r="V151" i="1"/>
  <c r="V150" i="1"/>
  <c r="V147" i="1"/>
  <c r="T152" i="1"/>
  <c r="U152" i="1" s="1"/>
  <c r="T149" i="1"/>
  <c r="U149" i="1" s="1"/>
  <c r="T151" i="1"/>
  <c r="U151" i="1" s="1"/>
  <c r="T150" i="1"/>
  <c r="U150" i="1" s="1"/>
  <c r="T147" i="1"/>
  <c r="U147" i="1" s="1"/>
  <c r="B152" i="1"/>
  <c r="B148" i="1"/>
  <c r="B146" i="1"/>
  <c r="B153" i="1"/>
  <c r="B149" i="1"/>
  <c r="B151" i="1"/>
  <c r="B150" i="1"/>
  <c r="B147" i="1"/>
  <c r="B144" i="1"/>
  <c r="V144" i="1"/>
  <c r="T144" i="1"/>
  <c r="U144" i="1" s="1"/>
  <c r="V141" i="1"/>
  <c r="T141" i="1"/>
  <c r="U141" i="1" s="1"/>
  <c r="T143" i="1"/>
  <c r="V142" i="1"/>
  <c r="T142" i="1"/>
  <c r="U142" i="1" s="1"/>
  <c r="V139" i="1"/>
  <c r="T139" i="1"/>
  <c r="U139" i="1" s="1"/>
  <c r="B140" i="1"/>
  <c r="B138" i="1"/>
  <c r="B145" i="1"/>
  <c r="B141" i="1"/>
  <c r="B143" i="1"/>
  <c r="B142" i="1"/>
  <c r="B139" i="1"/>
  <c r="B136" i="1"/>
  <c r="B131" i="1"/>
  <c r="B129" i="1"/>
  <c r="B137" i="1"/>
  <c r="B133" i="1"/>
  <c r="B132" i="1"/>
  <c r="B135" i="1"/>
  <c r="B134" i="1"/>
  <c r="B130" i="1"/>
  <c r="B121" i="1"/>
  <c r="B119" i="1"/>
  <c r="B128" i="1"/>
  <c r="B123" i="1"/>
  <c r="B122" i="1"/>
  <c r="B118" i="1"/>
  <c r="B127" i="1"/>
  <c r="B124" i="1"/>
  <c r="B126" i="1"/>
  <c r="B125" i="1"/>
  <c r="B120" i="1"/>
  <c r="B107" i="1"/>
  <c r="B117" i="1"/>
  <c r="B116" i="1"/>
  <c r="B115" i="1"/>
  <c r="B114" i="1"/>
  <c r="B113" i="1"/>
  <c r="B111" i="1"/>
  <c r="B110" i="1"/>
  <c r="B112" i="1"/>
  <c r="B109" i="1"/>
  <c r="B108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V136" i="1"/>
  <c r="V132" i="1"/>
  <c r="V135" i="1"/>
  <c r="V134" i="1"/>
  <c r="V130" i="1"/>
  <c r="T136" i="1"/>
  <c r="U136" i="1" s="1"/>
  <c r="T132" i="1"/>
  <c r="U132" i="1" s="1"/>
  <c r="T135" i="1"/>
  <c r="U135" i="1" s="1"/>
  <c r="T134" i="1"/>
  <c r="U134" i="1" s="1"/>
  <c r="T130" i="1"/>
  <c r="U130" i="1" s="1"/>
  <c r="V107" i="1"/>
  <c r="T107" i="1"/>
  <c r="U107" i="1" s="1"/>
  <c r="V104" i="1"/>
  <c r="T104" i="1"/>
  <c r="U104" i="1" s="1"/>
  <c r="V122" i="1" l="1"/>
  <c r="V118" i="1"/>
  <c r="V127" i="1"/>
  <c r="V124" i="1"/>
  <c r="V126" i="1"/>
  <c r="V125" i="1"/>
  <c r="V120" i="1"/>
  <c r="T122" i="1"/>
  <c r="U122" i="1" s="1"/>
  <c r="T118" i="1"/>
  <c r="U118" i="1" s="1"/>
  <c r="T127" i="1"/>
  <c r="U127" i="1" s="1"/>
  <c r="T124" i="1"/>
  <c r="U124" i="1" s="1"/>
  <c r="T126" i="1"/>
  <c r="U126" i="1" s="1"/>
  <c r="T125" i="1"/>
  <c r="U125" i="1" s="1"/>
  <c r="T120" i="1"/>
  <c r="U120" i="1" s="1"/>
  <c r="V117" i="1" l="1"/>
  <c r="T117" i="1"/>
  <c r="U117" i="1" s="1"/>
  <c r="V115" i="1"/>
  <c r="T115" i="1"/>
  <c r="U115" i="1" s="1"/>
  <c r="V114" i="1"/>
  <c r="T114" i="1"/>
  <c r="U114" i="1" s="1"/>
  <c r="V113" i="1"/>
  <c r="T113" i="1"/>
  <c r="U113" i="1" s="1"/>
  <c r="V111" i="1"/>
  <c r="T111" i="1"/>
  <c r="U111" i="1" s="1"/>
  <c r="V109" i="1"/>
  <c r="T109" i="1"/>
  <c r="U109" i="1" s="1"/>
  <c r="V105" i="1" l="1"/>
  <c r="T105" i="1"/>
  <c r="U105" i="1" s="1"/>
  <c r="V106" i="1"/>
  <c r="T106" i="1"/>
  <c r="U106" i="1" s="1"/>
  <c r="V101" i="1" l="1"/>
  <c r="T101" i="1"/>
  <c r="U101" i="1" s="1"/>
  <c r="V102" i="1"/>
  <c r="V100" i="1"/>
  <c r="V99" i="1"/>
  <c r="V96" i="1"/>
  <c r="T102" i="1"/>
  <c r="U102" i="1" s="1"/>
  <c r="T100" i="1"/>
  <c r="U100" i="1" s="1"/>
  <c r="T99" i="1"/>
  <c r="U99" i="1" s="1"/>
  <c r="T96" i="1"/>
  <c r="U96" i="1" s="1"/>
  <c r="V92" i="1" l="1"/>
  <c r="V91" i="1"/>
  <c r="V90" i="1"/>
  <c r="V89" i="1"/>
  <c r="V88" i="1"/>
  <c r="V86" i="1"/>
  <c r="T93" i="1"/>
  <c r="T92" i="1"/>
  <c r="U92" i="1" s="1"/>
  <c r="T91" i="1"/>
  <c r="U91" i="1" s="1"/>
  <c r="T90" i="1"/>
  <c r="U90" i="1" s="1"/>
  <c r="T89" i="1"/>
  <c r="U89" i="1" s="1"/>
  <c r="U88" i="1"/>
  <c r="T86" i="1"/>
  <c r="U86" i="1" s="1"/>
  <c r="V81" i="1" l="1"/>
  <c r="T81" i="1"/>
  <c r="U81" i="1" s="1"/>
  <c r="V83" i="1"/>
  <c r="T83" i="1"/>
  <c r="U83" i="1" s="1"/>
  <c r="V80" i="1"/>
  <c r="T80" i="1"/>
  <c r="U80" i="1" s="1"/>
  <c r="V78" i="1"/>
  <c r="T78" i="1"/>
  <c r="U78" i="1" s="1"/>
  <c r="V77" i="1"/>
  <c r="T77" i="1"/>
  <c r="U77" i="1" s="1"/>
  <c r="V73" i="1" l="1"/>
  <c r="T73" i="1"/>
  <c r="U73" i="1" s="1"/>
  <c r="V72" i="1"/>
  <c r="T72" i="1"/>
  <c r="U72" i="1" s="1"/>
  <c r="V74" i="1"/>
  <c r="T74" i="1"/>
  <c r="U74" i="1" s="1"/>
  <c r="V71" i="1"/>
  <c r="T71" i="1"/>
  <c r="U71" i="1" s="1"/>
  <c r="V68" i="1"/>
  <c r="T68" i="1"/>
  <c r="U68" i="1" s="1"/>
  <c r="V65" i="1" l="1"/>
  <c r="T65" i="1"/>
  <c r="U65" i="1" s="1"/>
  <c r="V64" i="1"/>
  <c r="T64" i="1"/>
  <c r="U64" i="1" s="1"/>
  <c r="V63" i="1"/>
  <c r="T63" i="1"/>
  <c r="U63" i="1" s="1"/>
  <c r="V62" i="1"/>
  <c r="T62" i="1"/>
  <c r="U62" i="1" s="1"/>
  <c r="V59" i="1"/>
  <c r="T59" i="1"/>
  <c r="U59" i="1" s="1"/>
  <c r="V55" i="1" l="1"/>
  <c r="T55" i="1"/>
  <c r="U55" i="1" s="1"/>
  <c r="V54" i="1"/>
  <c r="T54" i="1"/>
  <c r="U54" i="1" s="1"/>
  <c r="V53" i="1"/>
  <c r="T53" i="1"/>
  <c r="U53" i="1" s="1"/>
  <c r="V52" i="1"/>
  <c r="T52" i="1"/>
  <c r="U52" i="1" s="1"/>
  <c r="V50" i="1"/>
  <c r="T50" i="1"/>
  <c r="U50" i="1" s="1"/>
  <c r="V47" i="1" l="1"/>
  <c r="T47" i="1"/>
  <c r="U47" i="1" s="1"/>
  <c r="V46" i="1"/>
  <c r="T46" i="1"/>
  <c r="U46" i="1" s="1"/>
  <c r="V45" i="1"/>
  <c r="T45" i="1"/>
  <c r="U45" i="1" s="1"/>
  <c r="V44" i="1"/>
  <c r="T44" i="1"/>
  <c r="U44" i="1" s="1"/>
  <c r="T42" i="1"/>
  <c r="V41" i="1"/>
  <c r="T41" i="1"/>
  <c r="U41" i="1" s="1"/>
  <c r="T26" i="1" l="1"/>
  <c r="U26" i="1" s="1"/>
  <c r="V38" i="1"/>
  <c r="T38" i="1"/>
  <c r="U38" i="1" s="1"/>
  <c r="V37" i="1"/>
  <c r="T37" i="1"/>
  <c r="U37" i="1" s="1"/>
  <c r="T36" i="1"/>
  <c r="U36" i="1" s="1"/>
  <c r="V36" i="1"/>
  <c r="V35" i="1"/>
  <c r="T35" i="1"/>
  <c r="U35" i="1" s="1"/>
  <c r="T33" i="1"/>
  <c r="V32" i="1"/>
  <c r="T32" i="1"/>
  <c r="U32" i="1" s="1"/>
  <c r="V27" i="1" l="1"/>
  <c r="T27" i="1"/>
  <c r="U27" i="1" s="1"/>
  <c r="V26" i="1"/>
  <c r="V23" i="1"/>
  <c r="V22" i="1"/>
  <c r="T22" i="1"/>
  <c r="U22" i="1" s="1"/>
  <c r="V25" i="1"/>
  <c r="T25" i="1"/>
  <c r="U25" i="1" s="1"/>
  <c r="T19" i="1" l="1"/>
  <c r="U19" i="1" s="1"/>
  <c r="V19" i="1"/>
  <c r="V18" i="1"/>
  <c r="V17" i="1"/>
  <c r="V15" i="1"/>
  <c r="V13" i="1"/>
  <c r="V4" i="1" l="1"/>
  <c r="T18" i="1" l="1"/>
  <c r="U18" i="1" s="1"/>
  <c r="T17" i="1"/>
  <c r="U17" i="1" s="1"/>
  <c r="T15" i="1"/>
  <c r="U15" i="1" s="1"/>
  <c r="T13" i="1"/>
  <c r="U13" i="1" s="1"/>
  <c r="T2" i="1"/>
  <c r="U2" i="1" s="1"/>
  <c r="T10" i="1"/>
  <c r="U10" i="1" s="1"/>
  <c r="T9" i="1"/>
  <c r="U9" i="1" s="1"/>
  <c r="T8" i="1"/>
  <c r="U8" i="1" s="1"/>
  <c r="T6" i="1"/>
  <c r="U6" i="1" s="1"/>
  <c r="T4" i="1"/>
  <c r="U4" i="1" s="1"/>
  <c r="V2" i="1"/>
  <c r="V10" i="1"/>
  <c r="V9" i="1"/>
  <c r="V8" i="1"/>
  <c r="V6" i="1"/>
</calcChain>
</file>

<file path=xl/sharedStrings.xml><?xml version="1.0" encoding="utf-8"?>
<sst xmlns="http://schemas.openxmlformats.org/spreadsheetml/2006/main" count="4351" uniqueCount="241">
  <si>
    <t>Date</t>
  </si>
  <si>
    <t>Site</t>
  </si>
  <si>
    <t>pH</t>
  </si>
  <si>
    <t>Depth (m)</t>
  </si>
  <si>
    <t>SPR-N</t>
  </si>
  <si>
    <t>NA</t>
  </si>
  <si>
    <t>SUK-N</t>
  </si>
  <si>
    <t>WET-M</t>
  </si>
  <si>
    <t>WET-NE</t>
  </si>
  <si>
    <t>ECAN-NE</t>
  </si>
  <si>
    <t>Notes</t>
  </si>
  <si>
    <t>WSE below staff plate</t>
  </si>
  <si>
    <t>No staff plate</t>
  </si>
  <si>
    <t>Didn't check staff plate</t>
  </si>
  <si>
    <t>Field crew</t>
  </si>
  <si>
    <t>LAV, MMS</t>
  </si>
  <si>
    <t>SUK-Nb</t>
  </si>
  <si>
    <t>WET-NEd</t>
  </si>
  <si>
    <t>YSI time (24hrs)</t>
  </si>
  <si>
    <t>SUK-Nd</t>
  </si>
  <si>
    <t>WET-S</t>
  </si>
  <si>
    <t>SUK-M</t>
  </si>
  <si>
    <t>Staff plate is either corroded or there's biofouling obscuring the plate</t>
  </si>
  <si>
    <t>AFA cells visible</t>
  </si>
  <si>
    <t>AFA cells visible; staff plate is either corroded or there's biofouling obscuring the plate</t>
  </si>
  <si>
    <t>Field dup; all dups within 20% of primary</t>
  </si>
  <si>
    <t>Field blank; all below minimum reporting limits, yellow cells indicate detection</t>
  </si>
  <si>
    <t>WET-NEb1</t>
  </si>
  <si>
    <t>WET-NEb2</t>
  </si>
  <si>
    <t>SPR-Nd</t>
  </si>
  <si>
    <t>Sparse AFA cells visible</t>
  </si>
  <si>
    <t>No AFA cells visible</t>
  </si>
  <si>
    <t>AFA cells visible; water is being pumped from the wetland pond to the spring pond</t>
  </si>
  <si>
    <t>SPR-M</t>
  </si>
  <si>
    <t>No AFA observed</t>
  </si>
  <si>
    <t>WET-Md</t>
  </si>
  <si>
    <t>SPR-Nb</t>
  </si>
  <si>
    <t>Site name</t>
  </si>
  <si>
    <t>Site code</t>
  </si>
  <si>
    <t>Site type</t>
  </si>
  <si>
    <t>Reason selected</t>
  </si>
  <si>
    <t>North canal, northeast</t>
  </si>
  <si>
    <t>NCAN-NE</t>
  </si>
  <si>
    <t>Condition dependent- sample when pumps are on (regardless of pump direction)</t>
  </si>
  <si>
    <t>East canal, northeast</t>
  </si>
  <si>
    <t>Wetland, northeast</t>
  </si>
  <si>
    <t>Permanent- sample every time</t>
  </si>
  <si>
    <t>Wetland, middle</t>
  </si>
  <si>
    <t>West canal</t>
  </si>
  <si>
    <t>WCAN</t>
  </si>
  <si>
    <t>Condition dependent- sample when there is flow to the wetland</t>
  </si>
  <si>
    <t>Spring pond, north</t>
  </si>
  <si>
    <t>Sucker pond, north</t>
  </si>
  <si>
    <t>=</t>
  </si>
  <si>
    <t>blank samples with nutrient detection</t>
  </si>
  <si>
    <t>Nutrient concentration below minimum detection limit</t>
  </si>
  <si>
    <t>Field blank; store-bought distilled water</t>
  </si>
  <si>
    <t>Field blank; store-bought distilled water; yellow cells indicate detection</t>
  </si>
  <si>
    <t>Field blank; SRWQL-furnished DI water; more detections than store-bought distilled water; yellow cells indicate detection</t>
  </si>
  <si>
    <t>No AFA observed; I wonder if there was sediment in the sample?</t>
  </si>
  <si>
    <t>Field dup; I wonder if there was sediment in the sample?</t>
  </si>
  <si>
    <t>No AFA observed; yellow cells indicate detection</t>
  </si>
  <si>
    <t>Staff plate not placed properly (sediment below 0.0 ft)</t>
  </si>
  <si>
    <t>WET-NEb</t>
  </si>
  <si>
    <t>Otter slide between SUK and SPR at this site</t>
  </si>
  <si>
    <t>Turbid</t>
  </si>
  <si>
    <t>Turbid; dup fails</t>
  </si>
  <si>
    <t>AFA observed</t>
  </si>
  <si>
    <t>Blank fails in yellow cells</t>
  </si>
  <si>
    <t>Dup fails in yellow cell</t>
  </si>
  <si>
    <t>Ice cover</t>
  </si>
  <si>
    <t>MMS</t>
  </si>
  <si>
    <t>WET-Mb</t>
  </si>
  <si>
    <t>Broke ice; potential for resuspension of particulate matter when we broke ice to sample</t>
  </si>
  <si>
    <t>Broke ice</t>
  </si>
  <si>
    <t>Broke ice; dup passes</t>
  </si>
  <si>
    <t>All dups pass</t>
  </si>
  <si>
    <t>All blanks pass</t>
  </si>
  <si>
    <t>Blank passes</t>
  </si>
  <si>
    <t>Broke ice; TP much higher than NE site, Karl indicated West Canal is draining into the wetland at this site</t>
  </si>
  <si>
    <t>MMS, LAV</t>
  </si>
  <si>
    <t>Staff plate not installed yet</t>
  </si>
  <si>
    <t>Very wet conditions- lots of water on the property</t>
  </si>
  <si>
    <t>Broke ice; very turbid</t>
  </si>
  <si>
    <t>Broke ice; very turbid; dups pass</t>
  </si>
  <si>
    <t>Ammonia dup fails</t>
  </si>
  <si>
    <t>Collected concurrently w ODA</t>
  </si>
  <si>
    <t>Field run-off; collected concurrently w ODA</t>
  </si>
  <si>
    <t>Temp</t>
  </si>
  <si>
    <t>SpCond</t>
  </si>
  <si>
    <t>DO_sat</t>
  </si>
  <si>
    <t>DO_conc</t>
  </si>
  <si>
    <t>TDP</t>
  </si>
  <si>
    <t>TP</t>
  </si>
  <si>
    <t>PO4</t>
  </si>
  <si>
    <t>NH3</t>
  </si>
  <si>
    <t>NOx</t>
  </si>
  <si>
    <t>TN</t>
  </si>
  <si>
    <t>PP</t>
  </si>
  <si>
    <t>Per_PP</t>
  </si>
  <si>
    <t>N_P</t>
  </si>
  <si>
    <t>Site_type</t>
  </si>
  <si>
    <t>Staff</t>
  </si>
  <si>
    <t>QA_QC</t>
  </si>
  <si>
    <t>Primary</t>
  </si>
  <si>
    <t>WET-SE</t>
  </si>
  <si>
    <t>Nutrient sample colleced by ODA on 4/4/2023</t>
  </si>
  <si>
    <t>Very windy, suspended sediment evident</t>
  </si>
  <si>
    <t>Water level right at top of staff plate</t>
  </si>
  <si>
    <t>Type of sample collected- staff (just recording staff plate height), primary (nutrient sample and YSI), QA_QC (a blank or duplicate sample)</t>
  </si>
  <si>
    <t>Water temperature in degrees Celsius</t>
  </si>
  <si>
    <t>Specific conductivity in uS/cm</t>
  </si>
  <si>
    <t>Dissolved oxygen saturation (%)</t>
  </si>
  <si>
    <t>Dissolved oxygen concentration in mg/L</t>
  </si>
  <si>
    <t>Total dissolved phosphorus in ug/L</t>
  </si>
  <si>
    <t>Total phosphorus in ug/L</t>
  </si>
  <si>
    <t>Orthophosphate in ug/L</t>
  </si>
  <si>
    <t>Ammonia in ug/L</t>
  </si>
  <si>
    <t>Nitrate/nitrite in ug/L</t>
  </si>
  <si>
    <t>Total nitrogen in ug/L</t>
  </si>
  <si>
    <t>Particulate phosphorus in ug/L</t>
  </si>
  <si>
    <t>Percent of total phosphorus represented by particulate phosphorus fraction (%)</t>
  </si>
  <si>
    <t>Nitrogen:phosphorus ratio</t>
  </si>
  <si>
    <t>Broke ice; zeroed out Per PP</t>
  </si>
  <si>
    <t>Field dup; all dups but NOx within 20% of primary; zeroed out PP and Per_PP</t>
  </si>
  <si>
    <t>Very windy, suspended sediment evident; all dups pass</t>
  </si>
  <si>
    <t>Staff plate just underwater</t>
  </si>
  <si>
    <t>Headgate open from spring pond to wetland</t>
  </si>
  <si>
    <t>Pump on</t>
  </si>
  <si>
    <t>Headate open from sucker pond to wetland</t>
  </si>
  <si>
    <t>Dups pass</t>
  </si>
  <si>
    <t>NW end of canal; very turbid</t>
  </si>
  <si>
    <t>blanks pass</t>
  </si>
  <si>
    <t>Dashed line on TP figure</t>
  </si>
  <si>
    <t>ODA criteria for pump off (190 ug TP/L)</t>
  </si>
  <si>
    <t>Dotted line on DO conc figure</t>
  </si>
  <si>
    <t>Level below which suckers are likely experiencing chronic stress</t>
  </si>
  <si>
    <t>Dash-dot line on NP ratio figure</t>
  </si>
  <si>
    <t>Ration below which N-fixing cyanobacteria (e.g., AFA) may be more competitive</t>
  </si>
  <si>
    <t>Very turbid; water moving from fields to wetland; nitrate fertilizer applied to potato fields</t>
  </si>
  <si>
    <t>Water moving from spring to wetland</t>
  </si>
  <si>
    <t>Water moving from pond to wetland</t>
  </si>
  <si>
    <t>Samples collected at staff plate; more turbid than usual site</t>
  </si>
  <si>
    <t>Nutrient samples collected 6/14; large number of snails (invasive European species)</t>
  </si>
  <si>
    <t>ODA</t>
  </si>
  <si>
    <t>ODA collected this; analyzed by DEQ lab</t>
  </si>
  <si>
    <t>Nutrient samples collected 6/14; NOx dup fails</t>
  </si>
  <si>
    <t>NOx blank fails</t>
  </si>
  <si>
    <t>Headgate open from sucker pond to wetland</t>
  </si>
  <si>
    <t>Algae on staff plate</t>
  </si>
  <si>
    <t>Headgate open from sucker pond to wetland; TDP and OrthoP results are unusual</t>
  </si>
  <si>
    <t>Unclear if NH3 dup passes since dup conc is below detection, but primary is right at detection</t>
  </si>
  <si>
    <t>Julian_day</t>
  </si>
  <si>
    <t>NH3 blank fails</t>
  </si>
  <si>
    <t>Wetland WSE very low, sample collected near staff plate</t>
  </si>
  <si>
    <t>Staff_plate</t>
  </si>
  <si>
    <t>Wavy</t>
  </si>
  <si>
    <t>Dup passes</t>
  </si>
  <si>
    <t>Wavy at staff plate</t>
  </si>
  <si>
    <t>Broke ice to access open water for sampling</t>
  </si>
  <si>
    <t>Near staff plate across from north end of sucker pond</t>
  </si>
  <si>
    <t>Headgate open spring to wetland</t>
  </si>
  <si>
    <t>NH3 dup fails</t>
  </si>
  <si>
    <t>ECAN-SE</t>
  </si>
  <si>
    <t>Windy; headgate open to wetland</t>
  </si>
  <si>
    <t>Windy and wavy</t>
  </si>
  <si>
    <t>Windy</t>
  </si>
  <si>
    <t>Water over staff plate</t>
  </si>
  <si>
    <t>Headgate open sucker pond to wetland</t>
  </si>
  <si>
    <t>Headgate open wetland to ECAN-N</t>
  </si>
  <si>
    <t>Staff plate under water</t>
  </si>
  <si>
    <t>Headgate not open, but was recently</t>
  </si>
  <si>
    <t>Gate open SPR&gt;WET</t>
  </si>
  <si>
    <t>Gate open SUK&gt;WET</t>
  </si>
  <si>
    <t>AFA</t>
  </si>
  <si>
    <t>ECAN&gt;UKL pump kicked on as we left</t>
  </si>
  <si>
    <t>Staff plate underwater</t>
  </si>
  <si>
    <t>Blanks pass</t>
  </si>
  <si>
    <t>Algal growth obscuring plate</t>
  </si>
  <si>
    <t>Water flowing SPR&gt;WET</t>
  </si>
  <si>
    <t>Water flowing SUK&gt;WET</t>
  </si>
  <si>
    <t>Gate open WET-M&gt;WCAN</t>
  </si>
  <si>
    <t>Gate open WET-M&gt;WCAN; sample had resuspended sediment</t>
  </si>
  <si>
    <t>Gate open SUK&gt;WET; sample had resuspended sediment</t>
  </si>
  <si>
    <t>Pumping water out of wetland to seasonal wetland</t>
  </si>
  <si>
    <t>Headgate open SUK&gt;WET</t>
  </si>
  <si>
    <t>black algae obscurring the plate</t>
  </si>
  <si>
    <t>Headgate open WET&gt;WCAN</t>
  </si>
  <si>
    <t>No ice</t>
  </si>
  <si>
    <t>Broke ice to sample</t>
  </si>
  <si>
    <t>Broke ice to sample; headgate open SUK&gt;WET</t>
  </si>
  <si>
    <t>Broke ice to sample, headgate open WET&gt;WCAN</t>
  </si>
  <si>
    <t>Power company repairing pump, which was down; pump was running last week at ~10 AF/day</t>
  </si>
  <si>
    <t>Broke ice to sample, headgate open SUK&gt;WET</t>
  </si>
  <si>
    <t>East canal, southeast</t>
  </si>
  <si>
    <t>Wetland, southeast</t>
  </si>
  <si>
    <t>Sampled once at the request of the landowner</t>
  </si>
  <si>
    <t>We were considering changing wetland outflow confirguration and this sample was collected to inform that decision.</t>
  </si>
  <si>
    <t>Control site; this is a spring-fed pond.</t>
  </si>
  <si>
    <t>There is surface water connection (headgate) between this and the wetland, and USFWS wanted to monitor nutrient dynamics in the sucker pond to support other activities.</t>
  </si>
  <si>
    <t>There is a major wetland inflow at this site. Combining this site with inflow samples and WET-NE helps us understand treatment dynamics in the wetland.</t>
  </si>
  <si>
    <t>Represents wetland inflow or water being pumped to Upper Klamath Lake, depending on pump direction; located just NW of site WET-NE</t>
  </si>
  <si>
    <t>Represents wetland inflow; located just west of site WET-M</t>
  </si>
  <si>
    <t>Represents water being pumped from Lakeside Farms to Upper Klamath Lake.</t>
  </si>
  <si>
    <t>Represents wetland inflow or water being pumped to Upper Klamath Lake (a combination of water from Lakeside Farms and adjacent properties), depending on pump direction; located just NE of site WET-NE.</t>
  </si>
  <si>
    <t>Represents the isolated nutrient concentrations associated with water originating from neighboring properties.</t>
  </si>
  <si>
    <t>Wocus</t>
  </si>
  <si>
    <t>Headgate closed</t>
  </si>
  <si>
    <t>WCAN water moving to north field</t>
  </si>
  <si>
    <t>Pump to UKL on</t>
  </si>
  <si>
    <t>Isolated inflow from Wocus area (across 97 from Lakeside), sampled just south of the big willow in the NE corner of SUK</t>
  </si>
  <si>
    <t>Headgate didn't look open from WCAN, but Karl indicated it was open</t>
  </si>
  <si>
    <t>Pump running to UKL</t>
  </si>
  <si>
    <t>Water potentially moving through headgate; Karl indicated southwest field was draining here, and then on to wetland</t>
  </si>
  <si>
    <t>NH3 and NOx dups fail</t>
  </si>
  <si>
    <t>Staff plate well underwater</t>
  </si>
  <si>
    <t>Slight flow (overflow valve?) WET&gt;WCAN</t>
  </si>
  <si>
    <t>Headgate open SPR&gt;WET</t>
  </si>
  <si>
    <t>Headgate open WET&gt;ECAN</t>
  </si>
  <si>
    <t>Headgate open SPR&gt;WET; windy</t>
  </si>
  <si>
    <t>Headgate open SUK&gt;WET; windy</t>
  </si>
  <si>
    <t>Pump on, light AFA</t>
  </si>
  <si>
    <t>Moderate AFA; windy</t>
  </si>
  <si>
    <t>Headgate open WET&gt;ECAN; light AFA; windy; staff plate above water level</t>
  </si>
  <si>
    <t>pH sensor issue</t>
  </si>
  <si>
    <t>Staff plate grimy and hard to read</t>
  </si>
  <si>
    <t>Headgate open SPR&gt;WET; very light AFA bloom</t>
  </si>
  <si>
    <t>Coordinates</t>
  </si>
  <si>
    <t>42.288356,-121.820160</t>
  </si>
  <si>
    <t>42.293344, -121.820322</t>
  </si>
  <si>
    <t>42.288698,-121.818207</t>
  </si>
  <si>
    <t>42.300521,-121.818800</t>
  </si>
  <si>
    <t>WSE right at top of staff plate</t>
  </si>
  <si>
    <t>Algae on plate</t>
  </si>
  <si>
    <t>Unreadable due to algal growth on plate</t>
  </si>
  <si>
    <t>Staff plate not visible; may have been underwater and covered in algae or vege</t>
  </si>
  <si>
    <t>Broke ice; not pumping at time of sampling, but pumping has been occurring</t>
  </si>
  <si>
    <t>Broke ice; P fractions near min detection so did not calculate PP or Per PP</t>
  </si>
  <si>
    <t>Headgate WCAN&gt;WET closed, WCAN receiving water from adjacent fields</t>
  </si>
  <si>
    <t>Broke ice; not pumping at time of sampling, headgate NCAN&gt;ECAN open and water flowing freely between the two</t>
  </si>
  <si>
    <t>Broke ice; headgate WET&gt;ECAN open, moderating wetland elevation, wetland WSE dependent on precip and spring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</si>
</sst>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Var(--ff-mono)"/>
    </font>
    <font>
      <sz val="9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2" fontId="1" fillId="0" borderId="0" xfId="0" applyNumberFormat="1" applyFont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" fontId="3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3</xdr:col>
      <xdr:colOff>1825219</xdr:colOff>
      <xdr:row>39</xdr:row>
      <xdr:rowOff>34409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75A4D96-E6D2-2E01-EFC5-F9EB1A162CF1}"/>
            </a:ext>
          </a:extLst>
        </xdr:cNvPr>
        <xdr:cNvGrpSpPr/>
      </xdr:nvGrpSpPr>
      <xdr:grpSpPr>
        <a:xfrm>
          <a:off x="0" y="6257925"/>
          <a:ext cx="6082894" cy="4739759"/>
          <a:chOff x="3898902" y="1369208"/>
          <a:chExt cx="5173663" cy="536259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945D159-C68B-8444-2DAB-87A72BF7AD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98902" y="1369208"/>
            <a:ext cx="5173663" cy="5362590"/>
          </a:xfrm>
          <a:prstGeom prst="rect">
            <a:avLst/>
          </a:prstGeom>
        </xdr:spPr>
      </xdr:pic>
      <xdr:sp macro="" textlink="">
        <xdr:nvSpPr>
          <xdr:cNvPr id="4" name="Flowchart: Connector 3">
            <a:extLst>
              <a:ext uri="{FF2B5EF4-FFF2-40B4-BE49-F238E27FC236}">
                <a16:creationId xmlns:a16="http://schemas.microsoft.com/office/drawing/2014/main" id="{43BAA2FA-7DAF-5498-70D8-07201497017E}"/>
              </a:ext>
            </a:extLst>
          </xdr:cNvPr>
          <xdr:cNvSpPr/>
        </xdr:nvSpPr>
        <xdr:spPr>
          <a:xfrm>
            <a:off x="7086600" y="1905000"/>
            <a:ext cx="152400" cy="152400"/>
          </a:xfrm>
          <a:prstGeom prst="flowChartConnector">
            <a:avLst/>
          </a:prstGeom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Flowchart: Connector 4">
            <a:extLst>
              <a:ext uri="{FF2B5EF4-FFF2-40B4-BE49-F238E27FC236}">
                <a16:creationId xmlns:a16="http://schemas.microsoft.com/office/drawing/2014/main" id="{60652D11-7B8C-5F82-51C1-88579E77179A}"/>
              </a:ext>
            </a:extLst>
          </xdr:cNvPr>
          <xdr:cNvSpPr/>
        </xdr:nvSpPr>
        <xdr:spPr>
          <a:xfrm>
            <a:off x="6858000" y="5336392"/>
            <a:ext cx="152400" cy="152400"/>
          </a:xfrm>
          <a:prstGeom prst="flowChartConnector">
            <a:avLst/>
          </a:prstGeom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Flowchart: Connector 5">
            <a:extLst>
              <a:ext uri="{FF2B5EF4-FFF2-40B4-BE49-F238E27FC236}">
                <a16:creationId xmlns:a16="http://schemas.microsoft.com/office/drawing/2014/main" id="{CB361138-0A58-E103-0FC0-B1576D4860DA}"/>
              </a:ext>
            </a:extLst>
          </xdr:cNvPr>
          <xdr:cNvSpPr/>
        </xdr:nvSpPr>
        <xdr:spPr>
          <a:xfrm>
            <a:off x="7239000" y="5260192"/>
            <a:ext cx="152400" cy="152400"/>
          </a:xfrm>
          <a:prstGeom prst="flowChartConnector">
            <a:avLst/>
          </a:prstGeom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Flowchart: Connector 6">
            <a:extLst>
              <a:ext uri="{FF2B5EF4-FFF2-40B4-BE49-F238E27FC236}">
                <a16:creationId xmlns:a16="http://schemas.microsoft.com/office/drawing/2014/main" id="{86850A71-1D88-E34A-A4F6-4256636EBD44}"/>
              </a:ext>
            </a:extLst>
          </xdr:cNvPr>
          <xdr:cNvSpPr/>
        </xdr:nvSpPr>
        <xdr:spPr>
          <a:xfrm>
            <a:off x="6858000" y="3898103"/>
            <a:ext cx="152400" cy="152400"/>
          </a:xfrm>
          <a:prstGeom prst="flowChartConnector">
            <a:avLst/>
          </a:prstGeom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25</xdr:row>
      <xdr:rowOff>59182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D04EAA-37DD-F511-B3CE-D6891CDC3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4504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78880</xdr:rowOff>
    </xdr:from>
    <xdr:to>
      <xdr:col>12</xdr:col>
      <xdr:colOff>457200</xdr:colOff>
      <xdr:row>126</xdr:row>
      <xdr:rowOff>149492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2C6990-7F14-FC7D-6322-1438BFEE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36680"/>
          <a:ext cx="7772400" cy="45156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70130</xdr:rowOff>
    </xdr:from>
    <xdr:to>
      <xdr:col>12</xdr:col>
      <xdr:colOff>457200</xdr:colOff>
      <xdr:row>50</xdr:row>
      <xdr:rowOff>115977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DBFEE5-07A5-5360-051F-254CA1BB2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15130"/>
          <a:ext cx="7772400" cy="4490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11215</xdr:rowOff>
    </xdr:from>
    <xdr:to>
      <xdr:col>12</xdr:col>
      <xdr:colOff>457200</xdr:colOff>
      <xdr:row>101</xdr:row>
      <xdr:rowOff>72302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9D1C43-F7A2-8422-409C-65251DEC8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524015"/>
          <a:ext cx="7772400" cy="45060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123115</xdr:rowOff>
    </xdr:from>
    <xdr:to>
      <xdr:col>12</xdr:col>
      <xdr:colOff>457200</xdr:colOff>
      <xdr:row>76</xdr:row>
      <xdr:rowOff>6402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6C25E92-0076-52A3-4EC6-86FE3BDE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13115"/>
          <a:ext cx="7772400" cy="4506087"/>
        </a:xfrm>
        <a:prstGeom prst="rect">
          <a:avLst/>
        </a:prstGeom>
      </xdr:spPr>
    </xdr:pic>
    <xdr:clientData/>
  </xdr:twoCellAnchor>
  <xdr:twoCellAnchor editAs="oneCell">
    <xdr:from>
      <xdr:col>12</xdr:col>
      <xdr:colOff>422900</xdr:colOff>
      <xdr:row>101</xdr:row>
      <xdr:rowOff>49520</xdr:rowOff>
    </xdr:from>
    <xdr:to>
      <xdr:col>25</xdr:col>
      <xdr:colOff>270500</xdr:colOff>
      <xdr:row>126</xdr:row>
      <xdr:rowOff>104892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1BADB2F-04E9-584F-0CBD-252510331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00" y="18007320"/>
          <a:ext cx="7772400" cy="4500372"/>
        </a:xfrm>
        <a:prstGeom prst="rect">
          <a:avLst/>
        </a:prstGeom>
      </xdr:spPr>
    </xdr:pic>
    <xdr:clientData/>
  </xdr:twoCellAnchor>
  <xdr:twoCellAnchor editAs="oneCell">
    <xdr:from>
      <xdr:col>25</xdr:col>
      <xdr:colOff>235715</xdr:colOff>
      <xdr:row>24</xdr:row>
      <xdr:rowOff>131575</xdr:rowOff>
    </xdr:from>
    <xdr:to>
      <xdr:col>38</xdr:col>
      <xdr:colOff>83315</xdr:colOff>
      <xdr:row>50</xdr:row>
      <xdr:rowOff>20577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55F387B-B573-49DB-D6AE-54881BE07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5715" y="4398775"/>
          <a:ext cx="7772400" cy="4511802"/>
        </a:xfrm>
        <a:prstGeom prst="rect">
          <a:avLst/>
        </a:prstGeom>
      </xdr:spPr>
    </xdr:pic>
    <xdr:clientData/>
  </xdr:twoCellAnchor>
  <xdr:twoCellAnchor editAs="oneCell">
    <xdr:from>
      <xdr:col>25</xdr:col>
      <xdr:colOff>231410</xdr:colOff>
      <xdr:row>50</xdr:row>
      <xdr:rowOff>40910</xdr:rowOff>
    </xdr:from>
    <xdr:to>
      <xdr:col>38</xdr:col>
      <xdr:colOff>79010</xdr:colOff>
      <xdr:row>75</xdr:row>
      <xdr:rowOff>88662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71FA063-187E-BCC1-7FBA-A5F36CC6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1410" y="8930910"/>
          <a:ext cx="7772400" cy="4492752"/>
        </a:xfrm>
        <a:prstGeom prst="rect">
          <a:avLst/>
        </a:prstGeom>
      </xdr:spPr>
    </xdr:pic>
    <xdr:clientData/>
  </xdr:twoCellAnchor>
  <xdr:twoCellAnchor editAs="oneCell">
    <xdr:from>
      <xdr:col>25</xdr:col>
      <xdr:colOff>257585</xdr:colOff>
      <xdr:row>0</xdr:row>
      <xdr:rowOff>0</xdr:rowOff>
    </xdr:from>
    <xdr:to>
      <xdr:col>38</xdr:col>
      <xdr:colOff>105185</xdr:colOff>
      <xdr:row>25</xdr:row>
      <xdr:rowOff>72517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63C2D98-1759-6420-5677-E245D3100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7585" y="0"/>
          <a:ext cx="7772400" cy="4517517"/>
        </a:xfrm>
        <a:prstGeom prst="rect">
          <a:avLst/>
        </a:prstGeom>
      </xdr:spPr>
    </xdr:pic>
    <xdr:clientData/>
  </xdr:twoCellAnchor>
  <xdr:twoCellAnchor editAs="oneCell">
    <xdr:from>
      <xdr:col>38</xdr:col>
      <xdr:colOff>61510</xdr:colOff>
      <xdr:row>0</xdr:row>
      <xdr:rowOff>0</xdr:rowOff>
    </xdr:from>
    <xdr:to>
      <xdr:col>50</xdr:col>
      <xdr:colOff>518710</xdr:colOff>
      <xdr:row>25</xdr:row>
      <xdr:rowOff>64897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7F02B12-0008-1A4D-45E2-DEF015BD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6310" y="0"/>
          <a:ext cx="7772400" cy="4509897"/>
        </a:xfrm>
        <a:prstGeom prst="rect">
          <a:avLst/>
        </a:prstGeom>
      </xdr:spPr>
    </xdr:pic>
    <xdr:clientData/>
  </xdr:twoCellAnchor>
  <xdr:twoCellAnchor editAs="oneCell">
    <xdr:from>
      <xdr:col>50</xdr:col>
      <xdr:colOff>510595</xdr:colOff>
      <xdr:row>0</xdr:row>
      <xdr:rowOff>0</xdr:rowOff>
    </xdr:from>
    <xdr:to>
      <xdr:col>63</xdr:col>
      <xdr:colOff>358195</xdr:colOff>
      <xdr:row>25</xdr:row>
      <xdr:rowOff>64897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BCCF76B-B63C-B1E7-8AEC-CC988857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90595" y="0"/>
          <a:ext cx="7772400" cy="4509897"/>
        </a:xfrm>
        <a:prstGeom prst="rect">
          <a:avLst/>
        </a:prstGeom>
      </xdr:spPr>
    </xdr:pic>
    <xdr:clientData/>
  </xdr:twoCellAnchor>
  <xdr:twoCellAnchor editAs="oneCell">
    <xdr:from>
      <xdr:col>12</xdr:col>
      <xdr:colOff>310515</xdr:colOff>
      <xdr:row>25</xdr:row>
      <xdr:rowOff>41910</xdr:rowOff>
    </xdr:from>
    <xdr:to>
      <xdr:col>25</xdr:col>
      <xdr:colOff>158115</xdr:colOff>
      <xdr:row>50</xdr:row>
      <xdr:rowOff>91567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DAF98A2-2F20-87DF-4906-7DF57210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5715" y="4486910"/>
          <a:ext cx="7772400" cy="4494657"/>
        </a:xfrm>
        <a:prstGeom prst="rect">
          <a:avLst/>
        </a:prstGeom>
      </xdr:spPr>
    </xdr:pic>
    <xdr:clientData/>
  </xdr:twoCellAnchor>
  <xdr:twoCellAnchor editAs="oneCell">
    <xdr:from>
      <xdr:col>12</xdr:col>
      <xdr:colOff>389395</xdr:colOff>
      <xdr:row>0</xdr:row>
      <xdr:rowOff>0</xdr:rowOff>
    </xdr:from>
    <xdr:to>
      <xdr:col>25</xdr:col>
      <xdr:colOff>236995</xdr:colOff>
      <xdr:row>25</xdr:row>
      <xdr:rowOff>68707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A38002F-1C4F-7A4D-6C31-1A7C1C976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4595" y="0"/>
          <a:ext cx="7772400" cy="4513707"/>
        </a:xfrm>
        <a:prstGeom prst="rect">
          <a:avLst/>
        </a:prstGeom>
      </xdr:spPr>
    </xdr:pic>
    <xdr:clientData/>
  </xdr:twoCellAnchor>
  <xdr:twoCellAnchor editAs="oneCell">
    <xdr:from>
      <xdr:col>12</xdr:col>
      <xdr:colOff>283490</xdr:colOff>
      <xdr:row>50</xdr:row>
      <xdr:rowOff>107595</xdr:rowOff>
    </xdr:from>
    <xdr:to>
      <xdr:col>25</xdr:col>
      <xdr:colOff>131090</xdr:colOff>
      <xdr:row>75</xdr:row>
      <xdr:rowOff>172492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E46C1F1-22D8-0258-F649-0F65ADB44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8690" y="8997595"/>
          <a:ext cx="7772400" cy="4509897"/>
        </a:xfrm>
        <a:prstGeom prst="rect">
          <a:avLst/>
        </a:prstGeom>
      </xdr:spPr>
    </xdr:pic>
    <xdr:clientData/>
  </xdr:twoCellAnchor>
  <xdr:twoCellAnchor editAs="oneCell">
    <xdr:from>
      <xdr:col>12</xdr:col>
      <xdr:colOff>308395</xdr:colOff>
      <xdr:row>75</xdr:row>
      <xdr:rowOff>163615</xdr:rowOff>
    </xdr:from>
    <xdr:to>
      <xdr:col>25</xdr:col>
      <xdr:colOff>155995</xdr:colOff>
      <xdr:row>101</xdr:row>
      <xdr:rowOff>46902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18143F7-2820-C013-658A-2214916EB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3595" y="13498615"/>
          <a:ext cx="7772400" cy="4506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L8" sqref="L8"/>
    </sheetView>
  </sheetViews>
  <sheetFormatPr defaultRowHeight="14.4"/>
  <cols>
    <col min="1" max="3" width="20.6640625" customWidth="1"/>
    <col min="4" max="4" width="29.88671875" style="12" bestFit="1" customWidth="1"/>
    <col min="5" max="5" width="47" bestFit="1" customWidth="1"/>
  </cols>
  <sheetData>
    <row r="1" spans="1:5" ht="45" customHeight="1">
      <c r="A1" s="20" t="s">
        <v>37</v>
      </c>
      <c r="B1" s="20" t="s">
        <v>38</v>
      </c>
      <c r="C1" s="20" t="s">
        <v>227</v>
      </c>
      <c r="D1" s="21" t="s">
        <v>39</v>
      </c>
      <c r="E1" s="21" t="s">
        <v>40</v>
      </c>
    </row>
    <row r="2" spans="1:5" ht="45" customHeight="1">
      <c r="A2" s="22" t="s">
        <v>51</v>
      </c>
      <c r="B2" s="22" t="s">
        <v>4</v>
      </c>
      <c r="C2" s="32" t="s">
        <v>228</v>
      </c>
      <c r="D2" s="23" t="s">
        <v>46</v>
      </c>
      <c r="E2" s="23" t="s">
        <v>198</v>
      </c>
    </row>
    <row r="3" spans="1:5" ht="45" customHeight="1">
      <c r="A3" s="27" t="s">
        <v>52</v>
      </c>
      <c r="B3" s="27" t="s">
        <v>6</v>
      </c>
      <c r="C3" s="33" t="s">
        <v>230</v>
      </c>
      <c r="D3" s="28" t="s">
        <v>46</v>
      </c>
      <c r="E3" s="29" t="s">
        <v>199</v>
      </c>
    </row>
    <row r="4" spans="1:5" ht="45" customHeight="1">
      <c r="A4" s="22" t="s">
        <v>45</v>
      </c>
      <c r="B4" s="22" t="s">
        <v>8</v>
      </c>
      <c r="C4" s="34" t="s">
        <v>231</v>
      </c>
      <c r="D4" s="23" t="s">
        <v>46</v>
      </c>
      <c r="E4" s="25" t="s">
        <v>203</v>
      </c>
    </row>
    <row r="5" spans="1:5" ht="45" customHeight="1">
      <c r="A5" s="27" t="s">
        <v>47</v>
      </c>
      <c r="B5" s="27" t="s">
        <v>7</v>
      </c>
      <c r="C5" s="33" t="s">
        <v>229</v>
      </c>
      <c r="D5" s="28" t="s">
        <v>46</v>
      </c>
      <c r="E5" s="30" t="s">
        <v>200</v>
      </c>
    </row>
    <row r="6" spans="1:5" ht="45" customHeight="1">
      <c r="A6" s="22" t="s">
        <v>44</v>
      </c>
      <c r="B6" s="22" t="s">
        <v>9</v>
      </c>
      <c r="C6" s="22"/>
      <c r="D6" s="26" t="s">
        <v>43</v>
      </c>
      <c r="E6" s="24" t="s">
        <v>204</v>
      </c>
    </row>
    <row r="7" spans="1:5" ht="45" customHeight="1">
      <c r="A7" s="27" t="s">
        <v>194</v>
      </c>
      <c r="B7" s="27" t="s">
        <v>163</v>
      </c>
      <c r="C7" s="27"/>
      <c r="D7" s="31" t="s">
        <v>196</v>
      </c>
      <c r="E7" s="31" t="s">
        <v>205</v>
      </c>
    </row>
    <row r="8" spans="1:5" ht="45" customHeight="1">
      <c r="A8" s="22" t="s">
        <v>41</v>
      </c>
      <c r="B8" s="22" t="s">
        <v>42</v>
      </c>
      <c r="C8" s="22"/>
      <c r="D8" s="26" t="s">
        <v>43</v>
      </c>
      <c r="E8" s="26" t="s">
        <v>201</v>
      </c>
    </row>
    <row r="9" spans="1:5" ht="45" customHeight="1">
      <c r="A9" s="27" t="s">
        <v>48</v>
      </c>
      <c r="B9" s="27" t="s">
        <v>49</v>
      </c>
      <c r="C9" s="27"/>
      <c r="D9" s="31" t="s">
        <v>50</v>
      </c>
      <c r="E9" s="28" t="s">
        <v>202</v>
      </c>
    </row>
    <row r="10" spans="1:5" ht="45" customHeight="1">
      <c r="A10" s="22" t="s">
        <v>195</v>
      </c>
      <c r="B10" s="22" t="s">
        <v>105</v>
      </c>
      <c r="C10" s="22"/>
      <c r="D10" s="26" t="s">
        <v>196</v>
      </c>
      <c r="E10" s="26" t="s">
        <v>197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E24" sqref="E24"/>
    </sheetView>
  </sheetViews>
  <sheetFormatPr defaultColWidth="8.88671875" defaultRowHeight="13.2"/>
  <cols>
    <col min="1" max="1" width="27" style="16" bestFit="1" customWidth="1"/>
    <col min="2" max="16384" width="8.88671875" style="16"/>
  </cols>
  <sheetData>
    <row r="1" spans="1:3">
      <c r="A1" s="15"/>
      <c r="B1" s="16" t="s">
        <v>53</v>
      </c>
      <c r="C1" s="16" t="s">
        <v>54</v>
      </c>
    </row>
    <row r="2" spans="1:3">
      <c r="A2" s="16">
        <v>0</v>
      </c>
      <c r="B2" s="16" t="s">
        <v>53</v>
      </c>
      <c r="C2" s="16" t="s">
        <v>55</v>
      </c>
    </row>
    <row r="3" spans="1:3">
      <c r="A3" s="13" t="s">
        <v>101</v>
      </c>
      <c r="B3" s="16" t="s">
        <v>53</v>
      </c>
      <c r="C3" s="16" t="s">
        <v>109</v>
      </c>
    </row>
    <row r="4" spans="1:3">
      <c r="A4" s="7" t="s">
        <v>88</v>
      </c>
      <c r="B4" s="16" t="s">
        <v>53</v>
      </c>
      <c r="C4" s="16" t="s">
        <v>110</v>
      </c>
    </row>
    <row r="5" spans="1:3">
      <c r="A5" s="9" t="s">
        <v>89</v>
      </c>
      <c r="B5" s="16" t="s">
        <v>53</v>
      </c>
      <c r="C5" s="16" t="s">
        <v>111</v>
      </c>
    </row>
    <row r="6" spans="1:3">
      <c r="A6" s="5" t="s">
        <v>90</v>
      </c>
      <c r="B6" s="16" t="s">
        <v>53</v>
      </c>
      <c r="C6" s="16" t="s">
        <v>112</v>
      </c>
    </row>
    <row r="7" spans="1:3">
      <c r="A7" s="7" t="s">
        <v>91</v>
      </c>
      <c r="B7" s="16" t="s">
        <v>53</v>
      </c>
      <c r="C7" s="16" t="s">
        <v>113</v>
      </c>
    </row>
    <row r="8" spans="1:3">
      <c r="A8" s="3" t="s">
        <v>92</v>
      </c>
      <c r="B8" s="16" t="s">
        <v>53</v>
      </c>
      <c r="C8" s="16" t="s">
        <v>114</v>
      </c>
    </row>
    <row r="9" spans="1:3">
      <c r="A9" s="3" t="s">
        <v>93</v>
      </c>
      <c r="B9" s="16" t="s">
        <v>53</v>
      </c>
      <c r="C9" s="16" t="s">
        <v>115</v>
      </c>
    </row>
    <row r="10" spans="1:3">
      <c r="A10" s="3" t="s">
        <v>94</v>
      </c>
      <c r="B10" s="16" t="s">
        <v>53</v>
      </c>
      <c r="C10" s="16" t="s">
        <v>116</v>
      </c>
    </row>
    <row r="11" spans="1:3">
      <c r="A11" s="3" t="s">
        <v>95</v>
      </c>
      <c r="B11" s="16" t="s">
        <v>53</v>
      </c>
      <c r="C11" s="16" t="s">
        <v>117</v>
      </c>
    </row>
    <row r="12" spans="1:3">
      <c r="A12" s="3" t="s">
        <v>96</v>
      </c>
      <c r="B12" s="16" t="s">
        <v>53</v>
      </c>
      <c r="C12" s="16" t="s">
        <v>118</v>
      </c>
    </row>
    <row r="13" spans="1:3">
      <c r="A13" s="9" t="s">
        <v>97</v>
      </c>
      <c r="B13" s="16" t="s">
        <v>53</v>
      </c>
      <c r="C13" s="16" t="s">
        <v>119</v>
      </c>
    </row>
    <row r="14" spans="1:3">
      <c r="A14" s="3" t="s">
        <v>98</v>
      </c>
      <c r="B14" s="16" t="s">
        <v>53</v>
      </c>
      <c r="C14" s="16" t="s">
        <v>120</v>
      </c>
    </row>
    <row r="15" spans="1:3">
      <c r="A15" s="9" t="s">
        <v>99</v>
      </c>
      <c r="B15" s="16" t="s">
        <v>53</v>
      </c>
      <c r="C15" s="16" t="s">
        <v>121</v>
      </c>
    </row>
    <row r="16" spans="1:3">
      <c r="A16" s="9" t="s">
        <v>100</v>
      </c>
      <c r="B16" s="16" t="s">
        <v>53</v>
      </c>
      <c r="C16" s="16" t="s">
        <v>122</v>
      </c>
    </row>
    <row r="17" spans="1:3">
      <c r="A17" s="16" t="s">
        <v>133</v>
      </c>
      <c r="B17" s="16" t="s">
        <v>53</v>
      </c>
      <c r="C17" s="16" t="s">
        <v>134</v>
      </c>
    </row>
    <row r="18" spans="1:3">
      <c r="A18" s="16" t="s">
        <v>135</v>
      </c>
      <c r="B18" s="16" t="s">
        <v>53</v>
      </c>
      <c r="C18" s="16" t="s">
        <v>136</v>
      </c>
    </row>
    <row r="19" spans="1:3">
      <c r="A19" s="16" t="s">
        <v>137</v>
      </c>
      <c r="B19" s="16" t="s">
        <v>53</v>
      </c>
      <c r="C19" s="16" t="s">
        <v>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76"/>
  <sheetViews>
    <sheetView tabSelected="1" workbookViewId="0">
      <pane xSplit="6990" ySplit="570" topLeftCell="A354" activePane="bottomRight"/>
      <selection activeCell="A2" sqref="A1:XFD1048576"/>
      <selection pane="topRight" activeCell="W1" sqref="W1:W1048576"/>
      <selection pane="bottomLeft" activeCell="A376" sqref="A376:B376"/>
      <selection pane="bottomRight" activeCell="W371" sqref="W371"/>
    </sheetView>
  </sheetViews>
  <sheetFormatPr defaultColWidth="8.88671875" defaultRowHeight="13.2"/>
  <cols>
    <col min="1" max="1" width="15.6640625" style="3" customWidth="1"/>
    <col min="2" max="2" width="15.6640625" style="9" customWidth="1"/>
    <col min="3" max="4" width="15.6640625" style="3" customWidth="1"/>
    <col min="5" max="5" width="11.6640625" style="13" customWidth="1"/>
    <col min="6" max="6" width="15.6640625" style="5" customWidth="1"/>
    <col min="7" max="7" width="15.6640625" style="3" customWidth="1"/>
    <col min="8" max="8" width="15.6640625" style="5" customWidth="1"/>
    <col min="9" max="9" width="15.6640625" style="9" customWidth="1"/>
    <col min="10" max="11" width="15.6640625" style="7" customWidth="1"/>
    <col min="12" max="12" width="15.6640625" style="5" customWidth="1"/>
    <col min="13" max="13" width="15.6640625" style="7" customWidth="1"/>
    <col min="14" max="18" width="15.6640625" style="3" customWidth="1"/>
    <col min="19" max="19" width="15.6640625" style="9" customWidth="1"/>
    <col min="20" max="20" width="15.6640625" style="3" customWidth="1"/>
    <col min="21" max="22" width="15.6640625" style="9" customWidth="1"/>
    <col min="23" max="23" width="101.33203125" style="13" bestFit="1" customWidth="1"/>
    <col min="24" max="16384" width="8.88671875" style="3"/>
  </cols>
  <sheetData>
    <row r="1" spans="1:23" s="1" customFormat="1">
      <c r="A1" s="1" t="s">
        <v>0</v>
      </c>
      <c r="B1" s="8" t="s">
        <v>152</v>
      </c>
      <c r="C1" s="1" t="s">
        <v>14</v>
      </c>
      <c r="D1" s="1" t="s">
        <v>1</v>
      </c>
      <c r="E1" s="14" t="s">
        <v>101</v>
      </c>
      <c r="F1" s="4" t="s">
        <v>155</v>
      </c>
      <c r="G1" s="1" t="s">
        <v>18</v>
      </c>
      <c r="H1" s="4" t="s">
        <v>88</v>
      </c>
      <c r="I1" s="8" t="s">
        <v>89</v>
      </c>
      <c r="J1" s="6" t="s">
        <v>3</v>
      </c>
      <c r="K1" s="6" t="s">
        <v>2</v>
      </c>
      <c r="L1" s="4" t="s">
        <v>90</v>
      </c>
      <c r="M1" s="6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8" t="s">
        <v>97</v>
      </c>
      <c r="T1" s="1" t="s">
        <v>98</v>
      </c>
      <c r="U1" s="8" t="s">
        <v>99</v>
      </c>
      <c r="V1" s="8" t="s">
        <v>100</v>
      </c>
      <c r="W1" s="14" t="s">
        <v>10</v>
      </c>
    </row>
    <row r="2" spans="1:23">
      <c r="A2" s="2">
        <v>44692</v>
      </c>
      <c r="B2" s="17" t="str">
        <f>TEXT((A2-DATEVALUE("1/1/"&amp;TEXT(A2,"yy"))+1),"000")</f>
        <v>131</v>
      </c>
      <c r="C2" s="2" t="s">
        <v>15</v>
      </c>
      <c r="D2" s="3" t="s">
        <v>9</v>
      </c>
      <c r="E2" s="13" t="s">
        <v>104</v>
      </c>
      <c r="F2" s="5" t="s">
        <v>5</v>
      </c>
      <c r="G2" s="3">
        <v>1343</v>
      </c>
      <c r="H2" s="5">
        <v>14.27</v>
      </c>
      <c r="I2" s="9">
        <v>671</v>
      </c>
      <c r="J2" s="7">
        <v>0.154</v>
      </c>
      <c r="K2" s="7">
        <v>7.23</v>
      </c>
      <c r="L2" s="5">
        <v>90.1</v>
      </c>
      <c r="M2" s="7">
        <v>7.85</v>
      </c>
      <c r="N2" s="3">
        <v>90</v>
      </c>
      <c r="O2" s="3">
        <v>163</v>
      </c>
      <c r="P2" s="3">
        <v>62</v>
      </c>
      <c r="Q2" s="3">
        <v>447</v>
      </c>
      <c r="R2" s="3">
        <v>76</v>
      </c>
      <c r="S2" s="9">
        <v>2730</v>
      </c>
      <c r="T2" s="3">
        <f>O2-N2</f>
        <v>73</v>
      </c>
      <c r="U2" s="9">
        <f>(T2/O2)*100</f>
        <v>44.785276073619634</v>
      </c>
      <c r="V2" s="9">
        <f>S2/O2</f>
        <v>16.74846625766871</v>
      </c>
      <c r="W2" s="13" t="s">
        <v>11</v>
      </c>
    </row>
    <row r="3" spans="1:23">
      <c r="A3" s="2">
        <v>44692</v>
      </c>
      <c r="B3" s="17" t="str">
        <f t="shared" ref="B3:B33" si="0">TEXT((A3-DATEVALUE("1/1/"&amp;TEXT(A3,"yy"))+1),"000")</f>
        <v>131</v>
      </c>
      <c r="C3" s="2" t="s">
        <v>15</v>
      </c>
      <c r="D3" s="3" t="s">
        <v>33</v>
      </c>
      <c r="E3" s="13" t="s">
        <v>102</v>
      </c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5</v>
      </c>
      <c r="L3" s="5" t="s">
        <v>5</v>
      </c>
      <c r="M3" s="5" t="s">
        <v>5</v>
      </c>
      <c r="N3" s="5" t="s">
        <v>5</v>
      </c>
      <c r="O3" s="5" t="s">
        <v>5</v>
      </c>
      <c r="P3" s="5" t="s">
        <v>5</v>
      </c>
      <c r="Q3" s="5" t="s">
        <v>5</v>
      </c>
      <c r="R3" s="5" t="s">
        <v>5</v>
      </c>
      <c r="S3" s="9" t="s">
        <v>5</v>
      </c>
      <c r="T3" s="5" t="s">
        <v>5</v>
      </c>
      <c r="U3" s="5" t="s">
        <v>5</v>
      </c>
      <c r="V3" s="5" t="s">
        <v>5</v>
      </c>
      <c r="W3" s="13" t="s">
        <v>81</v>
      </c>
    </row>
    <row r="4" spans="1:23">
      <c r="A4" s="2">
        <v>44692</v>
      </c>
      <c r="B4" s="17" t="str">
        <f t="shared" si="0"/>
        <v>131</v>
      </c>
      <c r="C4" s="2" t="s">
        <v>15</v>
      </c>
      <c r="D4" s="3" t="s">
        <v>4</v>
      </c>
      <c r="E4" s="13" t="s">
        <v>104</v>
      </c>
      <c r="F4" s="5" t="s">
        <v>5</v>
      </c>
      <c r="G4" s="3">
        <v>1220</v>
      </c>
      <c r="H4" s="5">
        <v>10.7</v>
      </c>
      <c r="I4" s="9">
        <v>371</v>
      </c>
      <c r="J4" s="7">
        <v>0.04</v>
      </c>
      <c r="K4" s="7">
        <v>8.3699999999999992</v>
      </c>
      <c r="L4" s="5">
        <v>111.2</v>
      </c>
      <c r="M4" s="7">
        <v>10.47</v>
      </c>
      <c r="N4" s="3">
        <v>38</v>
      </c>
      <c r="O4" s="3">
        <v>58</v>
      </c>
      <c r="P4" s="3">
        <v>22</v>
      </c>
      <c r="Q4" s="3">
        <v>16</v>
      </c>
      <c r="R4" s="3">
        <v>12</v>
      </c>
      <c r="S4" s="9">
        <v>369</v>
      </c>
      <c r="T4" s="3">
        <f>O4-N4</f>
        <v>20</v>
      </c>
      <c r="U4" s="9">
        <f>(T4/O4)*100</f>
        <v>34.482758620689658</v>
      </c>
      <c r="V4" s="9">
        <f>S4/O4</f>
        <v>6.3620689655172411</v>
      </c>
      <c r="W4" s="13" t="s">
        <v>12</v>
      </c>
    </row>
    <row r="5" spans="1:23">
      <c r="A5" s="2">
        <v>44692</v>
      </c>
      <c r="B5" s="17" t="str">
        <f t="shared" si="0"/>
        <v>131</v>
      </c>
      <c r="C5" s="2" t="s">
        <v>15</v>
      </c>
      <c r="D5" s="3" t="s">
        <v>21</v>
      </c>
      <c r="E5" s="13" t="s">
        <v>102</v>
      </c>
      <c r="F5" s="5" t="s">
        <v>5</v>
      </c>
      <c r="G5" s="5" t="s">
        <v>5</v>
      </c>
      <c r="H5" s="5" t="s">
        <v>5</v>
      </c>
      <c r="I5" s="9" t="s">
        <v>5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  <c r="Q5" s="5" t="s">
        <v>5</v>
      </c>
      <c r="R5" s="5" t="s">
        <v>5</v>
      </c>
      <c r="S5" s="9" t="s">
        <v>5</v>
      </c>
      <c r="T5" s="5" t="s">
        <v>5</v>
      </c>
      <c r="U5" s="9" t="s">
        <v>5</v>
      </c>
      <c r="V5" s="5" t="s">
        <v>5</v>
      </c>
      <c r="W5" s="13" t="s">
        <v>13</v>
      </c>
    </row>
    <row r="6" spans="1:23">
      <c r="A6" s="2">
        <v>44692</v>
      </c>
      <c r="B6" s="17" t="str">
        <f t="shared" si="0"/>
        <v>131</v>
      </c>
      <c r="C6" s="2" t="s">
        <v>15</v>
      </c>
      <c r="D6" s="3" t="s">
        <v>6</v>
      </c>
      <c r="E6" s="13" t="s">
        <v>104</v>
      </c>
      <c r="F6" s="5" t="s">
        <v>5</v>
      </c>
      <c r="G6" s="3">
        <v>1237</v>
      </c>
      <c r="H6" s="5">
        <v>11.8</v>
      </c>
      <c r="I6" s="9">
        <v>646</v>
      </c>
      <c r="J6" s="7">
        <v>4.8000000000000001E-2</v>
      </c>
      <c r="K6" s="7">
        <v>7.88</v>
      </c>
      <c r="L6" s="5">
        <v>97.7</v>
      </c>
      <c r="M6" s="7">
        <v>8.9600000000000009</v>
      </c>
      <c r="N6" s="3">
        <v>33</v>
      </c>
      <c r="O6" s="3">
        <v>55</v>
      </c>
      <c r="P6" s="3">
        <v>7</v>
      </c>
      <c r="Q6" s="3">
        <v>29</v>
      </c>
      <c r="R6" s="3">
        <v>24</v>
      </c>
      <c r="S6" s="9">
        <v>1520</v>
      </c>
      <c r="T6" s="3">
        <f>O6-N6</f>
        <v>22</v>
      </c>
      <c r="U6" s="9">
        <f>(T6/O6)*100</f>
        <v>40</v>
      </c>
      <c r="V6" s="9">
        <f>S6/O6</f>
        <v>27.636363636363637</v>
      </c>
      <c r="W6" s="13" t="s">
        <v>5</v>
      </c>
    </row>
    <row r="7" spans="1:23">
      <c r="A7" s="2">
        <v>44692</v>
      </c>
      <c r="B7" s="17" t="str">
        <f t="shared" si="0"/>
        <v>131</v>
      </c>
      <c r="C7" s="2" t="s">
        <v>15</v>
      </c>
      <c r="D7" s="3" t="s">
        <v>16</v>
      </c>
      <c r="E7" s="13" t="s">
        <v>103</v>
      </c>
      <c r="F7" s="5" t="s">
        <v>5</v>
      </c>
      <c r="G7" s="3" t="s">
        <v>5</v>
      </c>
      <c r="H7" s="5" t="s">
        <v>5</v>
      </c>
      <c r="I7" s="9" t="s">
        <v>5</v>
      </c>
      <c r="J7" s="7" t="s">
        <v>5</v>
      </c>
      <c r="K7" s="7" t="s">
        <v>5</v>
      </c>
      <c r="L7" s="5" t="s">
        <v>5</v>
      </c>
      <c r="M7" s="7" t="s">
        <v>5</v>
      </c>
      <c r="N7" s="3">
        <v>0</v>
      </c>
      <c r="O7" s="3">
        <v>0</v>
      </c>
      <c r="P7" s="3">
        <v>0</v>
      </c>
      <c r="Q7" s="10">
        <v>11</v>
      </c>
      <c r="R7" s="3">
        <v>0</v>
      </c>
      <c r="S7" s="9">
        <v>0</v>
      </c>
      <c r="T7" s="5" t="s">
        <v>5</v>
      </c>
      <c r="U7" s="9" t="s">
        <v>5</v>
      </c>
      <c r="V7" s="5" t="s">
        <v>5</v>
      </c>
      <c r="W7" s="13" t="s">
        <v>26</v>
      </c>
    </row>
    <row r="8" spans="1:23">
      <c r="A8" s="2">
        <v>44692</v>
      </c>
      <c r="B8" s="17" t="str">
        <f t="shared" si="0"/>
        <v>131</v>
      </c>
      <c r="C8" s="2" t="s">
        <v>15</v>
      </c>
      <c r="D8" s="3" t="s">
        <v>7</v>
      </c>
      <c r="E8" s="13" t="s">
        <v>104</v>
      </c>
      <c r="F8" s="5" t="s">
        <v>5</v>
      </c>
      <c r="G8" s="3">
        <v>1251</v>
      </c>
      <c r="H8" s="5">
        <v>9.48</v>
      </c>
      <c r="I8" s="9">
        <v>1028</v>
      </c>
      <c r="J8" s="7">
        <v>5.0999999999999997E-2</v>
      </c>
      <c r="K8" s="7">
        <v>8.1199999999999992</v>
      </c>
      <c r="L8" s="5">
        <v>95.7</v>
      </c>
      <c r="M8" s="7">
        <v>9.2200000000000006</v>
      </c>
      <c r="N8" s="3">
        <v>72</v>
      </c>
      <c r="O8" s="3">
        <v>127</v>
      </c>
      <c r="P8" s="3">
        <v>23</v>
      </c>
      <c r="Q8" s="3">
        <v>151</v>
      </c>
      <c r="R8" s="3">
        <v>120</v>
      </c>
      <c r="S8" s="9">
        <v>3570</v>
      </c>
      <c r="T8" s="3">
        <f>O8-N8</f>
        <v>55</v>
      </c>
      <c r="U8" s="9">
        <f>(T8/O8)*100</f>
        <v>43.30708661417323</v>
      </c>
      <c r="V8" s="9">
        <f>S8/O8</f>
        <v>28.110236220472441</v>
      </c>
      <c r="W8" s="13" t="s">
        <v>5</v>
      </c>
    </row>
    <row r="9" spans="1:23">
      <c r="A9" s="2">
        <v>44692</v>
      </c>
      <c r="B9" s="17" t="str">
        <f t="shared" si="0"/>
        <v>131</v>
      </c>
      <c r="C9" s="2" t="s">
        <v>15</v>
      </c>
      <c r="D9" s="3" t="s">
        <v>8</v>
      </c>
      <c r="E9" s="13" t="s">
        <v>104</v>
      </c>
      <c r="F9" s="5" t="s">
        <v>5</v>
      </c>
      <c r="G9" s="3">
        <v>1315</v>
      </c>
      <c r="H9" s="5">
        <v>12.81</v>
      </c>
      <c r="I9" s="9">
        <v>871</v>
      </c>
      <c r="J9" s="7">
        <v>7.0000000000000007E-2</v>
      </c>
      <c r="K9" s="7">
        <v>7.92</v>
      </c>
      <c r="L9" s="5">
        <v>105</v>
      </c>
      <c r="M9" s="7">
        <v>9.41</v>
      </c>
      <c r="N9" s="3">
        <v>96</v>
      </c>
      <c r="O9" s="3">
        <v>129</v>
      </c>
      <c r="P9" s="3">
        <v>57</v>
      </c>
      <c r="Q9" s="3">
        <v>246</v>
      </c>
      <c r="R9" s="3">
        <v>116</v>
      </c>
      <c r="S9" s="9">
        <v>3060</v>
      </c>
      <c r="T9" s="3">
        <f>O9-N9</f>
        <v>33</v>
      </c>
      <c r="U9" s="9">
        <f>(T9/O9)*100</f>
        <v>25.581395348837212</v>
      </c>
      <c r="V9" s="9">
        <f>S9/O9</f>
        <v>23.720930232558139</v>
      </c>
      <c r="W9" s="13" t="s">
        <v>5</v>
      </c>
    </row>
    <row r="10" spans="1:23">
      <c r="A10" s="2">
        <v>44692</v>
      </c>
      <c r="B10" s="17" t="str">
        <f t="shared" si="0"/>
        <v>131</v>
      </c>
      <c r="C10" s="2" t="s">
        <v>15</v>
      </c>
      <c r="D10" s="3" t="s">
        <v>17</v>
      </c>
      <c r="E10" s="13" t="s">
        <v>103</v>
      </c>
      <c r="F10" s="5" t="s">
        <v>5</v>
      </c>
      <c r="G10" s="3" t="s">
        <v>5</v>
      </c>
      <c r="H10" s="5" t="s">
        <v>5</v>
      </c>
      <c r="I10" s="9" t="s">
        <v>5</v>
      </c>
      <c r="J10" s="7" t="s">
        <v>5</v>
      </c>
      <c r="K10" s="7" t="s">
        <v>5</v>
      </c>
      <c r="L10" s="5" t="s">
        <v>5</v>
      </c>
      <c r="M10" s="7" t="s">
        <v>5</v>
      </c>
      <c r="N10" s="3">
        <v>96</v>
      </c>
      <c r="O10" s="3">
        <v>140</v>
      </c>
      <c r="P10" s="3">
        <v>54</v>
      </c>
      <c r="Q10" s="3">
        <v>246</v>
      </c>
      <c r="R10" s="3">
        <v>118</v>
      </c>
      <c r="S10" s="9">
        <v>3100</v>
      </c>
      <c r="T10" s="3">
        <f>O10-N10</f>
        <v>44</v>
      </c>
      <c r="U10" s="9">
        <f>(T10/O10)*100</f>
        <v>31.428571428571427</v>
      </c>
      <c r="V10" s="9">
        <f>S10/O10</f>
        <v>22.142857142857142</v>
      </c>
      <c r="W10" s="13" t="s">
        <v>25</v>
      </c>
    </row>
    <row r="11" spans="1:23">
      <c r="A11" s="2">
        <v>44692</v>
      </c>
      <c r="B11" s="17" t="str">
        <f t="shared" si="0"/>
        <v>131</v>
      </c>
      <c r="C11" s="2" t="s">
        <v>15</v>
      </c>
      <c r="D11" s="3" t="s">
        <v>20</v>
      </c>
      <c r="E11" s="13" t="s">
        <v>102</v>
      </c>
      <c r="F11" s="5">
        <v>3.8</v>
      </c>
      <c r="G11" s="5" t="s">
        <v>5</v>
      </c>
      <c r="H11" s="5" t="s">
        <v>5</v>
      </c>
      <c r="I11" s="9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  <c r="Q11" s="5" t="s">
        <v>5</v>
      </c>
      <c r="R11" s="5" t="s">
        <v>5</v>
      </c>
      <c r="S11" s="9" t="s">
        <v>5</v>
      </c>
      <c r="T11" s="5" t="s">
        <v>5</v>
      </c>
      <c r="U11" s="9" t="s">
        <v>5</v>
      </c>
      <c r="V11" s="9" t="s">
        <v>5</v>
      </c>
      <c r="W11" s="13" t="s">
        <v>5</v>
      </c>
    </row>
    <row r="12" spans="1:23">
      <c r="A12" s="2">
        <v>44718</v>
      </c>
      <c r="B12" s="17" t="str">
        <f t="shared" si="0"/>
        <v>157</v>
      </c>
      <c r="C12" s="2" t="s">
        <v>15</v>
      </c>
      <c r="D12" s="3" t="s">
        <v>33</v>
      </c>
      <c r="E12" s="13" t="s">
        <v>102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  <c r="Q12" s="5" t="s">
        <v>5</v>
      </c>
      <c r="R12" s="5" t="s">
        <v>5</v>
      </c>
      <c r="S12" s="9" t="s">
        <v>5</v>
      </c>
      <c r="T12" s="5" t="s">
        <v>5</v>
      </c>
      <c r="U12" s="5" t="s">
        <v>5</v>
      </c>
      <c r="V12" s="5" t="s">
        <v>5</v>
      </c>
      <c r="W12" s="13" t="s">
        <v>81</v>
      </c>
    </row>
    <row r="13" spans="1:23">
      <c r="A13" s="2">
        <v>44718</v>
      </c>
      <c r="B13" s="17" t="str">
        <f t="shared" si="0"/>
        <v>157</v>
      </c>
      <c r="C13" s="2" t="s">
        <v>15</v>
      </c>
      <c r="D13" s="3" t="s">
        <v>4</v>
      </c>
      <c r="E13" s="13" t="s">
        <v>104</v>
      </c>
      <c r="F13" s="5" t="s">
        <v>5</v>
      </c>
      <c r="G13" s="3">
        <v>1311</v>
      </c>
      <c r="H13" s="5">
        <v>18.41</v>
      </c>
      <c r="I13" s="9">
        <v>203</v>
      </c>
      <c r="J13" s="7">
        <v>6.2E-2</v>
      </c>
      <c r="K13" s="7">
        <v>8.83</v>
      </c>
      <c r="L13" s="5">
        <v>116.8</v>
      </c>
      <c r="M13" s="7">
        <v>9.52</v>
      </c>
      <c r="N13" s="3">
        <v>51</v>
      </c>
      <c r="O13" s="3">
        <v>59</v>
      </c>
      <c r="P13" s="3">
        <v>28</v>
      </c>
      <c r="Q13" s="3">
        <v>15</v>
      </c>
      <c r="R13" s="3">
        <v>0</v>
      </c>
      <c r="S13" s="9">
        <v>367</v>
      </c>
      <c r="T13" s="3">
        <f>O13-N13</f>
        <v>8</v>
      </c>
      <c r="U13" s="9">
        <f>(T13/O13)*100</f>
        <v>13.559322033898304</v>
      </c>
      <c r="V13" s="9">
        <f>S13/O13</f>
        <v>6.2203389830508478</v>
      </c>
      <c r="W13" s="13" t="s">
        <v>5</v>
      </c>
    </row>
    <row r="14" spans="1:23">
      <c r="A14" s="2">
        <v>44718</v>
      </c>
      <c r="B14" s="17" t="str">
        <f t="shared" si="0"/>
        <v>157</v>
      </c>
      <c r="C14" s="2" t="s">
        <v>15</v>
      </c>
      <c r="D14" s="3" t="s">
        <v>21</v>
      </c>
      <c r="E14" s="13" t="s">
        <v>102</v>
      </c>
      <c r="F14" s="5">
        <v>3.9</v>
      </c>
      <c r="G14" s="5" t="s">
        <v>5</v>
      </c>
      <c r="H14" s="5" t="s">
        <v>5</v>
      </c>
      <c r="I14" s="9" t="s">
        <v>5</v>
      </c>
      <c r="J14" s="5" t="s">
        <v>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  <c r="Q14" s="5" t="s">
        <v>5</v>
      </c>
      <c r="R14" s="5" t="s">
        <v>5</v>
      </c>
      <c r="S14" s="9" t="s">
        <v>5</v>
      </c>
      <c r="T14" s="5" t="s">
        <v>5</v>
      </c>
      <c r="U14" s="9" t="s">
        <v>5</v>
      </c>
      <c r="V14" s="9" t="s">
        <v>5</v>
      </c>
      <c r="W14" s="13" t="s">
        <v>22</v>
      </c>
    </row>
    <row r="15" spans="1:23">
      <c r="A15" s="2">
        <v>44718</v>
      </c>
      <c r="B15" s="17" t="str">
        <f t="shared" si="0"/>
        <v>157</v>
      </c>
      <c r="C15" s="2" t="s">
        <v>15</v>
      </c>
      <c r="D15" s="3" t="s">
        <v>6</v>
      </c>
      <c r="E15" s="13" t="s">
        <v>104</v>
      </c>
      <c r="F15" s="5" t="s">
        <v>5</v>
      </c>
      <c r="G15" s="3">
        <v>1357</v>
      </c>
      <c r="H15" s="5">
        <v>18.89</v>
      </c>
      <c r="I15" s="9">
        <v>342</v>
      </c>
      <c r="J15" s="7">
        <v>7.9000000000000001E-2</v>
      </c>
      <c r="K15" s="7">
        <v>7.92</v>
      </c>
      <c r="L15" s="5">
        <v>91.1</v>
      </c>
      <c r="M15" s="7">
        <v>7.34</v>
      </c>
      <c r="N15" s="3">
        <v>61</v>
      </c>
      <c r="O15" s="3">
        <v>94</v>
      </c>
      <c r="P15" s="3">
        <v>18</v>
      </c>
      <c r="Q15" s="3">
        <v>32</v>
      </c>
      <c r="R15" s="3">
        <v>20</v>
      </c>
      <c r="S15" s="9">
        <v>1660</v>
      </c>
      <c r="T15" s="3">
        <f>O15-N15</f>
        <v>33</v>
      </c>
      <c r="U15" s="9">
        <f>(T15/O15)*100</f>
        <v>35.106382978723403</v>
      </c>
      <c r="V15" s="9">
        <f>S15/O15</f>
        <v>17.659574468085108</v>
      </c>
      <c r="W15" s="13" t="s">
        <v>5</v>
      </c>
    </row>
    <row r="16" spans="1:23">
      <c r="A16" s="2">
        <v>44718</v>
      </c>
      <c r="B16" s="17" t="str">
        <f t="shared" si="0"/>
        <v>157</v>
      </c>
      <c r="C16" s="2" t="s">
        <v>15</v>
      </c>
      <c r="D16" s="3" t="s">
        <v>16</v>
      </c>
      <c r="E16" s="13" t="s">
        <v>103</v>
      </c>
      <c r="F16" s="5" t="s">
        <v>5</v>
      </c>
      <c r="G16" s="5" t="s">
        <v>5</v>
      </c>
      <c r="H16" s="5" t="s">
        <v>5</v>
      </c>
      <c r="I16" s="9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10">
        <v>9</v>
      </c>
      <c r="O16" s="10">
        <v>15</v>
      </c>
      <c r="P16" s="3">
        <v>0</v>
      </c>
      <c r="Q16" s="10">
        <v>8</v>
      </c>
      <c r="R16" s="3">
        <v>0</v>
      </c>
      <c r="S16" s="9">
        <v>0</v>
      </c>
      <c r="T16" s="5" t="s">
        <v>5</v>
      </c>
      <c r="U16" s="9" t="s">
        <v>5</v>
      </c>
      <c r="V16" s="5" t="s">
        <v>5</v>
      </c>
      <c r="W16" s="13" t="s">
        <v>26</v>
      </c>
    </row>
    <row r="17" spans="1:23">
      <c r="A17" s="2">
        <v>44718</v>
      </c>
      <c r="B17" s="17" t="str">
        <f t="shared" si="0"/>
        <v>157</v>
      </c>
      <c r="C17" s="2" t="s">
        <v>15</v>
      </c>
      <c r="D17" s="3" t="s">
        <v>19</v>
      </c>
      <c r="E17" s="13" t="s">
        <v>103</v>
      </c>
      <c r="F17" s="5" t="s">
        <v>5</v>
      </c>
      <c r="G17" s="5" t="s">
        <v>5</v>
      </c>
      <c r="H17" s="5" t="s">
        <v>5</v>
      </c>
      <c r="I17" s="9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3">
        <v>56</v>
      </c>
      <c r="O17" s="3">
        <v>76</v>
      </c>
      <c r="P17" s="3">
        <v>21</v>
      </c>
      <c r="Q17" s="3">
        <v>28</v>
      </c>
      <c r="R17" s="3">
        <v>20</v>
      </c>
      <c r="S17" s="9">
        <v>1460</v>
      </c>
      <c r="T17" s="3">
        <f>O17-N17</f>
        <v>20</v>
      </c>
      <c r="U17" s="9">
        <f>(T17/O17)*100</f>
        <v>26.315789473684209</v>
      </c>
      <c r="V17" s="9">
        <f>S17/O17</f>
        <v>19.210526315789473</v>
      </c>
      <c r="W17" s="13" t="s">
        <v>25</v>
      </c>
    </row>
    <row r="18" spans="1:23">
      <c r="A18" s="2">
        <v>44718</v>
      </c>
      <c r="B18" s="17" t="str">
        <f t="shared" si="0"/>
        <v>157</v>
      </c>
      <c r="C18" s="2" t="s">
        <v>15</v>
      </c>
      <c r="D18" s="3" t="s">
        <v>7</v>
      </c>
      <c r="E18" s="13" t="s">
        <v>104</v>
      </c>
      <c r="F18" s="5" t="s">
        <v>5</v>
      </c>
      <c r="G18" s="3">
        <v>1326</v>
      </c>
      <c r="H18" s="5">
        <v>19.38</v>
      </c>
      <c r="I18" s="9">
        <v>628</v>
      </c>
      <c r="J18" s="7">
        <v>5.3999999999999999E-2</v>
      </c>
      <c r="K18" s="7">
        <v>7.99</v>
      </c>
      <c r="L18" s="5">
        <v>85</v>
      </c>
      <c r="M18" s="7">
        <v>6.77</v>
      </c>
      <c r="N18" s="3">
        <v>219</v>
      </c>
      <c r="O18" s="3">
        <v>232</v>
      </c>
      <c r="P18" s="3">
        <v>150</v>
      </c>
      <c r="Q18" s="3">
        <v>95</v>
      </c>
      <c r="R18" s="3">
        <v>460</v>
      </c>
      <c r="S18" s="9">
        <v>2280</v>
      </c>
      <c r="T18" s="3">
        <f>O18-N18</f>
        <v>13</v>
      </c>
      <c r="U18" s="9">
        <f>(T18/O18)*100</f>
        <v>5.6034482758620694</v>
      </c>
      <c r="V18" s="9">
        <f>S18/O18</f>
        <v>9.8275862068965516</v>
      </c>
      <c r="W18" s="13" t="s">
        <v>23</v>
      </c>
    </row>
    <row r="19" spans="1:23">
      <c r="A19" s="2">
        <v>44718</v>
      </c>
      <c r="B19" s="17" t="str">
        <f t="shared" si="0"/>
        <v>157</v>
      </c>
      <c r="C19" s="2" t="s">
        <v>15</v>
      </c>
      <c r="D19" s="3" t="s">
        <v>8</v>
      </c>
      <c r="E19" s="13" t="s">
        <v>104</v>
      </c>
      <c r="F19" s="5">
        <v>2.7</v>
      </c>
      <c r="G19" s="3">
        <v>1342</v>
      </c>
      <c r="H19" s="5">
        <v>22.36</v>
      </c>
      <c r="I19" s="9">
        <v>606</v>
      </c>
      <c r="J19" s="7">
        <v>1E-3</v>
      </c>
      <c r="K19" s="7">
        <v>8.1999999999999993</v>
      </c>
      <c r="L19" s="5">
        <v>100.6</v>
      </c>
      <c r="M19" s="7">
        <v>7.6</v>
      </c>
      <c r="N19" s="3">
        <v>263</v>
      </c>
      <c r="O19" s="3">
        <v>302</v>
      </c>
      <c r="P19" s="3">
        <v>186</v>
      </c>
      <c r="Q19" s="3">
        <v>131</v>
      </c>
      <c r="R19" s="3">
        <v>425</v>
      </c>
      <c r="S19" s="9">
        <v>2240</v>
      </c>
      <c r="T19" s="3">
        <f>O19-N19</f>
        <v>39</v>
      </c>
      <c r="U19" s="9">
        <f>(T19/O19)*100</f>
        <v>12.913907284768211</v>
      </c>
      <c r="V19" s="9">
        <f>S19/O19</f>
        <v>7.4172185430463573</v>
      </c>
      <c r="W19" s="13" t="s">
        <v>24</v>
      </c>
    </row>
    <row r="20" spans="1:23">
      <c r="A20" s="2">
        <v>44718</v>
      </c>
      <c r="B20" s="17" t="str">
        <f t="shared" si="0"/>
        <v>157</v>
      </c>
      <c r="C20" s="2" t="s">
        <v>15</v>
      </c>
      <c r="D20" s="3" t="s">
        <v>20</v>
      </c>
      <c r="E20" s="13" t="s">
        <v>102</v>
      </c>
      <c r="F20" s="5">
        <v>3.6</v>
      </c>
      <c r="G20" s="5" t="s">
        <v>5</v>
      </c>
      <c r="H20" s="5" t="s">
        <v>5</v>
      </c>
      <c r="I20" s="9" t="s">
        <v>5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  <c r="Q20" s="5" t="s">
        <v>5</v>
      </c>
      <c r="R20" s="5" t="s">
        <v>5</v>
      </c>
      <c r="S20" s="9" t="s">
        <v>5</v>
      </c>
      <c r="T20" s="5" t="s">
        <v>5</v>
      </c>
      <c r="U20" s="9" t="s">
        <v>5</v>
      </c>
      <c r="V20" s="9" t="s">
        <v>5</v>
      </c>
      <c r="W20" s="13" t="s">
        <v>22</v>
      </c>
    </row>
    <row r="21" spans="1:23">
      <c r="A21" s="2">
        <v>44755</v>
      </c>
      <c r="B21" s="17" t="str">
        <f t="shared" si="0"/>
        <v>194</v>
      </c>
      <c r="C21" s="2" t="s">
        <v>15</v>
      </c>
      <c r="D21" s="3" t="s">
        <v>33</v>
      </c>
      <c r="E21" s="13" t="s">
        <v>102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  <c r="Q21" s="5" t="s">
        <v>5</v>
      </c>
      <c r="R21" s="5" t="s">
        <v>5</v>
      </c>
      <c r="S21" s="9" t="s">
        <v>5</v>
      </c>
      <c r="T21" s="5" t="s">
        <v>5</v>
      </c>
      <c r="U21" s="5" t="s">
        <v>5</v>
      </c>
      <c r="V21" s="5" t="s">
        <v>5</v>
      </c>
      <c r="W21" s="13" t="s">
        <v>81</v>
      </c>
    </row>
    <row r="22" spans="1:23">
      <c r="A22" s="2">
        <v>44755</v>
      </c>
      <c r="B22" s="17" t="str">
        <f t="shared" si="0"/>
        <v>194</v>
      </c>
      <c r="C22" s="2" t="s">
        <v>15</v>
      </c>
      <c r="D22" s="3" t="s">
        <v>4</v>
      </c>
      <c r="E22" s="13" t="s">
        <v>104</v>
      </c>
      <c r="F22" s="5" t="s">
        <v>5</v>
      </c>
      <c r="G22" s="3">
        <v>1053</v>
      </c>
      <c r="H22" s="5">
        <v>25.34</v>
      </c>
      <c r="I22" s="9">
        <v>70.5</v>
      </c>
      <c r="J22" s="7">
        <v>0.06</v>
      </c>
      <c r="K22" s="7">
        <v>8.7899999999999991</v>
      </c>
      <c r="L22" s="5">
        <v>149.80000000000001</v>
      </c>
      <c r="M22" s="7">
        <v>12.36</v>
      </c>
      <c r="N22" s="3">
        <v>186</v>
      </c>
      <c r="O22" s="3">
        <v>192</v>
      </c>
      <c r="P22" s="3">
        <v>119</v>
      </c>
      <c r="Q22" s="3">
        <v>40</v>
      </c>
      <c r="R22" s="3">
        <v>0</v>
      </c>
      <c r="S22" s="9">
        <v>3760</v>
      </c>
      <c r="T22" s="3">
        <f>O22-N22</f>
        <v>6</v>
      </c>
      <c r="U22" s="9">
        <f>(T22/O22)*100</f>
        <v>3.125</v>
      </c>
      <c r="V22" s="9">
        <f>S22/O22</f>
        <v>19.583333333333332</v>
      </c>
      <c r="W22" s="13" t="s">
        <v>32</v>
      </c>
    </row>
    <row r="23" spans="1:23">
      <c r="A23" s="2">
        <v>44755</v>
      </c>
      <c r="B23" s="17" t="str">
        <f t="shared" si="0"/>
        <v>194</v>
      </c>
      <c r="C23" s="2" t="s">
        <v>15</v>
      </c>
      <c r="D23" s="3" t="s">
        <v>29</v>
      </c>
      <c r="E23" s="13" t="s">
        <v>103</v>
      </c>
      <c r="F23" s="5" t="s">
        <v>5</v>
      </c>
      <c r="G23" s="5" t="s">
        <v>5</v>
      </c>
      <c r="H23" s="5" t="s">
        <v>5</v>
      </c>
      <c r="I23" s="9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3">
        <v>191</v>
      </c>
      <c r="O23" s="3">
        <v>190</v>
      </c>
      <c r="P23" s="3">
        <v>116</v>
      </c>
      <c r="Q23" s="3">
        <v>43</v>
      </c>
      <c r="R23" s="3">
        <v>10</v>
      </c>
      <c r="S23" s="9">
        <v>3850</v>
      </c>
      <c r="T23" s="3">
        <v>0</v>
      </c>
      <c r="U23" s="9">
        <v>0</v>
      </c>
      <c r="V23" s="9">
        <f>S23/O23</f>
        <v>20.263157894736842</v>
      </c>
      <c r="W23" s="13" t="s">
        <v>124</v>
      </c>
    </row>
    <row r="24" spans="1:23">
      <c r="A24" s="2">
        <v>44755</v>
      </c>
      <c r="B24" s="17" t="str">
        <f t="shared" si="0"/>
        <v>194</v>
      </c>
      <c r="C24" s="2" t="s">
        <v>15</v>
      </c>
      <c r="D24" s="3" t="s">
        <v>21</v>
      </c>
      <c r="E24" s="13" t="s">
        <v>102</v>
      </c>
      <c r="F24" s="5">
        <v>2.9</v>
      </c>
      <c r="G24" s="5" t="s">
        <v>5</v>
      </c>
      <c r="H24" s="5" t="s">
        <v>5</v>
      </c>
      <c r="I24" s="9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  <c r="Q24" s="5" t="s">
        <v>5</v>
      </c>
      <c r="R24" s="5" t="s">
        <v>5</v>
      </c>
      <c r="S24" s="9" t="s">
        <v>5</v>
      </c>
      <c r="T24" s="5" t="s">
        <v>5</v>
      </c>
      <c r="U24" s="9" t="s">
        <v>5</v>
      </c>
      <c r="V24" s="5" t="s">
        <v>5</v>
      </c>
      <c r="W24" s="13" t="s">
        <v>22</v>
      </c>
    </row>
    <row r="25" spans="1:23">
      <c r="A25" s="2">
        <v>44755</v>
      </c>
      <c r="B25" s="17" t="str">
        <f t="shared" si="0"/>
        <v>194</v>
      </c>
      <c r="C25" s="2" t="s">
        <v>15</v>
      </c>
      <c r="D25" s="3" t="s">
        <v>6</v>
      </c>
      <c r="E25" s="13" t="s">
        <v>104</v>
      </c>
      <c r="F25" s="5" t="s">
        <v>5</v>
      </c>
      <c r="G25" s="3">
        <v>1107</v>
      </c>
      <c r="H25" s="5">
        <v>23.74</v>
      </c>
      <c r="I25" s="9">
        <v>371</v>
      </c>
      <c r="J25" s="7">
        <v>3.2000000000000001E-2</v>
      </c>
      <c r="K25" s="7">
        <v>8.06</v>
      </c>
      <c r="L25" s="5">
        <v>85.3</v>
      </c>
      <c r="M25" s="7">
        <v>7.23</v>
      </c>
      <c r="N25" s="3">
        <v>69</v>
      </c>
      <c r="O25" s="3">
        <v>76</v>
      </c>
      <c r="P25" s="3">
        <v>33</v>
      </c>
      <c r="Q25" s="3">
        <v>23</v>
      </c>
      <c r="R25" s="3">
        <v>0</v>
      </c>
      <c r="S25" s="9">
        <v>1430</v>
      </c>
      <c r="T25" s="3">
        <f>O25-N25</f>
        <v>7</v>
      </c>
      <c r="U25" s="9">
        <f>(T25/O25)*100</f>
        <v>9.2105263157894726</v>
      </c>
      <c r="V25" s="9">
        <f>S25/O25</f>
        <v>18.815789473684209</v>
      </c>
      <c r="W25" s="13" t="s">
        <v>30</v>
      </c>
    </row>
    <row r="26" spans="1:23">
      <c r="A26" s="2">
        <v>44755</v>
      </c>
      <c r="B26" s="17" t="str">
        <f t="shared" si="0"/>
        <v>194</v>
      </c>
      <c r="C26" s="2" t="s">
        <v>15</v>
      </c>
      <c r="D26" s="3" t="s">
        <v>7</v>
      </c>
      <c r="E26" s="13" t="s">
        <v>104</v>
      </c>
      <c r="F26" s="5" t="s">
        <v>5</v>
      </c>
      <c r="G26" s="3">
        <v>1143</v>
      </c>
      <c r="H26" s="5">
        <v>24.25</v>
      </c>
      <c r="I26" s="9">
        <v>738</v>
      </c>
      <c r="J26" s="7">
        <v>7.0000000000000001E-3</v>
      </c>
      <c r="K26" s="7">
        <v>8.4499999999999993</v>
      </c>
      <c r="L26" s="5">
        <v>81.900000000000006</v>
      </c>
      <c r="M26" s="7">
        <v>6.86</v>
      </c>
      <c r="N26" s="3">
        <v>257</v>
      </c>
      <c r="O26" s="3">
        <v>257</v>
      </c>
      <c r="P26" s="3">
        <v>190</v>
      </c>
      <c r="Q26" s="3">
        <v>131</v>
      </c>
      <c r="R26" s="3">
        <v>51</v>
      </c>
      <c r="S26" s="9">
        <v>4030</v>
      </c>
      <c r="T26" s="3">
        <f>O26-N26</f>
        <v>0</v>
      </c>
      <c r="U26" s="9">
        <f>(T26/O26)*100</f>
        <v>0</v>
      </c>
      <c r="V26" s="9">
        <f>S26/O26</f>
        <v>15.680933852140077</v>
      </c>
      <c r="W26" s="13" t="s">
        <v>23</v>
      </c>
    </row>
    <row r="27" spans="1:23">
      <c r="A27" s="2">
        <v>44755</v>
      </c>
      <c r="B27" s="17" t="str">
        <f t="shared" si="0"/>
        <v>194</v>
      </c>
      <c r="C27" s="2" t="s">
        <v>15</v>
      </c>
      <c r="D27" s="3" t="s">
        <v>8</v>
      </c>
      <c r="E27" s="13" t="s">
        <v>104</v>
      </c>
      <c r="F27" s="5">
        <v>2.6</v>
      </c>
      <c r="G27" s="3">
        <v>1130</v>
      </c>
      <c r="H27" s="5">
        <v>28.1</v>
      </c>
      <c r="I27" s="9">
        <v>705</v>
      </c>
      <c r="J27" s="7">
        <v>2.5999999999999999E-2</v>
      </c>
      <c r="K27" s="7">
        <v>8.18</v>
      </c>
      <c r="L27" s="5">
        <v>88</v>
      </c>
      <c r="M27" s="7">
        <v>6.91</v>
      </c>
      <c r="N27" s="3">
        <v>317</v>
      </c>
      <c r="O27" s="3">
        <v>321</v>
      </c>
      <c r="P27" s="3">
        <v>263</v>
      </c>
      <c r="Q27" s="3">
        <v>210</v>
      </c>
      <c r="R27" s="3">
        <v>70</v>
      </c>
      <c r="S27" s="9">
        <v>3840</v>
      </c>
      <c r="T27" s="3">
        <f>O27-N27</f>
        <v>4</v>
      </c>
      <c r="U27" s="9">
        <f>(T27/O27)*100</f>
        <v>1.2461059190031152</v>
      </c>
      <c r="V27" s="9">
        <f>S27/O27</f>
        <v>11.962616822429906</v>
      </c>
      <c r="W27" s="13" t="s">
        <v>31</v>
      </c>
    </row>
    <row r="28" spans="1:23">
      <c r="A28" s="2">
        <v>44755</v>
      </c>
      <c r="B28" s="17" t="str">
        <f t="shared" si="0"/>
        <v>194</v>
      </c>
      <c r="C28" s="2" t="s">
        <v>15</v>
      </c>
      <c r="D28" s="3" t="s">
        <v>27</v>
      </c>
      <c r="E28" s="13" t="s">
        <v>103</v>
      </c>
      <c r="F28" s="5" t="s">
        <v>5</v>
      </c>
      <c r="G28" s="5" t="s">
        <v>5</v>
      </c>
      <c r="H28" s="5" t="s">
        <v>5</v>
      </c>
      <c r="I28" s="9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3">
        <v>0</v>
      </c>
      <c r="O28" s="10">
        <v>12</v>
      </c>
      <c r="P28" s="3">
        <v>0</v>
      </c>
      <c r="Q28" s="10">
        <v>11</v>
      </c>
      <c r="R28" s="3">
        <v>0</v>
      </c>
      <c r="S28" s="9">
        <v>0</v>
      </c>
      <c r="T28" s="5" t="s">
        <v>5</v>
      </c>
      <c r="U28" s="9" t="s">
        <v>5</v>
      </c>
      <c r="V28" s="5" t="s">
        <v>5</v>
      </c>
      <c r="W28" s="13" t="s">
        <v>57</v>
      </c>
    </row>
    <row r="29" spans="1:23">
      <c r="A29" s="2">
        <v>44755</v>
      </c>
      <c r="B29" s="17" t="str">
        <f t="shared" si="0"/>
        <v>194</v>
      </c>
      <c r="C29" s="2" t="s">
        <v>15</v>
      </c>
      <c r="D29" s="3" t="s">
        <v>28</v>
      </c>
      <c r="E29" s="13" t="s">
        <v>103</v>
      </c>
      <c r="F29" s="5" t="s">
        <v>5</v>
      </c>
      <c r="G29" s="5" t="s">
        <v>5</v>
      </c>
      <c r="H29" s="5" t="s">
        <v>5</v>
      </c>
      <c r="I29" s="9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10">
        <v>10</v>
      </c>
      <c r="O29" s="10">
        <v>13</v>
      </c>
      <c r="P29" s="3">
        <v>0</v>
      </c>
      <c r="Q29" s="10">
        <v>11</v>
      </c>
      <c r="R29" s="3">
        <v>0</v>
      </c>
      <c r="S29" s="9">
        <v>0</v>
      </c>
      <c r="T29" s="5" t="s">
        <v>5</v>
      </c>
      <c r="U29" s="9" t="s">
        <v>5</v>
      </c>
      <c r="V29" s="5" t="s">
        <v>5</v>
      </c>
      <c r="W29" s="13" t="s">
        <v>58</v>
      </c>
    </row>
    <row r="30" spans="1:23">
      <c r="A30" s="2">
        <v>44755</v>
      </c>
      <c r="B30" s="17" t="str">
        <f t="shared" si="0"/>
        <v>194</v>
      </c>
      <c r="C30" s="2" t="s">
        <v>15</v>
      </c>
      <c r="D30" s="3" t="s">
        <v>20</v>
      </c>
      <c r="E30" s="13" t="s">
        <v>102</v>
      </c>
      <c r="F30" s="5">
        <v>2.2000000000000002</v>
      </c>
      <c r="G30" s="5" t="s">
        <v>5</v>
      </c>
      <c r="H30" s="5" t="s">
        <v>5</v>
      </c>
      <c r="I30" s="9" t="s">
        <v>5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  <c r="Q30" s="5" t="s">
        <v>5</v>
      </c>
      <c r="R30" s="5" t="s">
        <v>5</v>
      </c>
      <c r="S30" s="9" t="s">
        <v>5</v>
      </c>
      <c r="T30" s="5" t="s">
        <v>5</v>
      </c>
      <c r="U30" s="9" t="s">
        <v>5</v>
      </c>
      <c r="V30" s="9" t="s">
        <v>5</v>
      </c>
      <c r="W30" s="13" t="s">
        <v>5</v>
      </c>
    </row>
    <row r="31" spans="1:23">
      <c r="A31" s="2">
        <v>44783</v>
      </c>
      <c r="B31" s="17" t="str">
        <f t="shared" si="0"/>
        <v>222</v>
      </c>
      <c r="C31" s="2" t="s">
        <v>15</v>
      </c>
      <c r="D31" s="3" t="s">
        <v>33</v>
      </c>
      <c r="E31" s="13" t="s">
        <v>102</v>
      </c>
      <c r="F31" s="5">
        <v>1.9</v>
      </c>
      <c r="G31" s="5" t="s">
        <v>5</v>
      </c>
      <c r="H31" s="5" t="s">
        <v>5</v>
      </c>
      <c r="I31" s="9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  <c r="Q31" s="5" t="s">
        <v>5</v>
      </c>
      <c r="R31" s="5" t="s">
        <v>5</v>
      </c>
      <c r="S31" s="9" t="s">
        <v>5</v>
      </c>
      <c r="T31" s="5" t="s">
        <v>5</v>
      </c>
      <c r="U31" s="9" t="s">
        <v>5</v>
      </c>
      <c r="V31" s="5" t="s">
        <v>5</v>
      </c>
      <c r="W31" s="18" t="s">
        <v>34</v>
      </c>
    </row>
    <row r="32" spans="1:23">
      <c r="A32" s="2">
        <v>44783</v>
      </c>
      <c r="B32" s="17" t="str">
        <f t="shared" si="0"/>
        <v>222</v>
      </c>
      <c r="C32" s="2" t="s">
        <v>15</v>
      </c>
      <c r="D32" s="3" t="s">
        <v>4</v>
      </c>
      <c r="E32" s="13" t="s">
        <v>104</v>
      </c>
      <c r="F32" s="5" t="s">
        <v>5</v>
      </c>
      <c r="G32" s="3">
        <v>836</v>
      </c>
      <c r="H32" s="5">
        <v>19.489999999999998</v>
      </c>
      <c r="I32" s="9">
        <v>209</v>
      </c>
      <c r="J32" s="7">
        <v>0.01</v>
      </c>
      <c r="K32" s="7">
        <v>9.16</v>
      </c>
      <c r="L32" s="5">
        <v>20.5</v>
      </c>
      <c r="M32" s="7">
        <v>1.87</v>
      </c>
      <c r="N32" s="3">
        <v>84</v>
      </c>
      <c r="O32" s="3">
        <v>111</v>
      </c>
      <c r="P32" s="3">
        <v>59</v>
      </c>
      <c r="Q32" s="3">
        <v>66</v>
      </c>
      <c r="R32" s="3">
        <v>8</v>
      </c>
      <c r="S32" s="9">
        <v>716</v>
      </c>
      <c r="T32" s="3">
        <f>O32-N32</f>
        <v>27</v>
      </c>
      <c r="U32" s="9">
        <f>(T32/O32)*100</f>
        <v>24.324324324324326</v>
      </c>
      <c r="V32" s="9">
        <f>S32/O32</f>
        <v>6.4504504504504503</v>
      </c>
      <c r="W32" s="18" t="s">
        <v>61</v>
      </c>
    </row>
    <row r="33" spans="1:23">
      <c r="A33" s="2">
        <v>44783</v>
      </c>
      <c r="B33" s="17" t="str">
        <f t="shared" si="0"/>
        <v>222</v>
      </c>
      <c r="C33" s="2" t="s">
        <v>15</v>
      </c>
      <c r="D33" s="3" t="s">
        <v>36</v>
      </c>
      <c r="E33" s="13" t="s">
        <v>103</v>
      </c>
      <c r="F33" s="5" t="s">
        <v>5</v>
      </c>
      <c r="G33" s="5" t="s">
        <v>5</v>
      </c>
      <c r="H33" s="5" t="s">
        <v>5</v>
      </c>
      <c r="I33" s="9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3">
        <v>0</v>
      </c>
      <c r="O33" s="3">
        <v>0</v>
      </c>
      <c r="P33" s="3">
        <v>0</v>
      </c>
      <c r="Q33" s="10">
        <v>6</v>
      </c>
      <c r="R33" s="3">
        <v>0</v>
      </c>
      <c r="S33" s="9">
        <v>0</v>
      </c>
      <c r="T33" s="3">
        <f>O33-N33</f>
        <v>0</v>
      </c>
      <c r="U33" s="9">
        <v>0</v>
      </c>
      <c r="V33" s="9" t="s">
        <v>5</v>
      </c>
      <c r="W33" s="13" t="s">
        <v>56</v>
      </c>
    </row>
    <row r="34" spans="1:23">
      <c r="A34" s="2">
        <v>44783</v>
      </c>
      <c r="B34" s="17" t="str">
        <f t="shared" ref="B34:B65" si="1">TEXT((A34-DATEVALUE("1/1/"&amp;TEXT(A34,"yy"))+1),"000")</f>
        <v>222</v>
      </c>
      <c r="C34" s="2" t="s">
        <v>15</v>
      </c>
      <c r="D34" s="3" t="s">
        <v>21</v>
      </c>
      <c r="E34" s="13" t="s">
        <v>102</v>
      </c>
      <c r="F34" s="5">
        <v>2.68</v>
      </c>
      <c r="G34" s="5" t="s">
        <v>5</v>
      </c>
      <c r="H34" s="5" t="s">
        <v>5</v>
      </c>
      <c r="I34" s="9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  <c r="Q34" s="5" t="s">
        <v>5</v>
      </c>
      <c r="R34" s="5" t="s">
        <v>5</v>
      </c>
      <c r="S34" s="9" t="s">
        <v>5</v>
      </c>
      <c r="T34" s="5" t="s">
        <v>5</v>
      </c>
      <c r="U34" s="9" t="s">
        <v>5</v>
      </c>
      <c r="V34" s="5" t="s">
        <v>5</v>
      </c>
      <c r="W34" s="18" t="s">
        <v>34</v>
      </c>
    </row>
    <row r="35" spans="1:23">
      <c r="A35" s="2">
        <v>44783</v>
      </c>
      <c r="B35" s="17" t="str">
        <f t="shared" si="1"/>
        <v>222</v>
      </c>
      <c r="C35" s="2" t="s">
        <v>15</v>
      </c>
      <c r="D35" s="3" t="s">
        <v>6</v>
      </c>
      <c r="E35" s="13" t="s">
        <v>104</v>
      </c>
      <c r="F35" s="3" t="s">
        <v>5</v>
      </c>
      <c r="G35" s="9">
        <v>855</v>
      </c>
      <c r="H35" s="5">
        <v>20.22</v>
      </c>
      <c r="I35" s="9">
        <v>503</v>
      </c>
      <c r="J35" s="11">
        <v>8.4000000000000005E-2</v>
      </c>
      <c r="K35" s="7">
        <v>7.33</v>
      </c>
      <c r="L35" s="5">
        <v>16.399999999999999</v>
      </c>
      <c r="M35" s="7">
        <v>1.49</v>
      </c>
      <c r="N35" s="3">
        <v>87</v>
      </c>
      <c r="O35" s="3">
        <v>122</v>
      </c>
      <c r="P35" s="3">
        <v>41</v>
      </c>
      <c r="Q35" s="3">
        <v>31</v>
      </c>
      <c r="R35" s="3">
        <v>0</v>
      </c>
      <c r="S35" s="9">
        <v>2780</v>
      </c>
      <c r="T35" s="3">
        <f>O35-N35</f>
        <v>35</v>
      </c>
      <c r="U35" s="9">
        <f>(T35/O35)*100</f>
        <v>28.688524590163933</v>
      </c>
      <c r="V35" s="9">
        <f>S35/O35</f>
        <v>22.78688524590164</v>
      </c>
      <c r="W35" s="18" t="s">
        <v>34</v>
      </c>
    </row>
    <row r="36" spans="1:23">
      <c r="A36" s="2">
        <v>44783</v>
      </c>
      <c r="B36" s="17" t="str">
        <f t="shared" si="1"/>
        <v>222</v>
      </c>
      <c r="C36" s="2" t="s">
        <v>15</v>
      </c>
      <c r="D36" s="3" t="s">
        <v>7</v>
      </c>
      <c r="E36" s="13" t="s">
        <v>104</v>
      </c>
      <c r="F36" s="5" t="s">
        <v>5</v>
      </c>
      <c r="G36" s="3">
        <v>930</v>
      </c>
      <c r="H36" s="5">
        <v>17.260000000000002</v>
      </c>
      <c r="I36" s="9">
        <v>1049</v>
      </c>
      <c r="J36" s="7">
        <v>3.5000000000000003E-2</v>
      </c>
      <c r="K36" s="7">
        <v>8.4499999999999993</v>
      </c>
      <c r="L36" s="5">
        <v>43.1</v>
      </c>
      <c r="M36" s="7">
        <v>4.13</v>
      </c>
      <c r="N36" s="3">
        <v>166</v>
      </c>
      <c r="O36" s="3">
        <v>532</v>
      </c>
      <c r="P36" s="3">
        <v>42</v>
      </c>
      <c r="Q36" s="3">
        <v>49</v>
      </c>
      <c r="R36" s="3">
        <v>12</v>
      </c>
      <c r="S36" s="9">
        <v>9640</v>
      </c>
      <c r="T36" s="3">
        <f>O36-N36</f>
        <v>366</v>
      </c>
      <c r="U36" s="9">
        <f>(T36/O36)*100</f>
        <v>68.796992481203006</v>
      </c>
      <c r="V36" s="9">
        <f>S36/O36</f>
        <v>18.1203007518797</v>
      </c>
      <c r="W36" s="18" t="s">
        <v>59</v>
      </c>
    </row>
    <row r="37" spans="1:23">
      <c r="A37" s="2">
        <v>44783</v>
      </c>
      <c r="B37" s="17" t="str">
        <f t="shared" si="1"/>
        <v>222</v>
      </c>
      <c r="C37" s="2" t="s">
        <v>15</v>
      </c>
      <c r="D37" s="3" t="s">
        <v>35</v>
      </c>
      <c r="E37" s="13" t="s">
        <v>103</v>
      </c>
      <c r="F37" s="5" t="s">
        <v>5</v>
      </c>
      <c r="G37" s="5" t="s">
        <v>5</v>
      </c>
      <c r="H37" s="5" t="s">
        <v>5</v>
      </c>
      <c r="I37" s="9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3">
        <v>165</v>
      </c>
      <c r="O37" s="3">
        <v>550</v>
      </c>
      <c r="P37" s="3">
        <v>42</v>
      </c>
      <c r="Q37" s="3">
        <v>48</v>
      </c>
      <c r="R37" s="3">
        <v>11</v>
      </c>
      <c r="S37" s="9">
        <v>9360</v>
      </c>
      <c r="T37" s="3">
        <f>O37-N37</f>
        <v>385</v>
      </c>
      <c r="U37" s="9">
        <f>(T37/O37)*100</f>
        <v>70</v>
      </c>
      <c r="V37" s="9">
        <f>S37/O37</f>
        <v>17.018181818181819</v>
      </c>
      <c r="W37" s="18" t="s">
        <v>60</v>
      </c>
    </row>
    <row r="38" spans="1:23">
      <c r="A38" s="2">
        <v>44783</v>
      </c>
      <c r="B38" s="17" t="str">
        <f t="shared" si="1"/>
        <v>222</v>
      </c>
      <c r="C38" s="2" t="s">
        <v>15</v>
      </c>
      <c r="D38" s="3" t="s">
        <v>8</v>
      </c>
      <c r="E38" s="13" t="s">
        <v>104</v>
      </c>
      <c r="F38" s="5">
        <v>0.1</v>
      </c>
      <c r="G38" s="3">
        <v>920</v>
      </c>
      <c r="H38" s="5">
        <v>15.02</v>
      </c>
      <c r="I38" s="9">
        <v>585</v>
      </c>
      <c r="J38" s="7">
        <v>4.2999999999999997E-2</v>
      </c>
      <c r="K38" s="7">
        <v>8.68</v>
      </c>
      <c r="L38" s="5">
        <v>35.5</v>
      </c>
      <c r="M38" s="7">
        <v>3.56</v>
      </c>
      <c r="N38" s="3">
        <v>252</v>
      </c>
      <c r="O38" s="3">
        <v>304</v>
      </c>
      <c r="P38" s="3">
        <v>182</v>
      </c>
      <c r="Q38" s="3">
        <v>168</v>
      </c>
      <c r="R38" s="3">
        <v>18</v>
      </c>
      <c r="S38" s="9">
        <v>4760</v>
      </c>
      <c r="T38" s="3">
        <f>O38-N38</f>
        <v>52</v>
      </c>
      <c r="U38" s="9">
        <f>(T38/O38)*100</f>
        <v>17.105263157894736</v>
      </c>
      <c r="V38" s="9">
        <f>S38/O38</f>
        <v>15.657894736842104</v>
      </c>
      <c r="W38" s="18" t="s">
        <v>34</v>
      </c>
    </row>
    <row r="39" spans="1:23">
      <c r="A39" s="2">
        <v>44783</v>
      </c>
      <c r="B39" s="17" t="str">
        <f t="shared" si="1"/>
        <v>222</v>
      </c>
      <c r="C39" s="2" t="s">
        <v>15</v>
      </c>
      <c r="D39" s="3" t="s">
        <v>20</v>
      </c>
      <c r="E39" s="13" t="s">
        <v>102</v>
      </c>
      <c r="F39" s="5">
        <v>1.7</v>
      </c>
      <c r="G39" s="5" t="s">
        <v>5</v>
      </c>
      <c r="H39" s="5" t="s">
        <v>5</v>
      </c>
      <c r="I39" s="9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  <c r="Q39" s="5" t="s">
        <v>5</v>
      </c>
      <c r="R39" s="5" t="s">
        <v>5</v>
      </c>
      <c r="S39" s="9" t="s">
        <v>5</v>
      </c>
      <c r="T39" s="5" t="s">
        <v>5</v>
      </c>
      <c r="U39" s="9" t="s">
        <v>5</v>
      </c>
      <c r="V39" s="5" t="s">
        <v>5</v>
      </c>
      <c r="W39" s="18" t="s">
        <v>34</v>
      </c>
    </row>
    <row r="40" spans="1:23">
      <c r="A40" s="2">
        <v>44818</v>
      </c>
      <c r="B40" s="17" t="str">
        <f t="shared" si="1"/>
        <v>257</v>
      </c>
      <c r="C40" s="2" t="s">
        <v>15</v>
      </c>
      <c r="D40" s="3" t="s">
        <v>33</v>
      </c>
      <c r="E40" s="13" t="s">
        <v>102</v>
      </c>
      <c r="F40" s="5">
        <v>2.4300000000000002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  <c r="Q40" s="5" t="s">
        <v>5</v>
      </c>
      <c r="R40" s="5" t="s">
        <v>5</v>
      </c>
      <c r="S40" s="9" t="s">
        <v>5</v>
      </c>
      <c r="T40" s="5" t="s">
        <v>5</v>
      </c>
      <c r="U40" s="9" t="s">
        <v>5</v>
      </c>
      <c r="V40" s="5" t="s">
        <v>5</v>
      </c>
      <c r="W40" s="18" t="s">
        <v>5</v>
      </c>
    </row>
    <row r="41" spans="1:23">
      <c r="A41" s="2">
        <v>44818</v>
      </c>
      <c r="B41" s="17" t="str">
        <f t="shared" si="1"/>
        <v>257</v>
      </c>
      <c r="C41" s="2" t="s">
        <v>15</v>
      </c>
      <c r="D41" s="3" t="s">
        <v>4</v>
      </c>
      <c r="E41" s="13" t="s">
        <v>104</v>
      </c>
      <c r="F41" s="5" t="s">
        <v>5</v>
      </c>
      <c r="G41" s="3">
        <v>831</v>
      </c>
      <c r="H41" s="5">
        <v>15.57</v>
      </c>
      <c r="I41" s="9">
        <v>212</v>
      </c>
      <c r="J41" s="7">
        <v>0</v>
      </c>
      <c r="K41" s="7">
        <v>8.2799999999999994</v>
      </c>
      <c r="L41" s="5">
        <v>10</v>
      </c>
      <c r="M41" s="7">
        <v>0.99</v>
      </c>
      <c r="N41" s="3">
        <v>65</v>
      </c>
      <c r="O41" s="3">
        <v>85</v>
      </c>
      <c r="P41" s="3">
        <v>42</v>
      </c>
      <c r="Q41" s="3">
        <v>70</v>
      </c>
      <c r="R41" s="3">
        <v>15</v>
      </c>
      <c r="S41" s="9">
        <v>868</v>
      </c>
      <c r="T41" s="3">
        <f>O41-N41</f>
        <v>20</v>
      </c>
      <c r="U41" s="9">
        <f>(T41/O41)*100</f>
        <v>23.52941176470588</v>
      </c>
      <c r="V41" s="9">
        <f>S41/O41</f>
        <v>10.211764705882352</v>
      </c>
      <c r="W41" s="18" t="s">
        <v>5</v>
      </c>
    </row>
    <row r="42" spans="1:23">
      <c r="A42" s="2">
        <v>44818</v>
      </c>
      <c r="B42" s="17" t="str">
        <f t="shared" si="1"/>
        <v>257</v>
      </c>
      <c r="C42" s="2" t="s">
        <v>15</v>
      </c>
      <c r="D42" s="3" t="s">
        <v>36</v>
      </c>
      <c r="E42" s="13" t="s">
        <v>103</v>
      </c>
      <c r="F42" s="5" t="s">
        <v>5</v>
      </c>
      <c r="G42" s="5" t="s">
        <v>5</v>
      </c>
      <c r="H42" s="5" t="s">
        <v>5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9">
        <v>0</v>
      </c>
      <c r="T42" s="3">
        <f>O42-N42</f>
        <v>0</v>
      </c>
      <c r="U42" s="9">
        <v>0</v>
      </c>
      <c r="V42" s="9">
        <v>0</v>
      </c>
      <c r="W42" s="18" t="s">
        <v>5</v>
      </c>
    </row>
    <row r="43" spans="1:23">
      <c r="A43" s="2">
        <v>44818</v>
      </c>
      <c r="B43" s="17" t="str">
        <f t="shared" si="1"/>
        <v>257</v>
      </c>
      <c r="C43" s="2" t="s">
        <v>15</v>
      </c>
      <c r="D43" s="3" t="s">
        <v>21</v>
      </c>
      <c r="E43" s="13" t="s">
        <v>102</v>
      </c>
      <c r="F43" s="5">
        <v>2.2999999999999998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  <c r="Q43" s="5" t="s">
        <v>5</v>
      </c>
      <c r="R43" s="5" t="s">
        <v>5</v>
      </c>
      <c r="S43" s="9" t="s">
        <v>5</v>
      </c>
      <c r="T43" s="5" t="s">
        <v>5</v>
      </c>
      <c r="U43" s="9" t="s">
        <v>5</v>
      </c>
      <c r="V43" s="5" t="s">
        <v>5</v>
      </c>
      <c r="W43" s="18" t="s">
        <v>5</v>
      </c>
    </row>
    <row r="44" spans="1:23">
      <c r="A44" s="2">
        <v>44818</v>
      </c>
      <c r="B44" s="17" t="str">
        <f t="shared" si="1"/>
        <v>257</v>
      </c>
      <c r="C44" s="2" t="s">
        <v>15</v>
      </c>
      <c r="D44" s="3" t="s">
        <v>6</v>
      </c>
      <c r="E44" s="13" t="s">
        <v>104</v>
      </c>
      <c r="F44" s="5" t="s">
        <v>5</v>
      </c>
      <c r="G44" s="3">
        <v>853</v>
      </c>
      <c r="H44" s="5">
        <v>16.32</v>
      </c>
      <c r="I44" s="9">
        <v>580</v>
      </c>
      <c r="J44" s="7">
        <v>0</v>
      </c>
      <c r="K44" s="7">
        <v>7.63</v>
      </c>
      <c r="L44" s="5">
        <v>32.200000000000003</v>
      </c>
      <c r="M44" s="7">
        <v>3.14</v>
      </c>
      <c r="N44" s="3">
        <v>76</v>
      </c>
      <c r="O44" s="3">
        <v>173</v>
      </c>
      <c r="P44" s="3">
        <v>10</v>
      </c>
      <c r="Q44" s="3">
        <v>32</v>
      </c>
      <c r="R44" s="3">
        <v>10</v>
      </c>
      <c r="S44" s="9">
        <v>4120</v>
      </c>
      <c r="T44" s="3">
        <f>O44-N44</f>
        <v>97</v>
      </c>
      <c r="U44" s="9">
        <f>(T44/O44)*100</f>
        <v>56.069364161849713</v>
      </c>
      <c r="V44" s="9">
        <f>S44/O44</f>
        <v>23.815028901734102</v>
      </c>
      <c r="W44" s="18" t="s">
        <v>5</v>
      </c>
    </row>
    <row r="45" spans="1:23">
      <c r="A45" s="2">
        <v>44818</v>
      </c>
      <c r="B45" s="17" t="str">
        <f t="shared" si="1"/>
        <v>257</v>
      </c>
      <c r="C45" s="2" t="s">
        <v>15</v>
      </c>
      <c r="D45" s="3" t="s">
        <v>7</v>
      </c>
      <c r="E45" s="13" t="s">
        <v>104</v>
      </c>
      <c r="F45" s="5" t="s">
        <v>5</v>
      </c>
      <c r="G45" s="3">
        <v>949</v>
      </c>
      <c r="H45" s="5">
        <v>15.11</v>
      </c>
      <c r="I45" s="9">
        <v>674</v>
      </c>
      <c r="J45" s="7">
        <v>0</v>
      </c>
      <c r="K45" s="7">
        <v>8.7799999999999994</v>
      </c>
      <c r="L45" s="5">
        <v>71.099999999999994</v>
      </c>
      <c r="M45" s="7">
        <v>7.06</v>
      </c>
      <c r="N45" s="3">
        <v>159</v>
      </c>
      <c r="O45" s="3">
        <v>481</v>
      </c>
      <c r="P45" s="3">
        <v>18</v>
      </c>
      <c r="Q45" s="3">
        <v>58</v>
      </c>
      <c r="R45" s="3">
        <v>20</v>
      </c>
      <c r="S45" s="9">
        <v>8350</v>
      </c>
      <c r="T45" s="3">
        <f>O45-N45</f>
        <v>322</v>
      </c>
      <c r="U45" s="9">
        <f>(T45/O45)*100</f>
        <v>66.943866943866951</v>
      </c>
      <c r="V45" s="9">
        <f>S45/O45</f>
        <v>17.359667359667359</v>
      </c>
      <c r="W45" s="13" t="s">
        <v>65</v>
      </c>
    </row>
    <row r="46" spans="1:23">
      <c r="A46" s="2">
        <v>44818</v>
      </c>
      <c r="B46" s="17" t="str">
        <f t="shared" si="1"/>
        <v>257</v>
      </c>
      <c r="C46" s="2" t="s">
        <v>15</v>
      </c>
      <c r="D46" s="3" t="s">
        <v>35</v>
      </c>
      <c r="E46" s="13" t="s">
        <v>103</v>
      </c>
      <c r="F46" s="5" t="s">
        <v>5</v>
      </c>
      <c r="G46" s="5" t="s">
        <v>5</v>
      </c>
      <c r="H46" s="5" t="s">
        <v>5</v>
      </c>
      <c r="I46" s="5" t="s">
        <v>5</v>
      </c>
      <c r="J46" s="5" t="s">
        <v>5</v>
      </c>
      <c r="K46" s="5" t="s">
        <v>5</v>
      </c>
      <c r="L46" s="5" t="s">
        <v>5</v>
      </c>
      <c r="M46" s="5" t="s">
        <v>5</v>
      </c>
      <c r="N46" s="3">
        <v>158</v>
      </c>
      <c r="O46" s="3">
        <v>523</v>
      </c>
      <c r="P46" s="3">
        <v>18</v>
      </c>
      <c r="Q46" s="3">
        <v>69</v>
      </c>
      <c r="R46" s="10">
        <v>16</v>
      </c>
      <c r="S46" s="9">
        <v>8720</v>
      </c>
      <c r="T46" s="3">
        <f>O46-N46</f>
        <v>365</v>
      </c>
      <c r="U46" s="9">
        <f>(T46/O46)*100</f>
        <v>69.789674952198851</v>
      </c>
      <c r="V46" s="9">
        <f>S46/O46</f>
        <v>16.673040152963672</v>
      </c>
      <c r="W46" s="13" t="s">
        <v>66</v>
      </c>
    </row>
    <row r="47" spans="1:23">
      <c r="A47" s="2">
        <v>44818</v>
      </c>
      <c r="B47" s="17" t="str">
        <f t="shared" si="1"/>
        <v>257</v>
      </c>
      <c r="C47" s="2" t="s">
        <v>15</v>
      </c>
      <c r="D47" s="3" t="s">
        <v>8</v>
      </c>
      <c r="E47" s="13" t="s">
        <v>104</v>
      </c>
      <c r="F47" s="5">
        <v>0</v>
      </c>
      <c r="G47" s="3">
        <v>913</v>
      </c>
      <c r="H47" s="5">
        <v>13.4</v>
      </c>
      <c r="I47" s="9">
        <v>274</v>
      </c>
      <c r="J47" s="7">
        <v>0</v>
      </c>
      <c r="K47" s="7">
        <v>7.48</v>
      </c>
      <c r="L47" s="5">
        <v>46.6</v>
      </c>
      <c r="M47" s="7">
        <v>4.83</v>
      </c>
      <c r="N47" s="3">
        <v>183</v>
      </c>
      <c r="O47" s="3">
        <v>213</v>
      </c>
      <c r="P47" s="3">
        <v>114</v>
      </c>
      <c r="Q47" s="3">
        <v>449</v>
      </c>
      <c r="R47" s="3">
        <v>176</v>
      </c>
      <c r="S47" s="9">
        <v>3020</v>
      </c>
      <c r="T47" s="3">
        <f>O47-N47</f>
        <v>30</v>
      </c>
      <c r="U47" s="9">
        <f>(T47/O47)*100</f>
        <v>14.084507042253522</v>
      </c>
      <c r="V47" s="9">
        <f>S47/O47</f>
        <v>14.178403755868544</v>
      </c>
      <c r="W47" s="13" t="s">
        <v>62</v>
      </c>
    </row>
    <row r="48" spans="1:23">
      <c r="A48" s="2">
        <v>44818</v>
      </c>
      <c r="B48" s="17" t="str">
        <f t="shared" si="1"/>
        <v>257</v>
      </c>
      <c r="C48" s="2" t="s">
        <v>15</v>
      </c>
      <c r="D48" s="3" t="s">
        <v>20</v>
      </c>
      <c r="E48" s="13" t="s">
        <v>102</v>
      </c>
      <c r="F48" s="5">
        <v>0.4</v>
      </c>
      <c r="G48" s="5" t="s">
        <v>5</v>
      </c>
      <c r="H48" s="5" t="s">
        <v>5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  <c r="Q48" s="5" t="s">
        <v>5</v>
      </c>
      <c r="R48" s="5" t="s">
        <v>5</v>
      </c>
      <c r="S48" s="9" t="s">
        <v>5</v>
      </c>
      <c r="T48" s="5" t="s">
        <v>5</v>
      </c>
      <c r="U48" s="9" t="s">
        <v>5</v>
      </c>
      <c r="V48" s="5" t="s">
        <v>5</v>
      </c>
      <c r="W48" s="18" t="s">
        <v>5</v>
      </c>
    </row>
    <row r="49" spans="1:23">
      <c r="A49" s="2">
        <v>44846</v>
      </c>
      <c r="B49" s="17" t="str">
        <f t="shared" si="1"/>
        <v>285</v>
      </c>
      <c r="C49" s="3" t="s">
        <v>15</v>
      </c>
      <c r="D49" s="3" t="s">
        <v>33</v>
      </c>
      <c r="E49" s="13" t="s">
        <v>102</v>
      </c>
      <c r="F49" s="5">
        <v>2.4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  <c r="Q49" s="5" t="s">
        <v>5</v>
      </c>
      <c r="R49" s="5" t="s">
        <v>5</v>
      </c>
      <c r="S49" s="9" t="s">
        <v>5</v>
      </c>
      <c r="T49" s="5" t="s">
        <v>5</v>
      </c>
      <c r="U49" s="9" t="s">
        <v>5</v>
      </c>
      <c r="V49" s="5" t="s">
        <v>5</v>
      </c>
      <c r="W49" s="13" t="s">
        <v>64</v>
      </c>
    </row>
    <row r="50" spans="1:23">
      <c r="A50" s="2">
        <v>44846</v>
      </c>
      <c r="B50" s="17" t="str">
        <f t="shared" si="1"/>
        <v>285</v>
      </c>
      <c r="C50" s="3" t="s">
        <v>15</v>
      </c>
      <c r="D50" s="3" t="s">
        <v>4</v>
      </c>
      <c r="E50" s="13" t="s">
        <v>104</v>
      </c>
      <c r="F50" s="5" t="s">
        <v>5</v>
      </c>
      <c r="G50" s="3">
        <v>1131</v>
      </c>
      <c r="H50" s="5">
        <v>12.88</v>
      </c>
      <c r="I50" s="9">
        <v>221</v>
      </c>
      <c r="J50" s="7">
        <v>0.27600000000000002</v>
      </c>
      <c r="K50" s="7">
        <v>8.17</v>
      </c>
      <c r="L50" s="5">
        <v>24.1</v>
      </c>
      <c r="M50" s="7">
        <v>2.56</v>
      </c>
      <c r="N50" s="3">
        <v>55</v>
      </c>
      <c r="O50" s="3">
        <v>64</v>
      </c>
      <c r="P50" s="3">
        <v>29</v>
      </c>
      <c r="Q50" s="3">
        <v>35</v>
      </c>
      <c r="R50" s="3">
        <v>0</v>
      </c>
      <c r="S50" s="9">
        <v>707</v>
      </c>
      <c r="T50" s="3">
        <f>O50-N50</f>
        <v>9</v>
      </c>
      <c r="U50" s="9">
        <f>(T50/O50)*100</f>
        <v>14.0625</v>
      </c>
      <c r="V50" s="9">
        <f>S50/O50</f>
        <v>11.046875</v>
      </c>
      <c r="W50" s="13" t="s">
        <v>5</v>
      </c>
    </row>
    <row r="51" spans="1:23">
      <c r="A51" s="2">
        <v>44846</v>
      </c>
      <c r="B51" s="17" t="str">
        <f t="shared" si="1"/>
        <v>285</v>
      </c>
      <c r="C51" s="3" t="s">
        <v>15</v>
      </c>
      <c r="D51" s="3" t="s">
        <v>21</v>
      </c>
      <c r="E51" s="13" t="s">
        <v>102</v>
      </c>
      <c r="F51" s="5">
        <v>2.35</v>
      </c>
      <c r="G51" s="5" t="s">
        <v>5</v>
      </c>
      <c r="H51" s="5" t="s">
        <v>5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  <c r="Q51" s="5" t="s">
        <v>5</v>
      </c>
      <c r="R51" s="5" t="s">
        <v>5</v>
      </c>
      <c r="S51" s="9" t="s">
        <v>5</v>
      </c>
      <c r="T51" s="5" t="s">
        <v>5</v>
      </c>
      <c r="U51" s="9" t="s">
        <v>5</v>
      </c>
      <c r="V51" s="5" t="s">
        <v>5</v>
      </c>
      <c r="W51" s="13" t="s">
        <v>64</v>
      </c>
    </row>
    <row r="52" spans="1:23">
      <c r="A52" s="2">
        <v>44846</v>
      </c>
      <c r="B52" s="17" t="str">
        <f t="shared" si="1"/>
        <v>285</v>
      </c>
      <c r="C52" s="3" t="s">
        <v>15</v>
      </c>
      <c r="D52" s="3" t="s">
        <v>6</v>
      </c>
      <c r="E52" s="13" t="s">
        <v>104</v>
      </c>
      <c r="F52" s="5" t="s">
        <v>5</v>
      </c>
      <c r="G52" s="3">
        <v>1155</v>
      </c>
      <c r="H52" s="5">
        <v>13.33</v>
      </c>
      <c r="I52" s="9">
        <v>501</v>
      </c>
      <c r="J52" s="7">
        <v>0.1</v>
      </c>
      <c r="K52" s="7">
        <v>7.48</v>
      </c>
      <c r="L52" s="5">
        <v>55.8</v>
      </c>
      <c r="M52" s="7">
        <v>5.82</v>
      </c>
      <c r="N52" s="3">
        <v>47</v>
      </c>
      <c r="O52" s="3">
        <v>90</v>
      </c>
      <c r="P52" s="3">
        <v>5</v>
      </c>
      <c r="Q52" s="3">
        <v>24</v>
      </c>
      <c r="R52" s="3">
        <v>11</v>
      </c>
      <c r="S52" s="9">
        <v>2930</v>
      </c>
      <c r="T52" s="3">
        <f>O52-N52</f>
        <v>43</v>
      </c>
      <c r="U52" s="9">
        <f>(T52/O52)*100</f>
        <v>47.777777777777779</v>
      </c>
      <c r="V52" s="9">
        <f>S52/O52</f>
        <v>32.555555555555557</v>
      </c>
      <c r="W52" s="18" t="s">
        <v>5</v>
      </c>
    </row>
    <row r="53" spans="1:23">
      <c r="A53" s="2">
        <v>44846</v>
      </c>
      <c r="B53" s="17" t="str">
        <f t="shared" si="1"/>
        <v>285</v>
      </c>
      <c r="C53" s="3" t="s">
        <v>15</v>
      </c>
      <c r="D53" s="3" t="s">
        <v>7</v>
      </c>
      <c r="E53" s="13" t="s">
        <v>104</v>
      </c>
      <c r="F53" s="5" t="s">
        <v>5</v>
      </c>
      <c r="G53" s="3">
        <v>1304</v>
      </c>
      <c r="H53" s="5">
        <v>16.36</v>
      </c>
      <c r="I53" s="9">
        <v>627</v>
      </c>
      <c r="J53" s="7">
        <v>0.129</v>
      </c>
      <c r="K53" s="7">
        <v>8.6199999999999992</v>
      </c>
      <c r="L53" s="5">
        <v>111.9</v>
      </c>
      <c r="M53" s="7">
        <v>11</v>
      </c>
      <c r="N53" s="3">
        <v>101</v>
      </c>
      <c r="O53" s="3">
        <v>300</v>
      </c>
      <c r="P53" s="3">
        <v>17</v>
      </c>
      <c r="Q53" s="3">
        <v>37</v>
      </c>
      <c r="R53" s="3">
        <v>0</v>
      </c>
      <c r="S53" s="9">
        <v>5333</v>
      </c>
      <c r="T53" s="3">
        <f>O53-N53</f>
        <v>199</v>
      </c>
      <c r="U53" s="9">
        <f>(T53/O53)*100</f>
        <v>66.333333333333329</v>
      </c>
      <c r="V53" s="9">
        <f>S53/O53</f>
        <v>17.776666666666667</v>
      </c>
      <c r="W53" s="18" t="s">
        <v>5</v>
      </c>
    </row>
    <row r="54" spans="1:23">
      <c r="A54" s="2">
        <v>44846</v>
      </c>
      <c r="B54" s="17" t="str">
        <f t="shared" si="1"/>
        <v>285</v>
      </c>
      <c r="C54" s="3" t="s">
        <v>15</v>
      </c>
      <c r="D54" s="3" t="s">
        <v>35</v>
      </c>
      <c r="E54" s="13" t="s">
        <v>103</v>
      </c>
      <c r="F54" s="5" t="s">
        <v>5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5</v>
      </c>
      <c r="L54" s="5" t="s">
        <v>5</v>
      </c>
      <c r="M54" s="5" t="s">
        <v>5</v>
      </c>
      <c r="N54" s="3">
        <v>103</v>
      </c>
      <c r="O54" s="3">
        <v>282</v>
      </c>
      <c r="P54" s="3">
        <v>17</v>
      </c>
      <c r="Q54" s="3">
        <v>39</v>
      </c>
      <c r="R54" s="3">
        <v>0</v>
      </c>
      <c r="S54" s="9">
        <v>5533</v>
      </c>
      <c r="T54" s="3">
        <f>O54-N54</f>
        <v>179</v>
      </c>
      <c r="U54" s="9">
        <f>(T54/O54)*100</f>
        <v>63.475177304964539</v>
      </c>
      <c r="V54" s="9">
        <f>S54/O54</f>
        <v>19.620567375886523</v>
      </c>
      <c r="W54" s="18" t="s">
        <v>5</v>
      </c>
    </row>
    <row r="55" spans="1:23">
      <c r="A55" s="2">
        <v>44846</v>
      </c>
      <c r="B55" s="17" t="str">
        <f t="shared" si="1"/>
        <v>285</v>
      </c>
      <c r="C55" s="3" t="s">
        <v>15</v>
      </c>
      <c r="D55" s="3" t="s">
        <v>8</v>
      </c>
      <c r="E55" s="13" t="s">
        <v>104</v>
      </c>
      <c r="F55" s="5">
        <v>0.52</v>
      </c>
      <c r="G55" s="3">
        <v>1225</v>
      </c>
      <c r="H55" s="5">
        <v>15.2</v>
      </c>
      <c r="I55" s="9">
        <v>211</v>
      </c>
      <c r="J55" s="7">
        <v>0.126</v>
      </c>
      <c r="K55" s="7">
        <v>7.61</v>
      </c>
      <c r="L55" s="5">
        <v>56.9</v>
      </c>
      <c r="M55" s="7">
        <v>5.62</v>
      </c>
      <c r="N55" s="3">
        <v>186</v>
      </c>
      <c r="O55" s="3">
        <v>233</v>
      </c>
      <c r="P55" s="3">
        <v>119</v>
      </c>
      <c r="Q55" s="3">
        <v>368</v>
      </c>
      <c r="R55" s="3">
        <v>129</v>
      </c>
      <c r="S55" s="9">
        <v>2480</v>
      </c>
      <c r="T55" s="3">
        <f>O55-N55</f>
        <v>47</v>
      </c>
      <c r="U55" s="9">
        <f>(T55/O55)*100</f>
        <v>20.171673819742487</v>
      </c>
      <c r="V55" s="9">
        <f>S55/O55</f>
        <v>10.643776824034335</v>
      </c>
      <c r="W55" s="13" t="s">
        <v>67</v>
      </c>
    </row>
    <row r="56" spans="1:23">
      <c r="A56" s="2">
        <v>44846</v>
      </c>
      <c r="B56" s="17" t="str">
        <f t="shared" si="1"/>
        <v>285</v>
      </c>
      <c r="C56" s="3" t="s">
        <v>15</v>
      </c>
      <c r="D56" s="3" t="s">
        <v>63</v>
      </c>
      <c r="E56" s="13" t="s">
        <v>103</v>
      </c>
      <c r="F56" s="5" t="s">
        <v>5</v>
      </c>
      <c r="G56" s="5" t="s">
        <v>5</v>
      </c>
      <c r="H56" s="5" t="s">
        <v>5</v>
      </c>
      <c r="I56" s="5" t="s">
        <v>5</v>
      </c>
      <c r="J56" s="5" t="s">
        <v>5</v>
      </c>
      <c r="K56" s="5" t="s">
        <v>5</v>
      </c>
      <c r="L56" s="5" t="s">
        <v>5</v>
      </c>
      <c r="M56" s="5" t="s">
        <v>5</v>
      </c>
      <c r="N56" s="10">
        <v>9</v>
      </c>
      <c r="O56" s="3">
        <v>0</v>
      </c>
      <c r="P56" s="3">
        <v>0</v>
      </c>
      <c r="Q56" s="10">
        <v>15</v>
      </c>
      <c r="R56" s="3">
        <v>0</v>
      </c>
      <c r="S56" s="9">
        <v>0</v>
      </c>
      <c r="T56" s="5" t="s">
        <v>5</v>
      </c>
      <c r="U56" s="5" t="s">
        <v>5</v>
      </c>
      <c r="V56" s="5" t="s">
        <v>5</v>
      </c>
      <c r="W56" s="13" t="s">
        <v>68</v>
      </c>
    </row>
    <row r="57" spans="1:23">
      <c r="A57" s="2">
        <v>44846</v>
      </c>
      <c r="B57" s="17" t="str">
        <f t="shared" si="1"/>
        <v>285</v>
      </c>
      <c r="C57" s="3" t="s">
        <v>15</v>
      </c>
      <c r="D57" s="3" t="s">
        <v>20</v>
      </c>
      <c r="E57" s="13" t="s">
        <v>102</v>
      </c>
      <c r="F57" s="5">
        <v>0.5</v>
      </c>
      <c r="G57" s="5" t="s">
        <v>5</v>
      </c>
      <c r="H57" s="5" t="s">
        <v>5</v>
      </c>
      <c r="I57" s="5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  <c r="Q57" s="5" t="s">
        <v>5</v>
      </c>
      <c r="R57" s="5" t="s">
        <v>5</v>
      </c>
      <c r="S57" s="9" t="s">
        <v>5</v>
      </c>
      <c r="T57" s="5" t="s">
        <v>5</v>
      </c>
      <c r="U57" s="9" t="s">
        <v>5</v>
      </c>
      <c r="V57" s="5" t="s">
        <v>5</v>
      </c>
      <c r="W57" s="18" t="s">
        <v>5</v>
      </c>
    </row>
    <row r="58" spans="1:23">
      <c r="A58" s="2">
        <v>44882</v>
      </c>
      <c r="B58" s="17" t="str">
        <f t="shared" si="1"/>
        <v>321</v>
      </c>
      <c r="C58" s="3" t="s">
        <v>15</v>
      </c>
      <c r="D58" s="3" t="s">
        <v>33</v>
      </c>
      <c r="E58" s="13" t="s">
        <v>102</v>
      </c>
      <c r="F58" s="5">
        <v>2.68</v>
      </c>
      <c r="G58" s="5" t="s">
        <v>5</v>
      </c>
      <c r="H58" s="5" t="s">
        <v>5</v>
      </c>
      <c r="I58" s="5" t="s">
        <v>5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  <c r="Q58" s="5" t="s">
        <v>5</v>
      </c>
      <c r="R58" s="5" t="s">
        <v>5</v>
      </c>
      <c r="S58" s="9" t="s">
        <v>5</v>
      </c>
      <c r="T58" s="5" t="s">
        <v>5</v>
      </c>
      <c r="U58" s="5" t="s">
        <v>5</v>
      </c>
      <c r="V58" s="5" t="s">
        <v>5</v>
      </c>
      <c r="W58" s="18" t="s">
        <v>5</v>
      </c>
    </row>
    <row r="59" spans="1:23">
      <c r="A59" s="2">
        <v>44882</v>
      </c>
      <c r="B59" s="17" t="str">
        <f t="shared" si="1"/>
        <v>321</v>
      </c>
      <c r="C59" s="3" t="s">
        <v>15</v>
      </c>
      <c r="D59" s="3" t="s">
        <v>4</v>
      </c>
      <c r="E59" s="13" t="s">
        <v>104</v>
      </c>
      <c r="F59" s="5" t="s">
        <v>5</v>
      </c>
      <c r="G59" s="3">
        <v>1644</v>
      </c>
      <c r="H59" s="5">
        <v>3.84</v>
      </c>
      <c r="I59" s="9">
        <v>208</v>
      </c>
      <c r="J59" s="7">
        <v>9.7000000000000003E-2</v>
      </c>
      <c r="K59" s="7">
        <v>7.78</v>
      </c>
      <c r="L59" s="5">
        <v>60.8</v>
      </c>
      <c r="M59" s="7">
        <v>8.1300000000000008</v>
      </c>
      <c r="N59" s="3">
        <v>77</v>
      </c>
      <c r="O59" s="3">
        <v>109</v>
      </c>
      <c r="P59" s="3">
        <v>55</v>
      </c>
      <c r="Q59" s="3">
        <v>554</v>
      </c>
      <c r="R59" s="3">
        <v>75</v>
      </c>
      <c r="S59" s="9">
        <v>1610</v>
      </c>
      <c r="T59" s="3">
        <f>O59-N59</f>
        <v>32</v>
      </c>
      <c r="U59" s="9">
        <f>(T59/O59)*100</f>
        <v>29.357798165137616</v>
      </c>
      <c r="V59" s="9">
        <f>S59/O59</f>
        <v>14.770642201834862</v>
      </c>
      <c r="W59" s="13" t="s">
        <v>5</v>
      </c>
    </row>
    <row r="60" spans="1:23">
      <c r="A60" s="2">
        <v>44882</v>
      </c>
      <c r="B60" s="17" t="str">
        <f t="shared" si="1"/>
        <v>321</v>
      </c>
      <c r="C60" s="3" t="s">
        <v>15</v>
      </c>
      <c r="D60" s="3" t="s">
        <v>36</v>
      </c>
      <c r="E60" s="13" t="s">
        <v>103</v>
      </c>
      <c r="F60" s="5" t="s">
        <v>5</v>
      </c>
      <c r="G60" s="5" t="s">
        <v>5</v>
      </c>
      <c r="H60" s="5" t="s">
        <v>5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3">
        <v>0</v>
      </c>
      <c r="O60" s="3">
        <v>0</v>
      </c>
      <c r="P60" s="3">
        <v>0</v>
      </c>
      <c r="Q60" s="10">
        <v>7</v>
      </c>
      <c r="R60" s="10">
        <v>11</v>
      </c>
      <c r="S60" s="9">
        <v>0</v>
      </c>
      <c r="T60" s="3" t="s">
        <v>5</v>
      </c>
      <c r="U60" s="5" t="s">
        <v>5</v>
      </c>
      <c r="V60" s="5" t="s">
        <v>5</v>
      </c>
      <c r="W60" s="13" t="s">
        <v>68</v>
      </c>
    </row>
    <row r="61" spans="1:23">
      <c r="A61" s="2">
        <v>44882</v>
      </c>
      <c r="B61" s="17" t="str">
        <f t="shared" si="1"/>
        <v>321</v>
      </c>
      <c r="C61" s="3" t="s">
        <v>15</v>
      </c>
      <c r="D61" s="3" t="s">
        <v>21</v>
      </c>
      <c r="E61" s="13" t="s">
        <v>102</v>
      </c>
      <c r="F61" s="5">
        <v>2.5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  <c r="Q61" s="5" t="s">
        <v>5</v>
      </c>
      <c r="R61" s="5" t="s">
        <v>5</v>
      </c>
      <c r="S61" s="9" t="s">
        <v>5</v>
      </c>
      <c r="T61" s="5" t="s">
        <v>5</v>
      </c>
      <c r="U61" s="5" t="s">
        <v>5</v>
      </c>
      <c r="V61" s="5" t="s">
        <v>5</v>
      </c>
      <c r="W61" s="18" t="s">
        <v>5</v>
      </c>
    </row>
    <row r="62" spans="1:23">
      <c r="A62" s="2">
        <v>44882</v>
      </c>
      <c r="B62" s="17" t="str">
        <f t="shared" si="1"/>
        <v>321</v>
      </c>
      <c r="C62" s="3" t="s">
        <v>15</v>
      </c>
      <c r="D62" s="3" t="s">
        <v>6</v>
      </c>
      <c r="E62" s="13" t="s">
        <v>104</v>
      </c>
      <c r="F62" s="5" t="s">
        <v>5</v>
      </c>
      <c r="G62" s="3">
        <v>16.28</v>
      </c>
      <c r="H62" s="5">
        <v>4.01</v>
      </c>
      <c r="I62" s="9">
        <v>412</v>
      </c>
      <c r="J62" s="7">
        <v>0.16400000000000001</v>
      </c>
      <c r="K62" s="7">
        <v>8.0500000000000007</v>
      </c>
      <c r="L62" s="5">
        <v>98.7</v>
      </c>
      <c r="M62" s="7">
        <v>13.14</v>
      </c>
      <c r="N62" s="3">
        <v>43</v>
      </c>
      <c r="O62" s="3">
        <v>79</v>
      </c>
      <c r="P62" s="3">
        <v>10</v>
      </c>
      <c r="Q62" s="3">
        <v>22</v>
      </c>
      <c r="R62" s="3">
        <v>8</v>
      </c>
      <c r="S62" s="9">
        <v>2380</v>
      </c>
      <c r="T62" s="3">
        <f>O62-N62</f>
        <v>36</v>
      </c>
      <c r="U62" s="9">
        <f>(T62/O62)*100</f>
        <v>45.569620253164558</v>
      </c>
      <c r="V62" s="9">
        <f>S62/O62</f>
        <v>30.126582278481013</v>
      </c>
      <c r="W62" s="13" t="s">
        <v>5</v>
      </c>
    </row>
    <row r="63" spans="1:23">
      <c r="A63" s="2">
        <v>44882</v>
      </c>
      <c r="B63" s="17" t="str">
        <f t="shared" si="1"/>
        <v>321</v>
      </c>
      <c r="C63" s="3" t="s">
        <v>15</v>
      </c>
      <c r="D63" s="3" t="s">
        <v>19</v>
      </c>
      <c r="E63" s="13" t="s">
        <v>103</v>
      </c>
      <c r="F63" s="5" t="s">
        <v>5</v>
      </c>
      <c r="G63" s="5" t="s">
        <v>5</v>
      </c>
      <c r="H63" s="5" t="s">
        <v>5</v>
      </c>
      <c r="I63" s="5" t="s">
        <v>5</v>
      </c>
      <c r="J63" s="5" t="s">
        <v>5</v>
      </c>
      <c r="K63" s="5" t="s">
        <v>5</v>
      </c>
      <c r="L63" s="5" t="s">
        <v>5</v>
      </c>
      <c r="M63" s="5" t="s">
        <v>5</v>
      </c>
      <c r="N63" s="3">
        <v>46</v>
      </c>
      <c r="O63" s="3">
        <v>84</v>
      </c>
      <c r="P63" s="3">
        <v>8</v>
      </c>
      <c r="Q63" s="10">
        <v>17</v>
      </c>
      <c r="R63" s="3">
        <v>8</v>
      </c>
      <c r="S63" s="9">
        <v>2550</v>
      </c>
      <c r="T63" s="3">
        <f>O63-N63</f>
        <v>38</v>
      </c>
      <c r="U63" s="9">
        <f>(T63/O63)*100</f>
        <v>45.238095238095241</v>
      </c>
      <c r="V63" s="9">
        <f>S63/O63</f>
        <v>30.357142857142858</v>
      </c>
      <c r="W63" s="13" t="s">
        <v>69</v>
      </c>
    </row>
    <row r="64" spans="1:23">
      <c r="A64" s="2">
        <v>44882</v>
      </c>
      <c r="B64" s="17" t="str">
        <f t="shared" si="1"/>
        <v>321</v>
      </c>
      <c r="C64" s="3" t="s">
        <v>15</v>
      </c>
      <c r="D64" s="3" t="s">
        <v>7</v>
      </c>
      <c r="E64" s="13" t="s">
        <v>104</v>
      </c>
      <c r="F64" s="5" t="s">
        <v>5</v>
      </c>
      <c r="G64" s="3">
        <v>14.35</v>
      </c>
      <c r="H64" s="5">
        <v>4.3</v>
      </c>
      <c r="I64" s="9">
        <v>611</v>
      </c>
      <c r="J64" s="7">
        <v>0.10299999999999999</v>
      </c>
      <c r="K64" s="7">
        <v>8.2799999999999994</v>
      </c>
      <c r="L64" s="5">
        <v>128.1</v>
      </c>
      <c r="M64" s="7">
        <v>17.010000000000002</v>
      </c>
      <c r="N64" s="3">
        <v>63</v>
      </c>
      <c r="O64" s="3">
        <v>317</v>
      </c>
      <c r="P64" s="3">
        <v>27</v>
      </c>
      <c r="Q64" s="3">
        <v>373</v>
      </c>
      <c r="R64" s="3">
        <v>286</v>
      </c>
      <c r="S64" s="9">
        <v>5700</v>
      </c>
      <c r="T64" s="3">
        <f>O64-N64</f>
        <v>254</v>
      </c>
      <c r="U64" s="9">
        <f>(T64/O64)*100</f>
        <v>80.126182965299691</v>
      </c>
      <c r="V64" s="9">
        <f>S64/O64</f>
        <v>17.981072555205046</v>
      </c>
      <c r="W64" s="13" t="s">
        <v>73</v>
      </c>
    </row>
    <row r="65" spans="1:23">
      <c r="A65" s="2">
        <v>44882</v>
      </c>
      <c r="B65" s="17" t="str">
        <f t="shared" si="1"/>
        <v>321</v>
      </c>
      <c r="C65" s="3" t="s">
        <v>15</v>
      </c>
      <c r="D65" s="3" t="s">
        <v>8</v>
      </c>
      <c r="E65" s="13" t="s">
        <v>104</v>
      </c>
      <c r="F65" s="5">
        <v>0.61</v>
      </c>
      <c r="G65" s="3">
        <v>15.58</v>
      </c>
      <c r="H65" s="5">
        <v>4.41</v>
      </c>
      <c r="I65" s="9">
        <v>627</v>
      </c>
      <c r="J65" s="7">
        <v>8.6999999999999994E-2</v>
      </c>
      <c r="K65" s="7">
        <v>8.02</v>
      </c>
      <c r="L65" s="5">
        <v>74.599999999999994</v>
      </c>
      <c r="M65" s="7">
        <v>9.8699999999999992</v>
      </c>
      <c r="N65" s="3">
        <v>83</v>
      </c>
      <c r="O65" s="3">
        <v>287</v>
      </c>
      <c r="P65" s="3">
        <v>30</v>
      </c>
      <c r="Q65" s="3">
        <v>668</v>
      </c>
      <c r="R65" s="3">
        <v>133</v>
      </c>
      <c r="S65" s="9">
        <v>5780</v>
      </c>
      <c r="T65" s="3">
        <f>O65-N65</f>
        <v>204</v>
      </c>
      <c r="U65" s="9">
        <f>(T65/O65)*100</f>
        <v>71.080139372822302</v>
      </c>
      <c r="V65" s="9">
        <f>S65/O65</f>
        <v>20.139372822299652</v>
      </c>
      <c r="W65" s="13" t="s">
        <v>73</v>
      </c>
    </row>
    <row r="66" spans="1:23">
      <c r="A66" s="2">
        <v>44882</v>
      </c>
      <c r="B66" s="17" t="str">
        <f t="shared" ref="B66:B75" si="2">TEXT((A66-DATEVALUE("1/1/"&amp;TEXT(A66,"yy"))+1),"000")</f>
        <v>321</v>
      </c>
      <c r="C66" s="3" t="s">
        <v>15</v>
      </c>
      <c r="D66" s="3" t="s">
        <v>20</v>
      </c>
      <c r="E66" s="13" t="s">
        <v>102</v>
      </c>
      <c r="F66" s="5">
        <v>0.6</v>
      </c>
      <c r="G66" s="5" t="s">
        <v>5</v>
      </c>
      <c r="H66" s="5" t="s">
        <v>5</v>
      </c>
      <c r="I66" s="5" t="s">
        <v>5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  <c r="Q66" s="5" t="s">
        <v>5</v>
      </c>
      <c r="R66" s="5" t="s">
        <v>5</v>
      </c>
      <c r="S66" s="9" t="s">
        <v>5</v>
      </c>
      <c r="T66" s="5" t="s">
        <v>5</v>
      </c>
      <c r="U66" s="5" t="s">
        <v>5</v>
      </c>
      <c r="V66" s="5" t="s">
        <v>5</v>
      </c>
      <c r="W66" s="18" t="s">
        <v>5</v>
      </c>
    </row>
    <row r="67" spans="1:23">
      <c r="A67" s="2">
        <v>44909</v>
      </c>
      <c r="B67" s="17" t="str">
        <f t="shared" si="2"/>
        <v>348</v>
      </c>
      <c r="C67" s="3" t="s">
        <v>15</v>
      </c>
      <c r="D67" s="3" t="s">
        <v>33</v>
      </c>
      <c r="E67" s="13" t="s">
        <v>102</v>
      </c>
      <c r="F67" s="5">
        <v>2.7</v>
      </c>
      <c r="G67" s="5" t="s">
        <v>5</v>
      </c>
      <c r="H67" s="5" t="s">
        <v>5</v>
      </c>
      <c r="I67" s="5" t="s">
        <v>5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  <c r="Q67" s="5" t="s">
        <v>5</v>
      </c>
      <c r="R67" s="5" t="s">
        <v>5</v>
      </c>
      <c r="S67" s="9" t="s">
        <v>5</v>
      </c>
      <c r="T67" s="5" t="s">
        <v>5</v>
      </c>
      <c r="U67" s="5" t="s">
        <v>5</v>
      </c>
      <c r="V67" s="5" t="s">
        <v>5</v>
      </c>
      <c r="W67" s="13" t="s">
        <v>70</v>
      </c>
    </row>
    <row r="68" spans="1:23">
      <c r="A68" s="2">
        <v>44909</v>
      </c>
      <c r="B68" s="17" t="str">
        <f t="shared" si="2"/>
        <v>348</v>
      </c>
      <c r="C68" s="3" t="s">
        <v>15</v>
      </c>
      <c r="D68" s="3" t="s">
        <v>4</v>
      </c>
      <c r="E68" s="13" t="s">
        <v>104</v>
      </c>
      <c r="F68" s="5" t="s">
        <v>5</v>
      </c>
      <c r="G68" s="3">
        <v>1227</v>
      </c>
      <c r="H68" s="5">
        <v>2.65</v>
      </c>
      <c r="I68" s="9">
        <v>276</v>
      </c>
      <c r="J68" s="7">
        <v>0.159</v>
      </c>
      <c r="K68" s="7">
        <v>7.45</v>
      </c>
      <c r="L68" s="5">
        <v>47.8</v>
      </c>
      <c r="M68" s="7">
        <v>6.55</v>
      </c>
      <c r="N68" s="3">
        <v>79</v>
      </c>
      <c r="O68" s="3">
        <v>144</v>
      </c>
      <c r="P68" s="3">
        <v>61</v>
      </c>
      <c r="Q68" s="3">
        <v>562</v>
      </c>
      <c r="R68" s="3">
        <v>62</v>
      </c>
      <c r="S68" s="9">
        <v>1880</v>
      </c>
      <c r="T68" s="3">
        <f>O68-N68</f>
        <v>65</v>
      </c>
      <c r="U68" s="9">
        <f>(T68/O68)*100</f>
        <v>45.138888888888893</v>
      </c>
      <c r="V68" s="9">
        <f>S68/O68</f>
        <v>13.055555555555555</v>
      </c>
      <c r="W68" s="13" t="s">
        <v>74</v>
      </c>
    </row>
    <row r="69" spans="1:23">
      <c r="A69" s="2">
        <v>44909</v>
      </c>
      <c r="B69" s="17" t="str">
        <f t="shared" si="2"/>
        <v>348</v>
      </c>
      <c r="C69" s="3" t="s">
        <v>15</v>
      </c>
      <c r="D69" s="3" t="s">
        <v>36</v>
      </c>
      <c r="E69" s="13" t="s">
        <v>103</v>
      </c>
      <c r="F69" s="5" t="s">
        <v>5</v>
      </c>
      <c r="G69" s="5" t="s">
        <v>5</v>
      </c>
      <c r="H69" s="5" t="s">
        <v>5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9">
        <v>0</v>
      </c>
      <c r="T69" s="3" t="s">
        <v>5</v>
      </c>
      <c r="U69" s="9" t="s">
        <v>5</v>
      </c>
      <c r="V69" s="9" t="s">
        <v>5</v>
      </c>
      <c r="W69" s="13" t="s">
        <v>78</v>
      </c>
    </row>
    <row r="70" spans="1:23">
      <c r="A70" s="2">
        <v>44909</v>
      </c>
      <c r="B70" s="17" t="str">
        <f t="shared" si="2"/>
        <v>348</v>
      </c>
      <c r="C70" s="3" t="s">
        <v>15</v>
      </c>
      <c r="D70" s="3" t="s">
        <v>21</v>
      </c>
      <c r="E70" s="13" t="s">
        <v>102</v>
      </c>
      <c r="F70" s="5">
        <v>2.7</v>
      </c>
      <c r="G70" s="5" t="s">
        <v>5</v>
      </c>
      <c r="H70" s="5" t="s">
        <v>5</v>
      </c>
      <c r="I70" s="5" t="s">
        <v>5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  <c r="Q70" s="5" t="s">
        <v>5</v>
      </c>
      <c r="R70" s="5" t="s">
        <v>5</v>
      </c>
      <c r="S70" s="9" t="s">
        <v>5</v>
      </c>
      <c r="T70" s="5" t="s">
        <v>5</v>
      </c>
      <c r="U70" s="5" t="s">
        <v>5</v>
      </c>
      <c r="V70" s="5" t="s">
        <v>5</v>
      </c>
      <c r="W70" s="13" t="s">
        <v>70</v>
      </c>
    </row>
    <row r="71" spans="1:23">
      <c r="A71" s="2">
        <v>44909</v>
      </c>
      <c r="B71" s="17" t="str">
        <f t="shared" si="2"/>
        <v>348</v>
      </c>
      <c r="C71" s="3" t="s">
        <v>15</v>
      </c>
      <c r="D71" s="3" t="s">
        <v>6</v>
      </c>
      <c r="E71" s="13" t="s">
        <v>104</v>
      </c>
      <c r="F71" s="5" t="s">
        <v>5</v>
      </c>
      <c r="G71" s="3">
        <v>1246</v>
      </c>
      <c r="H71" s="5">
        <v>1.89</v>
      </c>
      <c r="I71" s="9">
        <v>413</v>
      </c>
      <c r="J71" s="7">
        <v>0.113</v>
      </c>
      <c r="K71" s="7">
        <v>7.38</v>
      </c>
      <c r="L71" s="5">
        <v>44.5</v>
      </c>
      <c r="M71" s="7">
        <v>6.23</v>
      </c>
      <c r="N71" s="3">
        <v>51</v>
      </c>
      <c r="O71" s="3">
        <v>178</v>
      </c>
      <c r="P71" s="3">
        <v>20</v>
      </c>
      <c r="Q71" s="3">
        <v>40</v>
      </c>
      <c r="R71" s="3">
        <v>0</v>
      </c>
      <c r="S71" s="9">
        <v>3200</v>
      </c>
      <c r="T71" s="3">
        <f>O71-N71</f>
        <v>127</v>
      </c>
      <c r="U71" s="9">
        <f>(T71/O71)*100</f>
        <v>71.348314606741567</v>
      </c>
      <c r="V71" s="9">
        <f>S71/O71</f>
        <v>17.977528089887642</v>
      </c>
      <c r="W71" s="13" t="s">
        <v>74</v>
      </c>
    </row>
    <row r="72" spans="1:23">
      <c r="A72" s="2">
        <v>44909</v>
      </c>
      <c r="B72" s="17" t="str">
        <f t="shared" si="2"/>
        <v>348</v>
      </c>
      <c r="C72" s="3" t="s">
        <v>15</v>
      </c>
      <c r="D72" s="3" t="s">
        <v>7</v>
      </c>
      <c r="E72" s="13" t="s">
        <v>104</v>
      </c>
      <c r="F72" s="5" t="s">
        <v>5</v>
      </c>
      <c r="G72" s="3">
        <v>1333</v>
      </c>
      <c r="H72" s="5">
        <v>3.32</v>
      </c>
      <c r="I72" s="9">
        <v>686</v>
      </c>
      <c r="J72" s="7">
        <v>0.19</v>
      </c>
      <c r="K72" s="7">
        <v>8.32</v>
      </c>
      <c r="L72" s="5">
        <v>121.3</v>
      </c>
      <c r="M72" s="7">
        <v>16.32</v>
      </c>
      <c r="N72" s="3">
        <v>94</v>
      </c>
      <c r="O72" s="3">
        <v>262</v>
      </c>
      <c r="P72" s="3">
        <v>43</v>
      </c>
      <c r="Q72" s="3">
        <v>80</v>
      </c>
      <c r="R72" s="3">
        <v>0</v>
      </c>
      <c r="S72" s="9">
        <v>5810</v>
      </c>
      <c r="T72" s="3">
        <f>O72-N72</f>
        <v>168</v>
      </c>
      <c r="U72" s="9">
        <f>(T72/O72)*100</f>
        <v>64.122137404580144</v>
      </c>
      <c r="V72" s="9">
        <f>S72/O72</f>
        <v>22.175572519083971</v>
      </c>
      <c r="W72" s="13" t="s">
        <v>74</v>
      </c>
    </row>
    <row r="73" spans="1:23">
      <c r="A73" s="2">
        <v>44909</v>
      </c>
      <c r="B73" s="17" t="str">
        <f t="shared" si="2"/>
        <v>348</v>
      </c>
      <c r="C73" s="3" t="s">
        <v>15</v>
      </c>
      <c r="D73" s="3" t="s">
        <v>35</v>
      </c>
      <c r="E73" s="13" t="s">
        <v>103</v>
      </c>
      <c r="F73" s="5" t="s">
        <v>5</v>
      </c>
      <c r="G73" s="5" t="s">
        <v>5</v>
      </c>
      <c r="H73" s="5" t="s">
        <v>5</v>
      </c>
      <c r="I73" s="5" t="s">
        <v>5</v>
      </c>
      <c r="J73" s="5" t="s">
        <v>5</v>
      </c>
      <c r="K73" s="5" t="s">
        <v>5</v>
      </c>
      <c r="L73" s="5" t="s">
        <v>5</v>
      </c>
      <c r="M73" s="5" t="s">
        <v>5</v>
      </c>
      <c r="N73" s="3">
        <v>87</v>
      </c>
      <c r="O73" s="3">
        <v>239</v>
      </c>
      <c r="P73" s="3">
        <v>37</v>
      </c>
      <c r="Q73" s="3">
        <v>73</v>
      </c>
      <c r="R73" s="3">
        <v>0</v>
      </c>
      <c r="S73" s="9">
        <v>5670</v>
      </c>
      <c r="T73" s="3">
        <f>O73-N73</f>
        <v>152</v>
      </c>
      <c r="U73" s="9">
        <f>(T73/O73)*100</f>
        <v>63.598326359832633</v>
      </c>
      <c r="V73" s="9">
        <f>S73/O73</f>
        <v>23.723849372384937</v>
      </c>
      <c r="W73" s="13" t="s">
        <v>75</v>
      </c>
    </row>
    <row r="74" spans="1:23">
      <c r="A74" s="2">
        <v>44909</v>
      </c>
      <c r="B74" s="17" t="str">
        <f t="shared" si="2"/>
        <v>348</v>
      </c>
      <c r="C74" s="3" t="s">
        <v>15</v>
      </c>
      <c r="D74" s="3" t="s">
        <v>8</v>
      </c>
      <c r="E74" s="13" t="s">
        <v>104</v>
      </c>
      <c r="F74" s="5">
        <v>0.7</v>
      </c>
      <c r="G74" s="3">
        <v>1313</v>
      </c>
      <c r="H74" s="5">
        <v>3.11</v>
      </c>
      <c r="I74" s="9">
        <v>679</v>
      </c>
      <c r="J74" s="7">
        <v>0.126</v>
      </c>
      <c r="K74" s="7">
        <v>8.18</v>
      </c>
      <c r="L74" s="5">
        <v>148</v>
      </c>
      <c r="M74" s="7">
        <v>19.97</v>
      </c>
      <c r="N74" s="3">
        <v>93</v>
      </c>
      <c r="O74" s="3">
        <v>386</v>
      </c>
      <c r="P74" s="3">
        <v>45</v>
      </c>
      <c r="Q74" s="3">
        <v>94</v>
      </c>
      <c r="R74" s="3">
        <v>11</v>
      </c>
      <c r="S74" s="9">
        <v>7230</v>
      </c>
      <c r="T74" s="3">
        <f>O74-N74</f>
        <v>293</v>
      </c>
      <c r="U74" s="9">
        <f>(T74/O74)*100</f>
        <v>75.906735751295344</v>
      </c>
      <c r="V74" s="9">
        <f>S74/O74</f>
        <v>18.730569948186528</v>
      </c>
      <c r="W74" s="13" t="s">
        <v>74</v>
      </c>
    </row>
    <row r="75" spans="1:23">
      <c r="A75" s="2">
        <v>44909</v>
      </c>
      <c r="B75" s="17" t="str">
        <f t="shared" si="2"/>
        <v>348</v>
      </c>
      <c r="C75" s="3" t="s">
        <v>15</v>
      </c>
      <c r="D75" s="3" t="s">
        <v>20</v>
      </c>
      <c r="E75" s="13" t="s">
        <v>102</v>
      </c>
      <c r="F75" s="5">
        <v>0.7</v>
      </c>
      <c r="G75" s="5" t="s">
        <v>5</v>
      </c>
      <c r="H75" s="5" t="s">
        <v>5</v>
      </c>
      <c r="I75" s="5" t="s">
        <v>5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  <c r="Q75" s="5" t="s">
        <v>5</v>
      </c>
      <c r="R75" s="5" t="s">
        <v>5</v>
      </c>
      <c r="S75" s="9" t="s">
        <v>5</v>
      </c>
      <c r="T75" s="5" t="s">
        <v>5</v>
      </c>
      <c r="U75" s="5" t="s">
        <v>5</v>
      </c>
      <c r="V75" s="5" t="s">
        <v>5</v>
      </c>
      <c r="W75" s="13" t="s">
        <v>70</v>
      </c>
    </row>
    <row r="76" spans="1:23">
      <c r="A76" s="2">
        <v>44944</v>
      </c>
      <c r="B76" s="17">
        <f t="shared" ref="B76:B107" si="3">TEXT((A76-DATEVALUE("1/1/"&amp;TEXT(A76,"yy"))+1),"000")+365</f>
        <v>383</v>
      </c>
      <c r="C76" s="3" t="s">
        <v>71</v>
      </c>
      <c r="D76" s="3" t="s">
        <v>33</v>
      </c>
      <c r="E76" s="13" t="s">
        <v>102</v>
      </c>
      <c r="F76" s="5">
        <v>3.1</v>
      </c>
      <c r="G76" s="5" t="s">
        <v>5</v>
      </c>
      <c r="H76" s="5" t="s">
        <v>5</v>
      </c>
      <c r="I76" s="5" t="s">
        <v>5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  <c r="Q76" s="5" t="s">
        <v>5</v>
      </c>
      <c r="R76" s="5" t="s">
        <v>5</v>
      </c>
      <c r="S76" s="9" t="s">
        <v>5</v>
      </c>
      <c r="T76" s="5" t="s">
        <v>5</v>
      </c>
      <c r="U76" s="5" t="s">
        <v>5</v>
      </c>
      <c r="V76" s="5" t="s">
        <v>5</v>
      </c>
      <c r="W76" s="13" t="s">
        <v>70</v>
      </c>
    </row>
    <row r="77" spans="1:23">
      <c r="A77" s="2">
        <v>44944</v>
      </c>
      <c r="B77" s="17">
        <f t="shared" si="3"/>
        <v>383</v>
      </c>
      <c r="C77" s="3" t="s">
        <v>71</v>
      </c>
      <c r="D77" s="3" t="s">
        <v>4</v>
      </c>
      <c r="E77" s="13" t="s">
        <v>104</v>
      </c>
      <c r="F77" s="5" t="s">
        <v>5</v>
      </c>
      <c r="G77" s="3">
        <v>1202</v>
      </c>
      <c r="H77" s="5">
        <v>2.27</v>
      </c>
      <c r="I77" s="9">
        <v>242</v>
      </c>
      <c r="J77" s="7">
        <v>-3.0000000000000001E-3</v>
      </c>
      <c r="K77" s="7">
        <v>7.73</v>
      </c>
      <c r="L77" s="5">
        <v>94.3</v>
      </c>
      <c r="M77" s="7">
        <v>12.95</v>
      </c>
      <c r="N77" s="3">
        <v>53</v>
      </c>
      <c r="O77" s="3">
        <v>96</v>
      </c>
      <c r="P77" s="3">
        <v>34</v>
      </c>
      <c r="Q77" s="3">
        <v>75</v>
      </c>
      <c r="R77" s="3">
        <v>335</v>
      </c>
      <c r="S77" s="9">
        <v>1310</v>
      </c>
      <c r="T77" s="3">
        <f>O77-N77</f>
        <v>43</v>
      </c>
      <c r="U77" s="9">
        <f>(T77/O77)*100</f>
        <v>44.791666666666671</v>
      </c>
      <c r="V77" s="9">
        <f>S77/O77</f>
        <v>13.645833333333334</v>
      </c>
      <c r="W77" s="18" t="s">
        <v>5</v>
      </c>
    </row>
    <row r="78" spans="1:23">
      <c r="A78" s="2">
        <v>44944</v>
      </c>
      <c r="B78" s="17">
        <f t="shared" si="3"/>
        <v>383</v>
      </c>
      <c r="C78" s="3" t="s">
        <v>71</v>
      </c>
      <c r="D78" s="3" t="s">
        <v>29</v>
      </c>
      <c r="E78" s="13" t="s">
        <v>103</v>
      </c>
      <c r="F78" s="5" t="s">
        <v>5</v>
      </c>
      <c r="G78" s="5" t="s">
        <v>5</v>
      </c>
      <c r="H78" s="5" t="s">
        <v>5</v>
      </c>
      <c r="I78" s="5" t="s">
        <v>5</v>
      </c>
      <c r="J78" s="5" t="s">
        <v>5</v>
      </c>
      <c r="K78" s="5" t="s">
        <v>5</v>
      </c>
      <c r="L78" s="5" t="s">
        <v>5</v>
      </c>
      <c r="M78" s="5" t="s">
        <v>5</v>
      </c>
      <c r="N78" s="3">
        <v>56</v>
      </c>
      <c r="O78" s="3">
        <v>97</v>
      </c>
      <c r="P78" s="3">
        <v>34</v>
      </c>
      <c r="Q78" s="3">
        <v>80</v>
      </c>
      <c r="R78" s="3">
        <v>331</v>
      </c>
      <c r="S78" s="9">
        <v>1330</v>
      </c>
      <c r="T78" s="3">
        <f>O78-N78</f>
        <v>41</v>
      </c>
      <c r="U78" s="9">
        <f>(T78/O78)*100</f>
        <v>42.268041237113401</v>
      </c>
      <c r="V78" s="9">
        <f>S78/O78</f>
        <v>13.711340206185566</v>
      </c>
      <c r="W78" s="13" t="s">
        <v>76</v>
      </c>
    </row>
    <row r="79" spans="1:23">
      <c r="A79" s="2">
        <v>44944</v>
      </c>
      <c r="B79" s="17">
        <f t="shared" si="3"/>
        <v>383</v>
      </c>
      <c r="C79" s="3" t="s">
        <v>71</v>
      </c>
      <c r="D79" s="3" t="s">
        <v>21</v>
      </c>
      <c r="E79" s="13" t="s">
        <v>102</v>
      </c>
      <c r="F79" s="5">
        <v>3.1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  <c r="Q79" s="5" t="s">
        <v>5</v>
      </c>
      <c r="R79" s="5" t="s">
        <v>5</v>
      </c>
      <c r="S79" s="9" t="s">
        <v>5</v>
      </c>
      <c r="T79" s="5" t="s">
        <v>5</v>
      </c>
      <c r="U79" s="5" t="s">
        <v>5</v>
      </c>
      <c r="V79" s="5" t="s">
        <v>5</v>
      </c>
      <c r="W79" s="18" t="s">
        <v>5</v>
      </c>
    </row>
    <row r="80" spans="1:23">
      <c r="A80" s="2">
        <v>44944</v>
      </c>
      <c r="B80" s="17">
        <f t="shared" si="3"/>
        <v>383</v>
      </c>
      <c r="C80" s="3" t="s">
        <v>71</v>
      </c>
      <c r="D80" s="3" t="s">
        <v>6</v>
      </c>
      <c r="E80" s="13" t="s">
        <v>104</v>
      </c>
      <c r="F80" s="5" t="s">
        <v>5</v>
      </c>
      <c r="G80" s="3">
        <v>1213</v>
      </c>
      <c r="H80" s="5">
        <v>2.38</v>
      </c>
      <c r="I80" s="9">
        <v>333</v>
      </c>
      <c r="J80" s="7">
        <v>0.03</v>
      </c>
      <c r="K80" s="7">
        <v>7.72</v>
      </c>
      <c r="L80" s="5">
        <v>84</v>
      </c>
      <c r="M80" s="7">
        <v>11.47</v>
      </c>
      <c r="N80" s="3">
        <v>54</v>
      </c>
      <c r="O80" s="3">
        <v>109</v>
      </c>
      <c r="P80" s="3">
        <v>24</v>
      </c>
      <c r="Q80" s="3">
        <v>191</v>
      </c>
      <c r="R80" s="3">
        <v>49</v>
      </c>
      <c r="S80" s="9">
        <v>1980</v>
      </c>
      <c r="T80" s="3">
        <f>O80-N80</f>
        <v>55</v>
      </c>
      <c r="U80" s="9">
        <f>(T80/O80)*100</f>
        <v>50.458715596330272</v>
      </c>
      <c r="V80" s="9">
        <f>S80/O80</f>
        <v>18.165137614678898</v>
      </c>
      <c r="W80" s="13" t="s">
        <v>74</v>
      </c>
    </row>
    <row r="81" spans="1:23">
      <c r="A81" s="2">
        <v>44944</v>
      </c>
      <c r="B81" s="17">
        <f t="shared" si="3"/>
        <v>383</v>
      </c>
      <c r="C81" s="3" t="s">
        <v>71</v>
      </c>
      <c r="D81" s="3" t="s">
        <v>7</v>
      </c>
      <c r="E81" s="13" t="s">
        <v>104</v>
      </c>
      <c r="F81" s="5" t="s">
        <v>5</v>
      </c>
      <c r="G81" s="3">
        <v>1250</v>
      </c>
      <c r="H81" s="5">
        <v>1</v>
      </c>
      <c r="I81" s="9">
        <v>630</v>
      </c>
      <c r="J81" s="7">
        <v>-1E-3</v>
      </c>
      <c r="K81" s="7">
        <v>8.3699999999999992</v>
      </c>
      <c r="L81" s="5">
        <v>98.3</v>
      </c>
      <c r="M81" s="7">
        <v>13.87</v>
      </c>
      <c r="N81" s="3">
        <v>52</v>
      </c>
      <c r="O81" s="3">
        <v>193</v>
      </c>
      <c r="P81" s="3">
        <v>20</v>
      </c>
      <c r="Q81" s="3">
        <v>280</v>
      </c>
      <c r="R81" s="3">
        <v>266</v>
      </c>
      <c r="S81" s="9">
        <v>3900</v>
      </c>
      <c r="T81" s="3">
        <f>O81-N81</f>
        <v>141</v>
      </c>
      <c r="U81" s="9">
        <f>(T81/O81)*100</f>
        <v>73.056994818652853</v>
      </c>
      <c r="V81" s="9">
        <f>S81/O81</f>
        <v>20.207253886010363</v>
      </c>
      <c r="W81" s="13" t="s">
        <v>79</v>
      </c>
    </row>
    <row r="82" spans="1:23">
      <c r="A82" s="2">
        <v>44944</v>
      </c>
      <c r="B82" s="17">
        <f t="shared" si="3"/>
        <v>383</v>
      </c>
      <c r="C82" s="3" t="s">
        <v>71</v>
      </c>
      <c r="D82" s="3" t="s">
        <v>72</v>
      </c>
      <c r="E82" s="13" t="s">
        <v>103</v>
      </c>
      <c r="F82" s="5" t="s">
        <v>5</v>
      </c>
      <c r="G82" s="5" t="s">
        <v>5</v>
      </c>
      <c r="H82" s="5" t="s">
        <v>5</v>
      </c>
      <c r="I82" s="5" t="s">
        <v>5</v>
      </c>
      <c r="J82" s="5" t="s">
        <v>5</v>
      </c>
      <c r="K82" s="5" t="s">
        <v>5</v>
      </c>
      <c r="L82" s="5" t="s">
        <v>5</v>
      </c>
      <c r="M82" s="5" t="s">
        <v>5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9">
        <v>0</v>
      </c>
      <c r="T82" s="3" t="s">
        <v>5</v>
      </c>
      <c r="U82" s="9" t="s">
        <v>5</v>
      </c>
      <c r="V82" s="9" t="s">
        <v>5</v>
      </c>
      <c r="W82" s="13" t="s">
        <v>77</v>
      </c>
    </row>
    <row r="83" spans="1:23">
      <c r="A83" s="2">
        <v>44944</v>
      </c>
      <c r="B83" s="17">
        <f t="shared" si="3"/>
        <v>383</v>
      </c>
      <c r="C83" s="3" t="s">
        <v>71</v>
      </c>
      <c r="D83" s="3" t="s">
        <v>8</v>
      </c>
      <c r="E83" s="13" t="s">
        <v>104</v>
      </c>
      <c r="F83" s="5">
        <v>1.3</v>
      </c>
      <c r="G83" s="3">
        <v>1231</v>
      </c>
      <c r="H83" s="5">
        <v>0.5</v>
      </c>
      <c r="I83" s="9">
        <v>629</v>
      </c>
      <c r="J83" s="7">
        <v>2E-3</v>
      </c>
      <c r="K83" s="7">
        <v>8.08</v>
      </c>
      <c r="L83" s="5">
        <v>95.2</v>
      </c>
      <c r="M83" s="7">
        <v>13.74</v>
      </c>
      <c r="N83" s="3">
        <v>36</v>
      </c>
      <c r="O83" s="3">
        <v>67</v>
      </c>
      <c r="P83" s="3">
        <v>14</v>
      </c>
      <c r="Q83" s="3">
        <v>253</v>
      </c>
      <c r="R83" s="3">
        <v>312</v>
      </c>
      <c r="S83" s="9">
        <v>2720</v>
      </c>
      <c r="T83" s="3">
        <f>O83-N83</f>
        <v>31</v>
      </c>
      <c r="U83" s="9">
        <f>(T83/O83)*100</f>
        <v>46.268656716417908</v>
      </c>
      <c r="V83" s="9">
        <f>S83/O83</f>
        <v>40.597014925373138</v>
      </c>
      <c r="W83" s="13" t="s">
        <v>74</v>
      </c>
    </row>
    <row r="84" spans="1:23">
      <c r="A84" s="2">
        <v>44944</v>
      </c>
      <c r="B84" s="17">
        <f t="shared" si="3"/>
        <v>383</v>
      </c>
      <c r="C84" s="3" t="s">
        <v>71</v>
      </c>
      <c r="D84" s="3" t="s">
        <v>20</v>
      </c>
      <c r="E84" s="13" t="s">
        <v>102</v>
      </c>
      <c r="F84" s="5">
        <v>1.25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  <c r="Q84" s="5" t="s">
        <v>5</v>
      </c>
      <c r="R84" s="5" t="s">
        <v>5</v>
      </c>
      <c r="S84" s="9" t="s">
        <v>5</v>
      </c>
      <c r="T84" s="5" t="s">
        <v>5</v>
      </c>
      <c r="U84" s="5" t="s">
        <v>5</v>
      </c>
      <c r="V84" s="5" t="s">
        <v>5</v>
      </c>
      <c r="W84" s="13" t="s">
        <v>70</v>
      </c>
    </row>
    <row r="85" spans="1:23">
      <c r="A85" s="2">
        <v>44971</v>
      </c>
      <c r="B85" s="17">
        <f t="shared" si="3"/>
        <v>410</v>
      </c>
      <c r="C85" s="3" t="s">
        <v>80</v>
      </c>
      <c r="D85" s="3" t="s">
        <v>33</v>
      </c>
      <c r="E85" s="13" t="s">
        <v>102</v>
      </c>
      <c r="F85" s="5">
        <v>3.6</v>
      </c>
      <c r="G85" s="5" t="s">
        <v>5</v>
      </c>
      <c r="H85" s="5" t="s">
        <v>5</v>
      </c>
      <c r="I85" s="5" t="s">
        <v>5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  <c r="Q85" s="5" t="s">
        <v>5</v>
      </c>
      <c r="R85" s="5" t="s">
        <v>5</v>
      </c>
      <c r="S85" s="9" t="s">
        <v>5</v>
      </c>
      <c r="T85" s="5" t="s">
        <v>5</v>
      </c>
      <c r="U85" s="5" t="s">
        <v>5</v>
      </c>
      <c r="V85" s="5" t="s">
        <v>5</v>
      </c>
      <c r="W85" s="13" t="s">
        <v>70</v>
      </c>
    </row>
    <row r="86" spans="1:23">
      <c r="A86" s="2">
        <v>44971</v>
      </c>
      <c r="B86" s="17">
        <f t="shared" si="3"/>
        <v>410</v>
      </c>
      <c r="C86" s="3" t="s">
        <v>80</v>
      </c>
      <c r="D86" s="3" t="s">
        <v>4</v>
      </c>
      <c r="E86" s="13" t="s">
        <v>104</v>
      </c>
      <c r="F86" s="5" t="s">
        <v>5</v>
      </c>
      <c r="G86" s="3">
        <v>1124</v>
      </c>
      <c r="H86" s="5">
        <v>3.38</v>
      </c>
      <c r="I86" s="9">
        <v>211</v>
      </c>
      <c r="J86" s="7">
        <v>3.5999999999999997E-2</v>
      </c>
      <c r="K86" s="7">
        <v>7.76</v>
      </c>
      <c r="L86" s="5">
        <v>95.3</v>
      </c>
      <c r="M86" s="7">
        <v>12.74</v>
      </c>
      <c r="N86" s="3">
        <v>40</v>
      </c>
      <c r="O86" s="3">
        <v>52</v>
      </c>
      <c r="P86" s="3">
        <v>28</v>
      </c>
      <c r="Q86" s="3">
        <v>0</v>
      </c>
      <c r="R86" s="3">
        <v>19</v>
      </c>
      <c r="S86" s="9">
        <v>349</v>
      </c>
      <c r="T86" s="3">
        <f>O86-N86</f>
        <v>12</v>
      </c>
      <c r="U86" s="9">
        <f>(T86/O86)*100</f>
        <v>23.076923076923077</v>
      </c>
      <c r="V86" s="9">
        <f>S86/O86</f>
        <v>6.7115384615384617</v>
      </c>
      <c r="W86" s="13" t="s">
        <v>5</v>
      </c>
    </row>
    <row r="87" spans="1:23">
      <c r="A87" s="2">
        <v>44971</v>
      </c>
      <c r="B87" s="17">
        <f t="shared" si="3"/>
        <v>410</v>
      </c>
      <c r="C87" s="3" t="s">
        <v>80</v>
      </c>
      <c r="D87" s="3" t="s">
        <v>21</v>
      </c>
      <c r="E87" s="13" t="s">
        <v>102</v>
      </c>
      <c r="F87" s="5">
        <v>3.1</v>
      </c>
      <c r="G87" s="5" t="s">
        <v>5</v>
      </c>
      <c r="H87" s="5" t="s">
        <v>5</v>
      </c>
      <c r="I87" s="5" t="s">
        <v>5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  <c r="Q87" s="5" t="s">
        <v>5</v>
      </c>
      <c r="R87" s="5" t="s">
        <v>5</v>
      </c>
      <c r="S87" s="9" t="s">
        <v>5</v>
      </c>
      <c r="T87" s="5" t="s">
        <v>5</v>
      </c>
      <c r="U87" s="5" t="s">
        <v>5</v>
      </c>
      <c r="V87" s="5" t="s">
        <v>5</v>
      </c>
      <c r="W87" s="13" t="s">
        <v>70</v>
      </c>
    </row>
    <row r="88" spans="1:23">
      <c r="A88" s="2">
        <v>44971</v>
      </c>
      <c r="B88" s="17">
        <f t="shared" si="3"/>
        <v>410</v>
      </c>
      <c r="C88" s="3" t="s">
        <v>80</v>
      </c>
      <c r="D88" s="3" t="s">
        <v>6</v>
      </c>
      <c r="E88" s="13" t="s">
        <v>104</v>
      </c>
      <c r="F88" s="5" t="s">
        <v>5</v>
      </c>
      <c r="G88" s="3">
        <v>1155</v>
      </c>
      <c r="H88" s="5">
        <v>2.0499999999999998</v>
      </c>
      <c r="I88" s="9">
        <v>339</v>
      </c>
      <c r="J88" s="7">
        <v>0</v>
      </c>
      <c r="K88" s="7">
        <v>7.76</v>
      </c>
      <c r="L88" s="5">
        <v>95.7</v>
      </c>
      <c r="M88" s="7">
        <v>13.28</v>
      </c>
      <c r="N88" s="3">
        <v>43</v>
      </c>
      <c r="O88" s="3">
        <v>33</v>
      </c>
      <c r="P88" s="3">
        <v>7</v>
      </c>
      <c r="Q88" s="3">
        <v>35</v>
      </c>
      <c r="R88" s="3">
        <v>0</v>
      </c>
      <c r="S88" s="9">
        <v>1180</v>
      </c>
      <c r="T88" s="3">
        <v>0</v>
      </c>
      <c r="U88" s="9">
        <f>(T88/O88)*100</f>
        <v>0</v>
      </c>
      <c r="V88" s="9">
        <f>S88/O88</f>
        <v>35.757575757575758</v>
      </c>
      <c r="W88" s="13" t="s">
        <v>123</v>
      </c>
    </row>
    <row r="89" spans="1:23">
      <c r="A89" s="2">
        <v>44971</v>
      </c>
      <c r="B89" s="17">
        <f t="shared" si="3"/>
        <v>410</v>
      </c>
      <c r="C89" s="3" t="s">
        <v>80</v>
      </c>
      <c r="D89" s="3" t="s">
        <v>49</v>
      </c>
      <c r="E89" s="13" t="s">
        <v>104</v>
      </c>
      <c r="F89" s="5" t="s">
        <v>5</v>
      </c>
      <c r="G89" s="3">
        <v>1243</v>
      </c>
      <c r="H89" s="5">
        <v>0.66</v>
      </c>
      <c r="I89" s="9">
        <v>734</v>
      </c>
      <c r="J89" s="7">
        <v>2E-3</v>
      </c>
      <c r="K89" s="7">
        <v>8.24</v>
      </c>
      <c r="L89" s="5">
        <v>92.5</v>
      </c>
      <c r="M89" s="7">
        <v>13.29</v>
      </c>
      <c r="N89" s="3">
        <v>59</v>
      </c>
      <c r="O89" s="3">
        <v>60</v>
      </c>
      <c r="P89" s="3">
        <v>23</v>
      </c>
      <c r="Q89" s="3">
        <v>369</v>
      </c>
      <c r="R89" s="3">
        <v>647</v>
      </c>
      <c r="S89" s="9">
        <v>3420</v>
      </c>
      <c r="T89" s="3">
        <f>O89-N89</f>
        <v>1</v>
      </c>
      <c r="U89" s="9">
        <f>(T89/O89)*100</f>
        <v>1.6666666666666667</v>
      </c>
      <c r="V89" s="9">
        <f>S89/O89</f>
        <v>57</v>
      </c>
      <c r="W89" s="13" t="s">
        <v>139</v>
      </c>
    </row>
    <row r="90" spans="1:23">
      <c r="A90" s="2">
        <v>44971</v>
      </c>
      <c r="B90" s="17">
        <f t="shared" si="3"/>
        <v>410</v>
      </c>
      <c r="C90" s="3" t="s">
        <v>80</v>
      </c>
      <c r="D90" s="3" t="s">
        <v>7</v>
      </c>
      <c r="E90" s="13" t="s">
        <v>104</v>
      </c>
      <c r="F90" s="5" t="s">
        <v>5</v>
      </c>
      <c r="G90" s="3">
        <v>1235</v>
      </c>
      <c r="H90" s="5">
        <v>1.1499999999999999</v>
      </c>
      <c r="I90" s="9">
        <v>648</v>
      </c>
      <c r="J90" s="7">
        <v>0</v>
      </c>
      <c r="K90" s="7">
        <v>8.2100000000000009</v>
      </c>
      <c r="L90" s="5">
        <v>95.5</v>
      </c>
      <c r="M90" s="7">
        <v>13.54</v>
      </c>
      <c r="N90" s="3">
        <v>58</v>
      </c>
      <c r="O90" s="3">
        <v>64</v>
      </c>
      <c r="P90" s="3">
        <v>21</v>
      </c>
      <c r="Q90" s="3">
        <v>375</v>
      </c>
      <c r="R90" s="3">
        <v>553</v>
      </c>
      <c r="S90" s="9">
        <v>3940</v>
      </c>
      <c r="T90" s="3">
        <f>O90-N90</f>
        <v>6</v>
      </c>
      <c r="U90" s="9">
        <f>(T90/O90)*100</f>
        <v>9.375</v>
      </c>
      <c r="V90" s="9">
        <f>S90/O90</f>
        <v>61.5625</v>
      </c>
      <c r="W90" s="13" t="s">
        <v>83</v>
      </c>
    </row>
    <row r="91" spans="1:23" ht="12.6" customHeight="1">
      <c r="A91" s="2">
        <v>44971</v>
      </c>
      <c r="B91" s="17">
        <f t="shared" si="3"/>
        <v>410</v>
      </c>
      <c r="C91" s="3" t="s">
        <v>80</v>
      </c>
      <c r="D91" s="3" t="s">
        <v>35</v>
      </c>
      <c r="E91" s="13" t="s">
        <v>103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3">
        <v>57</v>
      </c>
      <c r="O91" s="3">
        <v>63</v>
      </c>
      <c r="P91" s="3">
        <v>22</v>
      </c>
      <c r="Q91" s="3">
        <v>372</v>
      </c>
      <c r="R91" s="3">
        <v>571</v>
      </c>
      <c r="S91" s="9">
        <v>3650</v>
      </c>
      <c r="T91" s="3">
        <f>O91-N91</f>
        <v>6</v>
      </c>
      <c r="U91" s="9">
        <f>(T91/O91)*100</f>
        <v>9.5238095238095237</v>
      </c>
      <c r="V91" s="9">
        <f>S91/O91</f>
        <v>57.936507936507937</v>
      </c>
      <c r="W91" s="13" t="s">
        <v>84</v>
      </c>
    </row>
    <row r="92" spans="1:23">
      <c r="A92" s="2">
        <v>44971</v>
      </c>
      <c r="B92" s="17">
        <f t="shared" si="3"/>
        <v>410</v>
      </c>
      <c r="C92" s="3" t="s">
        <v>80</v>
      </c>
      <c r="D92" s="3" t="s">
        <v>8</v>
      </c>
      <c r="E92" s="13" t="s">
        <v>104</v>
      </c>
      <c r="F92" s="5">
        <v>1.45</v>
      </c>
      <c r="G92" s="3">
        <v>1212</v>
      </c>
      <c r="H92" s="5">
        <v>1.78</v>
      </c>
      <c r="I92" s="9">
        <v>552</v>
      </c>
      <c r="J92" s="7">
        <v>3.4000000000000002E-2</v>
      </c>
      <c r="K92" s="7">
        <v>7.77</v>
      </c>
      <c r="L92" s="5">
        <v>85.7</v>
      </c>
      <c r="M92" s="7">
        <v>11.94</v>
      </c>
      <c r="N92" s="3">
        <v>108</v>
      </c>
      <c r="O92" s="3">
        <v>119</v>
      </c>
      <c r="P92" s="3">
        <v>62</v>
      </c>
      <c r="Q92" s="3">
        <v>123</v>
      </c>
      <c r="R92" s="3">
        <v>291</v>
      </c>
      <c r="S92" s="9">
        <v>2690</v>
      </c>
      <c r="T92" s="3">
        <f>O92-N92</f>
        <v>11</v>
      </c>
      <c r="U92" s="9">
        <f>(T92/O92)*100</f>
        <v>9.2436974789915975</v>
      </c>
      <c r="V92" s="9">
        <f>S92/O92</f>
        <v>22.605042016806724</v>
      </c>
      <c r="W92" s="13" t="s">
        <v>74</v>
      </c>
    </row>
    <row r="93" spans="1:23">
      <c r="A93" s="2">
        <v>44971</v>
      </c>
      <c r="B93" s="17">
        <f t="shared" si="3"/>
        <v>410</v>
      </c>
      <c r="C93" s="3" t="s">
        <v>80</v>
      </c>
      <c r="D93" s="3" t="s">
        <v>63</v>
      </c>
      <c r="E93" s="13" t="s">
        <v>103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9">
        <v>0</v>
      </c>
      <c r="T93" s="3">
        <f>O93-N93</f>
        <v>0</v>
      </c>
      <c r="U93" s="9" t="s">
        <v>5</v>
      </c>
      <c r="V93" s="9" t="s">
        <v>5</v>
      </c>
      <c r="W93" s="13" t="s">
        <v>77</v>
      </c>
    </row>
    <row r="94" spans="1:23">
      <c r="A94" s="2">
        <v>44971</v>
      </c>
      <c r="B94" s="17">
        <f t="shared" si="3"/>
        <v>410</v>
      </c>
      <c r="C94" s="3" t="s">
        <v>80</v>
      </c>
      <c r="D94" s="3" t="s">
        <v>20</v>
      </c>
      <c r="E94" s="13" t="s">
        <v>102</v>
      </c>
      <c r="F94" s="5">
        <v>2.5</v>
      </c>
      <c r="G94" s="5" t="s">
        <v>5</v>
      </c>
      <c r="H94" s="5" t="s">
        <v>5</v>
      </c>
      <c r="I94" s="5" t="s">
        <v>5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  <c r="Q94" s="5" t="s">
        <v>5</v>
      </c>
      <c r="R94" s="5" t="s">
        <v>5</v>
      </c>
      <c r="S94" s="9" t="s">
        <v>5</v>
      </c>
      <c r="T94" s="5" t="s">
        <v>5</v>
      </c>
      <c r="U94" s="5" t="s">
        <v>5</v>
      </c>
      <c r="V94" s="5" t="s">
        <v>5</v>
      </c>
      <c r="W94" s="13" t="s">
        <v>70</v>
      </c>
    </row>
    <row r="95" spans="1:23">
      <c r="A95" s="2">
        <v>44999</v>
      </c>
      <c r="B95" s="17">
        <f t="shared" si="3"/>
        <v>438</v>
      </c>
      <c r="C95" s="3" t="s">
        <v>80</v>
      </c>
      <c r="D95" s="3" t="s">
        <v>33</v>
      </c>
      <c r="E95" s="13" t="s">
        <v>102</v>
      </c>
      <c r="F95" s="5">
        <v>3.8</v>
      </c>
      <c r="G95" s="3" t="s">
        <v>5</v>
      </c>
      <c r="H95" s="5" t="s">
        <v>5</v>
      </c>
      <c r="I95" s="3" t="s">
        <v>5</v>
      </c>
      <c r="J95" s="3" t="s">
        <v>5</v>
      </c>
      <c r="K95" s="3" t="s">
        <v>5</v>
      </c>
      <c r="L95" s="3" t="s">
        <v>5</v>
      </c>
      <c r="M95" s="3" t="s">
        <v>5</v>
      </c>
      <c r="N95" s="5" t="s">
        <v>5</v>
      </c>
      <c r="O95" s="5" t="s">
        <v>5</v>
      </c>
      <c r="P95" s="5" t="s">
        <v>5</v>
      </c>
      <c r="Q95" s="5" t="s">
        <v>5</v>
      </c>
      <c r="R95" s="5" t="s">
        <v>5</v>
      </c>
      <c r="S95" s="9" t="s">
        <v>5</v>
      </c>
      <c r="T95" s="5" t="s">
        <v>5</v>
      </c>
      <c r="U95" s="5" t="s">
        <v>5</v>
      </c>
      <c r="V95" s="5" t="s">
        <v>5</v>
      </c>
      <c r="W95" s="13" t="s">
        <v>82</v>
      </c>
    </row>
    <row r="96" spans="1:23">
      <c r="A96" s="2">
        <v>44999</v>
      </c>
      <c r="B96" s="17">
        <f t="shared" si="3"/>
        <v>438</v>
      </c>
      <c r="C96" s="3" t="s">
        <v>80</v>
      </c>
      <c r="D96" s="3" t="s">
        <v>4</v>
      </c>
      <c r="E96" s="13" t="s">
        <v>104</v>
      </c>
      <c r="F96" s="5" t="s">
        <v>5</v>
      </c>
      <c r="G96" s="3">
        <v>1127</v>
      </c>
      <c r="H96" s="5">
        <v>5.73</v>
      </c>
      <c r="I96" s="9">
        <v>191</v>
      </c>
      <c r="J96" s="7">
        <v>0</v>
      </c>
      <c r="K96" s="7">
        <v>8.1</v>
      </c>
      <c r="L96" s="5">
        <v>97.4</v>
      </c>
      <c r="M96" s="7">
        <v>12.18</v>
      </c>
      <c r="N96" s="3">
        <v>37</v>
      </c>
      <c r="O96" s="3">
        <v>97</v>
      </c>
      <c r="P96" s="3">
        <v>17</v>
      </c>
      <c r="Q96" s="3">
        <v>18</v>
      </c>
      <c r="R96" s="3">
        <v>185</v>
      </c>
      <c r="S96" s="9">
        <v>914</v>
      </c>
      <c r="T96" s="3">
        <f>O96-N96</f>
        <v>60</v>
      </c>
      <c r="U96" s="9">
        <f>(T96/O96)*100</f>
        <v>61.855670103092784</v>
      </c>
      <c r="V96" s="9">
        <f>S96/O96</f>
        <v>9.4226804123711343</v>
      </c>
      <c r="W96" s="13" t="s">
        <v>82</v>
      </c>
    </row>
    <row r="97" spans="1:23">
      <c r="A97" s="2">
        <v>44999</v>
      </c>
      <c r="B97" s="17">
        <f t="shared" si="3"/>
        <v>438</v>
      </c>
      <c r="C97" s="3" t="s">
        <v>80</v>
      </c>
      <c r="D97" s="3" t="s">
        <v>36</v>
      </c>
      <c r="E97" s="13" t="s">
        <v>103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9">
        <v>0</v>
      </c>
      <c r="T97" s="5" t="s">
        <v>5</v>
      </c>
      <c r="U97" s="5" t="s">
        <v>5</v>
      </c>
      <c r="V97" s="5" t="s">
        <v>5</v>
      </c>
      <c r="W97" s="13" t="s">
        <v>77</v>
      </c>
    </row>
    <row r="98" spans="1:23">
      <c r="A98" s="2">
        <v>44999</v>
      </c>
      <c r="B98" s="17">
        <f t="shared" si="3"/>
        <v>438</v>
      </c>
      <c r="C98" s="3" t="s">
        <v>80</v>
      </c>
      <c r="D98" s="3" t="s">
        <v>21</v>
      </c>
      <c r="E98" s="13" t="s">
        <v>102</v>
      </c>
      <c r="F98" s="5">
        <v>3.77</v>
      </c>
      <c r="G98" s="3" t="s">
        <v>5</v>
      </c>
      <c r="H98" s="5" t="s">
        <v>5</v>
      </c>
      <c r="I98" s="3" t="s">
        <v>5</v>
      </c>
      <c r="J98" s="3" t="s">
        <v>5</v>
      </c>
      <c r="K98" s="3" t="s">
        <v>5</v>
      </c>
      <c r="L98" s="3" t="s">
        <v>5</v>
      </c>
      <c r="M98" s="3" t="s">
        <v>5</v>
      </c>
      <c r="N98" s="5" t="s">
        <v>5</v>
      </c>
      <c r="O98" s="5" t="s">
        <v>5</v>
      </c>
      <c r="P98" s="5" t="s">
        <v>5</v>
      </c>
      <c r="Q98" s="5" t="s">
        <v>5</v>
      </c>
      <c r="R98" s="5" t="s">
        <v>5</v>
      </c>
      <c r="S98" s="9" t="s">
        <v>5</v>
      </c>
      <c r="T98" s="5" t="s">
        <v>5</v>
      </c>
      <c r="U98" s="5" t="s">
        <v>5</v>
      </c>
      <c r="V98" s="5" t="s">
        <v>5</v>
      </c>
      <c r="W98" s="13" t="s">
        <v>82</v>
      </c>
    </row>
    <row r="99" spans="1:23">
      <c r="A99" s="2">
        <v>44999</v>
      </c>
      <c r="B99" s="17">
        <f t="shared" si="3"/>
        <v>438</v>
      </c>
      <c r="C99" s="3" t="s">
        <v>80</v>
      </c>
      <c r="D99" s="3" t="s">
        <v>6</v>
      </c>
      <c r="E99" s="13" t="s">
        <v>104</v>
      </c>
      <c r="F99" s="5" t="s">
        <v>5</v>
      </c>
      <c r="G99" s="3">
        <v>1019</v>
      </c>
      <c r="H99" s="5">
        <v>5.98</v>
      </c>
      <c r="I99" s="9">
        <v>281</v>
      </c>
      <c r="J99" s="7">
        <v>0</v>
      </c>
      <c r="K99" s="7">
        <v>7.82</v>
      </c>
      <c r="L99" s="5">
        <v>83.6</v>
      </c>
      <c r="M99" s="7">
        <v>10.94</v>
      </c>
      <c r="N99" s="3">
        <v>41</v>
      </c>
      <c r="O99" s="3">
        <v>175</v>
      </c>
      <c r="P99" s="3">
        <v>14</v>
      </c>
      <c r="Q99" s="3">
        <v>17</v>
      </c>
      <c r="R99" s="3">
        <v>27</v>
      </c>
      <c r="S99" s="9">
        <v>2040</v>
      </c>
      <c r="T99" s="3">
        <f>O99-N99</f>
        <v>134</v>
      </c>
      <c r="U99" s="9">
        <f>(T99/O99)*100</f>
        <v>76.571428571428569</v>
      </c>
      <c r="V99" s="9">
        <f>S99/O99</f>
        <v>11.657142857142857</v>
      </c>
      <c r="W99" s="13" t="s">
        <v>82</v>
      </c>
    </row>
    <row r="100" spans="1:23">
      <c r="A100" s="2">
        <v>44999</v>
      </c>
      <c r="B100" s="17">
        <f t="shared" si="3"/>
        <v>438</v>
      </c>
      <c r="C100" s="3" t="s">
        <v>80</v>
      </c>
      <c r="D100" s="3" t="s">
        <v>7</v>
      </c>
      <c r="E100" s="13" t="s">
        <v>104</v>
      </c>
      <c r="F100" s="5" t="s">
        <v>5</v>
      </c>
      <c r="G100" s="3">
        <v>1109</v>
      </c>
      <c r="H100" s="5">
        <v>1.92</v>
      </c>
      <c r="I100" s="9">
        <v>733</v>
      </c>
      <c r="J100" s="7">
        <v>8.5000000000000006E-2</v>
      </c>
      <c r="K100" s="7">
        <v>8.1199999999999992</v>
      </c>
      <c r="L100" s="5">
        <v>93.6</v>
      </c>
      <c r="M100" s="7">
        <v>12.93</v>
      </c>
      <c r="N100" s="3">
        <v>61</v>
      </c>
      <c r="O100" s="3">
        <v>236</v>
      </c>
      <c r="P100" s="3">
        <v>22</v>
      </c>
      <c r="Q100" s="3">
        <v>95</v>
      </c>
      <c r="R100" s="3">
        <v>2890</v>
      </c>
      <c r="S100" s="9">
        <v>6540</v>
      </c>
      <c r="T100" s="3">
        <f>O100-N100</f>
        <v>175</v>
      </c>
      <c r="U100" s="9">
        <f>(T100/O100)*100</f>
        <v>74.152542372881356</v>
      </c>
      <c r="V100" s="9">
        <f>S100/O100</f>
        <v>27.711864406779661</v>
      </c>
      <c r="W100" s="13" t="s">
        <v>82</v>
      </c>
    </row>
    <row r="101" spans="1:23">
      <c r="A101" s="2">
        <v>44999</v>
      </c>
      <c r="B101" s="17">
        <f t="shared" si="3"/>
        <v>438</v>
      </c>
      <c r="C101" s="3" t="s">
        <v>80</v>
      </c>
      <c r="D101" s="3" t="s">
        <v>35</v>
      </c>
      <c r="E101" s="13" t="s">
        <v>103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3">
        <v>64</v>
      </c>
      <c r="O101" s="3">
        <v>233</v>
      </c>
      <c r="P101" s="3">
        <v>21</v>
      </c>
      <c r="Q101" s="10">
        <v>78</v>
      </c>
      <c r="R101" s="3">
        <v>3030</v>
      </c>
      <c r="S101" s="9">
        <v>7000</v>
      </c>
      <c r="T101" s="3">
        <f>O101-N101</f>
        <v>169</v>
      </c>
      <c r="U101" s="9">
        <f>(T101/O101)*100</f>
        <v>72.532188841201716</v>
      </c>
      <c r="V101" s="9">
        <f>S101/O101</f>
        <v>30.042918454935624</v>
      </c>
      <c r="W101" s="13" t="s">
        <v>85</v>
      </c>
    </row>
    <row r="102" spans="1:23">
      <c r="A102" s="2">
        <v>44999</v>
      </c>
      <c r="B102" s="17">
        <f t="shared" si="3"/>
        <v>438</v>
      </c>
      <c r="C102" s="3" t="s">
        <v>80</v>
      </c>
      <c r="D102" s="3" t="s">
        <v>8</v>
      </c>
      <c r="E102" s="13" t="s">
        <v>104</v>
      </c>
      <c r="F102" s="5">
        <v>2.2000000000000002</v>
      </c>
      <c r="G102" s="3">
        <v>1047</v>
      </c>
      <c r="H102" s="5">
        <v>4.3</v>
      </c>
      <c r="I102" s="9">
        <v>691</v>
      </c>
      <c r="J102" s="7">
        <v>0</v>
      </c>
      <c r="K102" s="7">
        <v>7.84</v>
      </c>
      <c r="L102" s="5">
        <v>90.3</v>
      </c>
      <c r="M102" s="7">
        <v>11.71</v>
      </c>
      <c r="N102" s="3">
        <v>57</v>
      </c>
      <c r="O102" s="3">
        <v>187</v>
      </c>
      <c r="P102" s="3">
        <v>23</v>
      </c>
      <c r="Q102" s="3">
        <v>188</v>
      </c>
      <c r="R102" s="3">
        <v>933</v>
      </c>
      <c r="S102" s="9">
        <v>4280</v>
      </c>
      <c r="T102" s="3">
        <f>O102-N102</f>
        <v>130</v>
      </c>
      <c r="U102" s="9">
        <f>(T102/O102)*100</f>
        <v>69.518716577540104</v>
      </c>
      <c r="V102" s="9">
        <f>S102/O102</f>
        <v>22.887700534759357</v>
      </c>
      <c r="W102" s="13" t="s">
        <v>82</v>
      </c>
    </row>
    <row r="103" spans="1:23">
      <c r="A103" s="2">
        <v>44999</v>
      </c>
      <c r="B103" s="17">
        <f t="shared" si="3"/>
        <v>438</v>
      </c>
      <c r="C103" s="3" t="s">
        <v>80</v>
      </c>
      <c r="D103" s="3" t="s">
        <v>20</v>
      </c>
      <c r="E103" s="13" t="s">
        <v>102</v>
      </c>
      <c r="F103" s="5">
        <v>2.15</v>
      </c>
      <c r="G103" s="3" t="s">
        <v>5</v>
      </c>
      <c r="H103" s="5" t="s">
        <v>5</v>
      </c>
      <c r="I103" s="3" t="s">
        <v>5</v>
      </c>
      <c r="J103" s="3" t="s">
        <v>5</v>
      </c>
      <c r="K103" s="3" t="s">
        <v>5</v>
      </c>
      <c r="L103" s="3" t="s">
        <v>5</v>
      </c>
      <c r="M103" s="3" t="s">
        <v>5</v>
      </c>
      <c r="N103" s="5" t="s">
        <v>5</v>
      </c>
      <c r="O103" s="5" t="s">
        <v>5</v>
      </c>
      <c r="P103" s="5" t="s">
        <v>5</v>
      </c>
      <c r="Q103" s="5" t="s">
        <v>5</v>
      </c>
      <c r="R103" s="5" t="s">
        <v>5</v>
      </c>
      <c r="S103" s="9" t="s">
        <v>5</v>
      </c>
      <c r="T103" s="5" t="s">
        <v>5</v>
      </c>
      <c r="U103" s="5" t="s">
        <v>5</v>
      </c>
      <c r="V103" s="5" t="s">
        <v>5</v>
      </c>
      <c r="W103" s="13" t="s">
        <v>82</v>
      </c>
    </row>
    <row r="104" spans="1:23">
      <c r="A104" s="2">
        <v>45008</v>
      </c>
      <c r="B104" s="17">
        <f t="shared" si="3"/>
        <v>447</v>
      </c>
      <c r="C104" s="3" t="s">
        <v>144</v>
      </c>
      <c r="D104" s="3" t="s">
        <v>9</v>
      </c>
      <c r="E104" s="13" t="s">
        <v>104</v>
      </c>
      <c r="F104" s="5" t="s">
        <v>5</v>
      </c>
      <c r="G104" s="3" t="s">
        <v>5</v>
      </c>
      <c r="H104" s="5" t="s">
        <v>5</v>
      </c>
      <c r="I104" s="3" t="s">
        <v>5</v>
      </c>
      <c r="J104" s="3" t="s">
        <v>5</v>
      </c>
      <c r="K104" s="3" t="s">
        <v>5</v>
      </c>
      <c r="L104" s="3" t="s">
        <v>5</v>
      </c>
      <c r="M104" s="3" t="s">
        <v>5</v>
      </c>
      <c r="N104" s="9">
        <v>250</v>
      </c>
      <c r="O104" s="9">
        <v>520</v>
      </c>
      <c r="P104" s="9">
        <v>205</v>
      </c>
      <c r="Q104" s="9">
        <v>42</v>
      </c>
      <c r="R104" s="9">
        <v>508</v>
      </c>
      <c r="S104" s="9">
        <v>3700</v>
      </c>
      <c r="T104" s="3">
        <f>O104-N104</f>
        <v>270</v>
      </c>
      <c r="U104" s="9">
        <f>(T104/O104)*100</f>
        <v>51.923076923076927</v>
      </c>
      <c r="V104" s="9">
        <f>S104/O104</f>
        <v>7.115384615384615</v>
      </c>
      <c r="W104" s="13" t="s">
        <v>145</v>
      </c>
    </row>
    <row r="105" spans="1:23">
      <c r="A105" s="2">
        <v>45008</v>
      </c>
      <c r="B105" s="17">
        <f t="shared" si="3"/>
        <v>447</v>
      </c>
      <c r="C105" s="3" t="s">
        <v>71</v>
      </c>
      <c r="D105" s="3" t="s">
        <v>42</v>
      </c>
      <c r="E105" s="13" t="s">
        <v>104</v>
      </c>
      <c r="F105" s="3" t="s">
        <v>5</v>
      </c>
      <c r="G105" s="3" t="s">
        <v>5</v>
      </c>
      <c r="H105" s="5" t="s">
        <v>5</v>
      </c>
      <c r="I105" s="3" t="s">
        <v>5</v>
      </c>
      <c r="J105" s="3" t="s">
        <v>5</v>
      </c>
      <c r="K105" s="3" t="s">
        <v>5</v>
      </c>
      <c r="L105" s="3" t="s">
        <v>5</v>
      </c>
      <c r="M105" s="3" t="s">
        <v>5</v>
      </c>
      <c r="N105" s="3">
        <v>94</v>
      </c>
      <c r="O105" s="3">
        <v>488</v>
      </c>
      <c r="P105" s="3">
        <v>69</v>
      </c>
      <c r="Q105" s="3">
        <v>157</v>
      </c>
      <c r="R105" s="3">
        <v>991</v>
      </c>
      <c r="S105" s="9">
        <v>5910</v>
      </c>
      <c r="T105" s="3">
        <f>O105-N105</f>
        <v>394</v>
      </c>
      <c r="U105" s="9">
        <f>(T105/O105)*100</f>
        <v>80.737704918032776</v>
      </c>
      <c r="V105" s="9">
        <f>S105/O105</f>
        <v>12.110655737704919</v>
      </c>
      <c r="W105" s="13" t="s">
        <v>87</v>
      </c>
    </row>
    <row r="106" spans="1:23">
      <c r="A106" s="2">
        <v>45008</v>
      </c>
      <c r="B106" s="17">
        <f t="shared" si="3"/>
        <v>447</v>
      </c>
      <c r="C106" s="3" t="s">
        <v>71</v>
      </c>
      <c r="D106" s="3" t="s">
        <v>8</v>
      </c>
      <c r="E106" s="13" t="s">
        <v>104</v>
      </c>
      <c r="F106" s="3" t="s">
        <v>5</v>
      </c>
      <c r="G106" s="3" t="s">
        <v>5</v>
      </c>
      <c r="H106" s="5" t="s">
        <v>5</v>
      </c>
      <c r="I106" s="3" t="s">
        <v>5</v>
      </c>
      <c r="J106" s="3" t="s">
        <v>5</v>
      </c>
      <c r="K106" s="3" t="s">
        <v>5</v>
      </c>
      <c r="L106" s="3" t="s">
        <v>5</v>
      </c>
      <c r="M106" s="3" t="s">
        <v>5</v>
      </c>
      <c r="N106" s="3">
        <v>65</v>
      </c>
      <c r="O106" s="3">
        <v>212</v>
      </c>
      <c r="P106" s="3">
        <v>21</v>
      </c>
      <c r="Q106" s="3">
        <v>34</v>
      </c>
      <c r="R106" s="3">
        <v>410</v>
      </c>
      <c r="S106" s="9">
        <v>4040</v>
      </c>
      <c r="T106" s="3">
        <f>O106-N106</f>
        <v>147</v>
      </c>
      <c r="U106" s="9">
        <f>(T106/O106)*100</f>
        <v>69.339622641509436</v>
      </c>
      <c r="V106" s="9">
        <f>S106/O106</f>
        <v>19.056603773584907</v>
      </c>
      <c r="W106" s="13" t="s">
        <v>86</v>
      </c>
    </row>
    <row r="107" spans="1:23">
      <c r="A107" s="2">
        <v>45022</v>
      </c>
      <c r="B107" s="17">
        <f t="shared" si="3"/>
        <v>461</v>
      </c>
      <c r="C107" s="3" t="s">
        <v>80</v>
      </c>
      <c r="D107" s="3" t="s">
        <v>9</v>
      </c>
      <c r="E107" s="13" t="s">
        <v>104</v>
      </c>
      <c r="F107" s="5" t="s">
        <v>5</v>
      </c>
      <c r="G107" s="3">
        <v>1010</v>
      </c>
      <c r="H107" s="5">
        <v>7.31</v>
      </c>
      <c r="I107" s="9">
        <v>703</v>
      </c>
      <c r="J107" s="7">
        <v>3.6999999999999998E-2</v>
      </c>
      <c r="K107" s="7">
        <v>7.89</v>
      </c>
      <c r="L107" s="5">
        <v>88.1</v>
      </c>
      <c r="M107" s="7">
        <v>10.58</v>
      </c>
      <c r="N107" s="3">
        <v>120</v>
      </c>
      <c r="O107" s="3">
        <v>280</v>
      </c>
      <c r="P107" s="3">
        <v>87</v>
      </c>
      <c r="Q107" s="3">
        <v>218</v>
      </c>
      <c r="R107" s="3">
        <v>412</v>
      </c>
      <c r="S107" s="9">
        <v>2940</v>
      </c>
      <c r="T107" s="3">
        <f>O107-N107</f>
        <v>160</v>
      </c>
      <c r="U107" s="9">
        <f>(T107/O107)*100</f>
        <v>57.142857142857139</v>
      </c>
      <c r="V107" s="9">
        <f>S107/O107</f>
        <v>10.5</v>
      </c>
      <c r="W107" s="13" t="s">
        <v>106</v>
      </c>
    </row>
    <row r="108" spans="1:23">
      <c r="A108" s="2">
        <v>45022</v>
      </c>
      <c r="B108" s="17">
        <f t="shared" ref="B108:B139" si="4">TEXT((A108-DATEVALUE("1/1/"&amp;TEXT(A108,"yy"))+1),"000")+365</f>
        <v>461</v>
      </c>
      <c r="C108" s="3" t="s">
        <v>80</v>
      </c>
      <c r="D108" s="3" t="s">
        <v>33</v>
      </c>
      <c r="E108" s="13" t="s">
        <v>102</v>
      </c>
      <c r="F108" s="5">
        <v>4</v>
      </c>
      <c r="G108" s="5" t="s">
        <v>5</v>
      </c>
      <c r="H108" s="5" t="s">
        <v>5</v>
      </c>
      <c r="I108" s="5" t="s">
        <v>5</v>
      </c>
      <c r="J108" s="5" t="s">
        <v>5</v>
      </c>
      <c r="K108" s="5" t="s">
        <v>5</v>
      </c>
      <c r="L108" s="5" t="s">
        <v>5</v>
      </c>
      <c r="M108" s="5" t="s">
        <v>5</v>
      </c>
      <c r="N108" s="5" t="s">
        <v>5</v>
      </c>
      <c r="O108" s="5" t="s">
        <v>5</v>
      </c>
      <c r="P108" s="5" t="s">
        <v>5</v>
      </c>
      <c r="Q108" s="5" t="s">
        <v>5</v>
      </c>
      <c r="R108" s="5" t="s">
        <v>5</v>
      </c>
      <c r="S108" s="9" t="s">
        <v>5</v>
      </c>
      <c r="T108" s="5" t="s">
        <v>5</v>
      </c>
      <c r="U108" s="5" t="s">
        <v>5</v>
      </c>
      <c r="V108" s="5" t="s">
        <v>5</v>
      </c>
      <c r="W108" s="18" t="s">
        <v>108</v>
      </c>
    </row>
    <row r="109" spans="1:23">
      <c r="A109" s="2">
        <v>45022</v>
      </c>
      <c r="B109" s="17">
        <f t="shared" si="4"/>
        <v>461</v>
      </c>
      <c r="C109" s="3" t="s">
        <v>80</v>
      </c>
      <c r="D109" s="3" t="s">
        <v>4</v>
      </c>
      <c r="E109" s="13" t="s">
        <v>104</v>
      </c>
      <c r="F109" s="5" t="s">
        <v>5</v>
      </c>
      <c r="G109" s="3">
        <v>1044</v>
      </c>
      <c r="H109" s="5">
        <v>8.94</v>
      </c>
      <c r="I109" s="9">
        <v>192</v>
      </c>
      <c r="J109" s="7">
        <v>0.107</v>
      </c>
      <c r="K109" s="7">
        <v>8.48</v>
      </c>
      <c r="L109" s="5">
        <v>103.3</v>
      </c>
      <c r="M109" s="7">
        <v>11.93</v>
      </c>
      <c r="N109" s="3">
        <v>37</v>
      </c>
      <c r="O109" s="3">
        <v>66</v>
      </c>
      <c r="P109" s="3">
        <v>18</v>
      </c>
      <c r="Q109" s="3">
        <v>0</v>
      </c>
      <c r="R109" s="3">
        <v>0</v>
      </c>
      <c r="S109" s="9">
        <v>464</v>
      </c>
      <c r="T109" s="3">
        <f>O109-N109</f>
        <v>29</v>
      </c>
      <c r="U109" s="9">
        <f>(T109/O109)*100</f>
        <v>43.939393939393938</v>
      </c>
      <c r="V109" s="9">
        <f>S109/O109</f>
        <v>7.0303030303030303</v>
      </c>
      <c r="W109" s="18" t="s">
        <v>5</v>
      </c>
    </row>
    <row r="110" spans="1:23">
      <c r="A110" s="2">
        <v>45022</v>
      </c>
      <c r="B110" s="17">
        <f t="shared" si="4"/>
        <v>461</v>
      </c>
      <c r="C110" s="3" t="s">
        <v>80</v>
      </c>
      <c r="D110" s="3" t="s">
        <v>21</v>
      </c>
      <c r="E110" s="13" t="s">
        <v>102</v>
      </c>
      <c r="F110" s="5">
        <v>3.78</v>
      </c>
      <c r="G110" s="5" t="s">
        <v>5</v>
      </c>
      <c r="H110" s="5" t="s">
        <v>5</v>
      </c>
      <c r="I110" s="5" t="s">
        <v>5</v>
      </c>
      <c r="J110" s="5" t="s">
        <v>5</v>
      </c>
      <c r="K110" s="5" t="s">
        <v>5</v>
      </c>
      <c r="L110" s="5" t="s">
        <v>5</v>
      </c>
      <c r="M110" s="5" t="s">
        <v>5</v>
      </c>
      <c r="N110" s="5" t="s">
        <v>5</v>
      </c>
      <c r="O110" s="5" t="s">
        <v>5</v>
      </c>
      <c r="P110" s="5" t="s">
        <v>5</v>
      </c>
      <c r="Q110" s="5" t="s">
        <v>5</v>
      </c>
      <c r="R110" s="5" t="s">
        <v>5</v>
      </c>
      <c r="S110" s="9" t="s">
        <v>5</v>
      </c>
      <c r="T110" s="5" t="s">
        <v>5</v>
      </c>
      <c r="U110" s="5" t="s">
        <v>5</v>
      </c>
      <c r="V110" s="5" t="s">
        <v>5</v>
      </c>
      <c r="W110" s="18" t="s">
        <v>5</v>
      </c>
    </row>
    <row r="111" spans="1:23">
      <c r="A111" s="2">
        <v>45022</v>
      </c>
      <c r="B111" s="17">
        <f t="shared" si="4"/>
        <v>461</v>
      </c>
      <c r="C111" s="3" t="s">
        <v>80</v>
      </c>
      <c r="D111" s="3" t="s">
        <v>6</v>
      </c>
      <c r="E111" s="13" t="s">
        <v>104</v>
      </c>
      <c r="F111" s="5" t="s">
        <v>5</v>
      </c>
      <c r="G111" s="3">
        <v>915</v>
      </c>
      <c r="H111" s="5">
        <v>6.33</v>
      </c>
      <c r="I111" s="9">
        <v>260</v>
      </c>
      <c r="J111" s="7">
        <v>3.6999999999999998E-2</v>
      </c>
      <c r="K111" s="7">
        <v>7.74</v>
      </c>
      <c r="L111" s="5">
        <v>98.1</v>
      </c>
      <c r="M111" s="7">
        <v>12.08</v>
      </c>
      <c r="N111" s="3">
        <v>39</v>
      </c>
      <c r="O111" s="3">
        <v>127</v>
      </c>
      <c r="P111" s="3">
        <v>11</v>
      </c>
      <c r="Q111" s="3">
        <v>91</v>
      </c>
      <c r="R111" s="3">
        <v>32</v>
      </c>
      <c r="S111" s="9">
        <v>1910</v>
      </c>
      <c r="T111" s="3">
        <f>O111-N111</f>
        <v>88</v>
      </c>
      <c r="U111" s="9">
        <f>(T111/O111)*100</f>
        <v>69.29133858267717</v>
      </c>
      <c r="V111" s="9">
        <f>S111/O111</f>
        <v>15.039370078740157</v>
      </c>
      <c r="W111" s="18" t="s">
        <v>5</v>
      </c>
    </row>
    <row r="112" spans="1:23">
      <c r="A112" s="2">
        <v>45022</v>
      </c>
      <c r="B112" s="17">
        <f t="shared" si="4"/>
        <v>461</v>
      </c>
      <c r="C112" s="3" t="s">
        <v>80</v>
      </c>
      <c r="D112" s="3" t="s">
        <v>16</v>
      </c>
      <c r="E112" s="13" t="s">
        <v>103</v>
      </c>
      <c r="F112" s="5" t="s">
        <v>5</v>
      </c>
      <c r="G112" s="5" t="s">
        <v>5</v>
      </c>
      <c r="H112" s="5" t="s">
        <v>5</v>
      </c>
      <c r="I112" s="5" t="s">
        <v>5</v>
      </c>
      <c r="J112" s="5" t="s">
        <v>5</v>
      </c>
      <c r="K112" s="5" t="s">
        <v>5</v>
      </c>
      <c r="L112" s="5" t="s">
        <v>5</v>
      </c>
      <c r="M112" s="5" t="s">
        <v>5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9">
        <v>0</v>
      </c>
      <c r="T112" s="5" t="s">
        <v>5</v>
      </c>
      <c r="U112" s="5" t="s">
        <v>5</v>
      </c>
      <c r="V112" s="5" t="s">
        <v>5</v>
      </c>
      <c r="W112" s="18" t="s">
        <v>77</v>
      </c>
    </row>
    <row r="113" spans="1:23">
      <c r="A113" s="2">
        <v>45022</v>
      </c>
      <c r="B113" s="17">
        <f t="shared" si="4"/>
        <v>461</v>
      </c>
      <c r="C113" s="3" t="s">
        <v>80</v>
      </c>
      <c r="D113" s="3" t="s">
        <v>7</v>
      </c>
      <c r="E113" s="13" t="s">
        <v>104</v>
      </c>
      <c r="F113" s="5" t="s">
        <v>5</v>
      </c>
      <c r="G113" s="3">
        <v>1028</v>
      </c>
      <c r="H113" s="5">
        <v>7.79</v>
      </c>
      <c r="I113" s="9">
        <v>684</v>
      </c>
      <c r="J113" s="7">
        <v>7.8E-2</v>
      </c>
      <c r="K113" s="7">
        <v>8.33</v>
      </c>
      <c r="L113" s="5">
        <v>110</v>
      </c>
      <c r="M113" s="7">
        <v>13.03</v>
      </c>
      <c r="N113" s="3">
        <v>50</v>
      </c>
      <c r="O113" s="3">
        <v>367</v>
      </c>
      <c r="P113" s="3">
        <v>9</v>
      </c>
      <c r="Q113" s="3">
        <v>40</v>
      </c>
      <c r="R113" s="3">
        <v>140</v>
      </c>
      <c r="S113" s="9">
        <v>7450</v>
      </c>
      <c r="T113" s="3">
        <f>O113-N113</f>
        <v>317</v>
      </c>
      <c r="U113" s="9">
        <f>(T113/O113)*100</f>
        <v>86.376021798365116</v>
      </c>
      <c r="V113" s="9">
        <f>S113/O113</f>
        <v>20.299727520435969</v>
      </c>
      <c r="W113" s="13" t="s">
        <v>107</v>
      </c>
    </row>
    <row r="114" spans="1:23">
      <c r="A114" s="2">
        <v>45022</v>
      </c>
      <c r="B114" s="17">
        <f t="shared" si="4"/>
        <v>461</v>
      </c>
      <c r="C114" s="3" t="s">
        <v>80</v>
      </c>
      <c r="D114" s="3" t="s">
        <v>35</v>
      </c>
      <c r="E114" s="13" t="s">
        <v>103</v>
      </c>
      <c r="F114" s="5" t="s">
        <v>5</v>
      </c>
      <c r="G114" s="5" t="s">
        <v>5</v>
      </c>
      <c r="H114" s="5" t="s">
        <v>5</v>
      </c>
      <c r="I114" s="5" t="s">
        <v>5</v>
      </c>
      <c r="J114" s="5" t="s">
        <v>5</v>
      </c>
      <c r="K114" s="5" t="s">
        <v>5</v>
      </c>
      <c r="L114" s="5" t="s">
        <v>5</v>
      </c>
      <c r="M114" s="5" t="s">
        <v>5</v>
      </c>
      <c r="N114" s="3">
        <v>49</v>
      </c>
      <c r="O114" s="3">
        <v>388</v>
      </c>
      <c r="P114" s="3">
        <v>9</v>
      </c>
      <c r="Q114" s="3">
        <v>37</v>
      </c>
      <c r="R114" s="3">
        <v>154</v>
      </c>
      <c r="S114" s="9">
        <v>7500</v>
      </c>
      <c r="T114" s="3">
        <f>O114-N114</f>
        <v>339</v>
      </c>
      <c r="U114" s="9">
        <f>(T114/O114)*100</f>
        <v>87.371134020618555</v>
      </c>
      <c r="V114" s="9">
        <f>S114/O114</f>
        <v>19.329896907216494</v>
      </c>
      <c r="W114" s="13" t="s">
        <v>125</v>
      </c>
    </row>
    <row r="115" spans="1:23">
      <c r="A115" s="2">
        <v>45022</v>
      </c>
      <c r="B115" s="17">
        <f t="shared" si="4"/>
        <v>461</v>
      </c>
      <c r="C115" s="3" t="s">
        <v>80</v>
      </c>
      <c r="D115" s="3" t="s">
        <v>8</v>
      </c>
      <c r="E115" s="13" t="s">
        <v>104</v>
      </c>
      <c r="F115" s="5">
        <v>2.25</v>
      </c>
      <c r="G115" s="3">
        <v>1006</v>
      </c>
      <c r="H115" s="5">
        <v>7.89</v>
      </c>
      <c r="I115" s="9">
        <v>684</v>
      </c>
      <c r="J115" s="7">
        <v>0.10100000000000001</v>
      </c>
      <c r="K115" s="7">
        <v>8.48</v>
      </c>
      <c r="L115" s="5">
        <v>113.4</v>
      </c>
      <c r="M115" s="7">
        <v>13.42</v>
      </c>
      <c r="N115" s="3">
        <v>49</v>
      </c>
      <c r="O115" s="3">
        <v>209</v>
      </c>
      <c r="P115" s="3">
        <v>9</v>
      </c>
      <c r="Q115" s="3">
        <v>33</v>
      </c>
      <c r="R115" s="3">
        <v>56</v>
      </c>
      <c r="S115" s="9">
        <v>4190</v>
      </c>
      <c r="T115" s="3">
        <f>O115-N115</f>
        <v>160</v>
      </c>
      <c r="U115" s="9">
        <f>(T115/O115)*100</f>
        <v>76.555023923444978</v>
      </c>
      <c r="V115" s="9">
        <f>S115/O115</f>
        <v>20.047846889952154</v>
      </c>
      <c r="W115" s="13" t="s">
        <v>107</v>
      </c>
    </row>
    <row r="116" spans="1:23">
      <c r="A116" s="2">
        <v>45022</v>
      </c>
      <c r="B116" s="17">
        <f t="shared" si="4"/>
        <v>461</v>
      </c>
      <c r="C116" s="3" t="s">
        <v>80</v>
      </c>
      <c r="D116" s="3" t="s">
        <v>20</v>
      </c>
      <c r="E116" s="13" t="s">
        <v>102</v>
      </c>
      <c r="F116" s="5">
        <v>2.25</v>
      </c>
      <c r="G116" s="5" t="s">
        <v>5</v>
      </c>
      <c r="H116" s="5" t="s">
        <v>5</v>
      </c>
      <c r="I116" s="5" t="s">
        <v>5</v>
      </c>
      <c r="J116" s="5" t="s">
        <v>5</v>
      </c>
      <c r="K116" s="5" t="s">
        <v>5</v>
      </c>
      <c r="L116" s="5" t="s">
        <v>5</v>
      </c>
      <c r="M116" s="5" t="s">
        <v>5</v>
      </c>
      <c r="N116" s="5" t="s">
        <v>5</v>
      </c>
      <c r="O116" s="5" t="s">
        <v>5</v>
      </c>
      <c r="P116" s="5" t="s">
        <v>5</v>
      </c>
      <c r="Q116" s="5" t="s">
        <v>5</v>
      </c>
      <c r="R116" s="5" t="s">
        <v>5</v>
      </c>
      <c r="S116" s="9" t="s">
        <v>5</v>
      </c>
      <c r="T116" s="5" t="s">
        <v>5</v>
      </c>
      <c r="U116" s="5" t="s">
        <v>5</v>
      </c>
      <c r="V116" s="5" t="s">
        <v>5</v>
      </c>
      <c r="W116" s="18" t="s">
        <v>5</v>
      </c>
    </row>
    <row r="117" spans="1:23">
      <c r="A117" s="2">
        <v>45022</v>
      </c>
      <c r="B117" s="17">
        <f t="shared" si="4"/>
        <v>461</v>
      </c>
      <c r="C117" s="3" t="s">
        <v>80</v>
      </c>
      <c r="D117" s="3" t="s">
        <v>105</v>
      </c>
      <c r="E117" s="13" t="s">
        <v>104</v>
      </c>
      <c r="F117" s="5" t="s">
        <v>5</v>
      </c>
      <c r="G117" s="3">
        <v>937</v>
      </c>
      <c r="H117" s="5">
        <v>7.56</v>
      </c>
      <c r="I117" s="9">
        <v>684</v>
      </c>
      <c r="J117" s="7">
        <v>3.1E-2</v>
      </c>
      <c r="K117" s="7">
        <v>8.14</v>
      </c>
      <c r="L117" s="5">
        <v>110.5</v>
      </c>
      <c r="M117" s="7">
        <v>13.18</v>
      </c>
      <c r="N117" s="3">
        <v>50</v>
      </c>
      <c r="O117" s="3">
        <v>192</v>
      </c>
      <c r="P117" s="3">
        <v>9</v>
      </c>
      <c r="Q117" s="3">
        <v>38</v>
      </c>
      <c r="R117" s="3">
        <v>125</v>
      </c>
      <c r="S117" s="9">
        <v>3960</v>
      </c>
      <c r="T117" s="3">
        <f>O117-N117</f>
        <v>142</v>
      </c>
      <c r="U117" s="9">
        <f>(T117/O117)*100</f>
        <v>73.958333333333343</v>
      </c>
      <c r="V117" s="9">
        <f>S117/O117</f>
        <v>20.625</v>
      </c>
      <c r="W117" s="13" t="s">
        <v>107</v>
      </c>
    </row>
    <row r="118" spans="1:23">
      <c r="A118" s="2">
        <v>45055</v>
      </c>
      <c r="B118" s="17">
        <f t="shared" si="4"/>
        <v>494</v>
      </c>
      <c r="C118" s="3" t="s">
        <v>80</v>
      </c>
      <c r="D118" s="3" t="s">
        <v>9</v>
      </c>
      <c r="E118" s="13" t="s">
        <v>104</v>
      </c>
      <c r="F118" s="5" t="s">
        <v>5</v>
      </c>
      <c r="G118" s="3">
        <v>1006</v>
      </c>
      <c r="H118" s="5">
        <v>8.36</v>
      </c>
      <c r="I118" s="9">
        <v>493</v>
      </c>
      <c r="J118" s="7">
        <v>0.155</v>
      </c>
      <c r="K118" s="7">
        <v>7.7</v>
      </c>
      <c r="L118" s="5">
        <v>84.3</v>
      </c>
      <c r="M118" s="7">
        <v>9.8800000000000008</v>
      </c>
      <c r="N118" s="3">
        <v>81</v>
      </c>
      <c r="O118" s="3">
        <v>168</v>
      </c>
      <c r="P118" s="3">
        <v>45</v>
      </c>
      <c r="Q118" s="3">
        <v>23</v>
      </c>
      <c r="R118" s="3">
        <v>61</v>
      </c>
      <c r="S118" s="9">
        <v>2500</v>
      </c>
      <c r="T118" s="3">
        <f>O118-N118</f>
        <v>87</v>
      </c>
      <c r="U118" s="9">
        <f>(T118/O118)*100</f>
        <v>51.785714285714292</v>
      </c>
      <c r="V118" s="9">
        <f>S118/O118</f>
        <v>14.880952380952381</v>
      </c>
      <c r="W118" s="13" t="s">
        <v>128</v>
      </c>
    </row>
    <row r="119" spans="1:23">
      <c r="A119" s="2">
        <v>45055</v>
      </c>
      <c r="B119" s="17">
        <f t="shared" si="4"/>
        <v>494</v>
      </c>
      <c r="C119" s="3" t="s">
        <v>80</v>
      </c>
      <c r="D119" s="3" t="s">
        <v>33</v>
      </c>
      <c r="E119" s="13" t="s">
        <v>102</v>
      </c>
      <c r="F119" s="5">
        <v>4</v>
      </c>
      <c r="G119" s="5" t="s">
        <v>5</v>
      </c>
      <c r="H119" s="5" t="s">
        <v>5</v>
      </c>
      <c r="I119" s="5" t="s">
        <v>5</v>
      </c>
      <c r="J119" s="5" t="s">
        <v>5</v>
      </c>
      <c r="K119" s="5" t="s">
        <v>5</v>
      </c>
      <c r="L119" s="5" t="s">
        <v>5</v>
      </c>
      <c r="M119" s="5" t="s">
        <v>5</v>
      </c>
      <c r="N119" s="5" t="s">
        <v>5</v>
      </c>
      <c r="O119" s="5" t="s">
        <v>5</v>
      </c>
      <c r="P119" s="5" t="s">
        <v>5</v>
      </c>
      <c r="Q119" s="5" t="s">
        <v>5</v>
      </c>
      <c r="R119" s="5" t="s">
        <v>5</v>
      </c>
      <c r="S119" s="9" t="s">
        <v>5</v>
      </c>
      <c r="T119" s="5" t="s">
        <v>5</v>
      </c>
      <c r="U119" s="5" t="s">
        <v>5</v>
      </c>
      <c r="V119" s="5" t="s">
        <v>5</v>
      </c>
      <c r="W119" s="13" t="s">
        <v>126</v>
      </c>
    </row>
    <row r="120" spans="1:23">
      <c r="A120" s="2">
        <v>45055</v>
      </c>
      <c r="B120" s="17">
        <f t="shared" si="4"/>
        <v>494</v>
      </c>
      <c r="C120" s="3" t="s">
        <v>80</v>
      </c>
      <c r="D120" s="3" t="s">
        <v>4</v>
      </c>
      <c r="E120" s="13" t="s">
        <v>104</v>
      </c>
      <c r="F120" s="5" t="s">
        <v>5</v>
      </c>
      <c r="G120" s="3">
        <v>920</v>
      </c>
      <c r="H120" s="5">
        <v>13.14</v>
      </c>
      <c r="I120" s="9">
        <v>179</v>
      </c>
      <c r="J120" s="7">
        <v>8.2000000000000003E-2</v>
      </c>
      <c r="K120" s="7">
        <v>7.92</v>
      </c>
      <c r="L120" s="5">
        <v>85.8</v>
      </c>
      <c r="M120" s="7">
        <v>9</v>
      </c>
      <c r="N120" s="3">
        <v>45</v>
      </c>
      <c r="O120" s="3">
        <v>54</v>
      </c>
      <c r="P120" s="3">
        <v>32</v>
      </c>
      <c r="Q120" s="3">
        <v>0</v>
      </c>
      <c r="R120" s="3">
        <v>18</v>
      </c>
      <c r="S120" s="9">
        <v>135</v>
      </c>
      <c r="T120" s="3">
        <f>O120-N120</f>
        <v>9</v>
      </c>
      <c r="U120" s="9">
        <f>(T120/O120)*100</f>
        <v>16.666666666666664</v>
      </c>
      <c r="V120" s="9">
        <f>S120/O120</f>
        <v>2.5</v>
      </c>
      <c r="W120" s="13" t="s">
        <v>127</v>
      </c>
    </row>
    <row r="121" spans="1:23">
      <c r="A121" s="2">
        <v>45055</v>
      </c>
      <c r="B121" s="17">
        <f t="shared" si="4"/>
        <v>494</v>
      </c>
      <c r="C121" s="3" t="s">
        <v>80</v>
      </c>
      <c r="D121" s="3" t="s">
        <v>21</v>
      </c>
      <c r="E121" s="13" t="s">
        <v>102</v>
      </c>
      <c r="F121" s="5">
        <v>3.8</v>
      </c>
      <c r="G121" s="5" t="s">
        <v>5</v>
      </c>
      <c r="H121" s="5" t="s">
        <v>5</v>
      </c>
      <c r="I121" s="5" t="s">
        <v>5</v>
      </c>
      <c r="J121" s="5" t="s">
        <v>5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  <c r="Q121" s="5" t="s">
        <v>5</v>
      </c>
      <c r="R121" s="5" t="s">
        <v>5</v>
      </c>
      <c r="S121" s="9" t="s">
        <v>5</v>
      </c>
      <c r="T121" s="5" t="s">
        <v>5</v>
      </c>
      <c r="U121" s="5" t="s">
        <v>5</v>
      </c>
      <c r="V121" s="5" t="s">
        <v>5</v>
      </c>
      <c r="W121" s="13" t="s">
        <v>5</v>
      </c>
    </row>
    <row r="122" spans="1:23">
      <c r="A122" s="2">
        <v>45055</v>
      </c>
      <c r="B122" s="17">
        <f t="shared" si="4"/>
        <v>494</v>
      </c>
      <c r="C122" s="3" t="s">
        <v>80</v>
      </c>
      <c r="D122" s="3" t="s">
        <v>6</v>
      </c>
      <c r="E122" s="13" t="s">
        <v>104</v>
      </c>
      <c r="F122" s="5" t="s">
        <v>5</v>
      </c>
      <c r="G122" s="3">
        <v>1026</v>
      </c>
      <c r="H122" s="5">
        <v>10.55</v>
      </c>
      <c r="I122" s="9">
        <v>225</v>
      </c>
      <c r="J122" s="7">
        <v>0.106</v>
      </c>
      <c r="K122" s="7">
        <v>7.72</v>
      </c>
      <c r="L122" s="5">
        <v>83.6</v>
      </c>
      <c r="M122" s="7">
        <v>9.3000000000000007</v>
      </c>
      <c r="N122" s="3">
        <v>45</v>
      </c>
      <c r="O122" s="3">
        <v>88</v>
      </c>
      <c r="P122" s="3">
        <v>19</v>
      </c>
      <c r="Q122" s="3">
        <v>16</v>
      </c>
      <c r="R122" s="3">
        <v>0</v>
      </c>
      <c r="S122" s="9">
        <v>1050</v>
      </c>
      <c r="T122" s="3">
        <f>O122-N122</f>
        <v>43</v>
      </c>
      <c r="U122" s="9">
        <f>(T122/O122)*100</f>
        <v>48.863636363636367</v>
      </c>
      <c r="V122" s="9">
        <f>S122/O122</f>
        <v>11.931818181818182</v>
      </c>
      <c r="W122" s="13" t="s">
        <v>129</v>
      </c>
    </row>
    <row r="123" spans="1:23">
      <c r="A123" s="2">
        <v>45055</v>
      </c>
      <c r="B123" s="17">
        <f t="shared" si="4"/>
        <v>494</v>
      </c>
      <c r="C123" s="3" t="s">
        <v>80</v>
      </c>
      <c r="D123" s="3" t="s">
        <v>16</v>
      </c>
      <c r="E123" s="13" t="s">
        <v>103</v>
      </c>
      <c r="F123" s="5" t="s">
        <v>5</v>
      </c>
      <c r="G123" s="5" t="s">
        <v>5</v>
      </c>
      <c r="H123" s="5" t="s">
        <v>5</v>
      </c>
      <c r="I123" s="5" t="s">
        <v>5</v>
      </c>
      <c r="J123" s="5" t="s">
        <v>5</v>
      </c>
      <c r="K123" s="5" t="s">
        <v>5</v>
      </c>
      <c r="L123" s="5" t="s">
        <v>5</v>
      </c>
      <c r="M123" s="5" t="s">
        <v>5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9">
        <v>0</v>
      </c>
      <c r="T123" s="3" t="s">
        <v>5</v>
      </c>
      <c r="U123" s="9" t="s">
        <v>5</v>
      </c>
      <c r="V123" s="9" t="s">
        <v>5</v>
      </c>
      <c r="W123" s="13" t="s">
        <v>132</v>
      </c>
    </row>
    <row r="124" spans="1:23">
      <c r="A124" s="2">
        <v>45055</v>
      </c>
      <c r="B124" s="17">
        <f t="shared" si="4"/>
        <v>494</v>
      </c>
      <c r="C124" s="3" t="s">
        <v>80</v>
      </c>
      <c r="D124" s="3" t="s">
        <v>49</v>
      </c>
      <c r="E124" s="13" t="s">
        <v>104</v>
      </c>
      <c r="F124" s="5" t="s">
        <v>5</v>
      </c>
      <c r="G124" s="3">
        <v>946</v>
      </c>
      <c r="H124" s="5">
        <v>8.09</v>
      </c>
      <c r="I124" s="9">
        <v>428</v>
      </c>
      <c r="J124" s="7">
        <v>5.0999999999999997E-2</v>
      </c>
      <c r="K124" s="7">
        <v>7.43</v>
      </c>
      <c r="L124" s="5">
        <v>115.3</v>
      </c>
      <c r="M124" s="7">
        <v>13.62</v>
      </c>
      <c r="N124" s="3">
        <v>135</v>
      </c>
      <c r="O124" s="3">
        <v>228</v>
      </c>
      <c r="P124" s="3">
        <v>99</v>
      </c>
      <c r="Q124" s="3">
        <v>75</v>
      </c>
      <c r="R124" s="3">
        <v>89</v>
      </c>
      <c r="S124" s="9">
        <v>2340</v>
      </c>
      <c r="T124" s="3">
        <f>O124-N124</f>
        <v>93</v>
      </c>
      <c r="U124" s="9">
        <f>(T124/O124)*100</f>
        <v>40.789473684210527</v>
      </c>
      <c r="V124" s="9">
        <f>S124/O124</f>
        <v>10.263157894736842</v>
      </c>
      <c r="W124" s="13" t="s">
        <v>131</v>
      </c>
    </row>
    <row r="125" spans="1:23">
      <c r="A125" s="2">
        <v>45055</v>
      </c>
      <c r="B125" s="17">
        <f t="shared" si="4"/>
        <v>494</v>
      </c>
      <c r="C125" s="3" t="s">
        <v>80</v>
      </c>
      <c r="D125" s="3" t="s">
        <v>7</v>
      </c>
      <c r="E125" s="13" t="s">
        <v>104</v>
      </c>
      <c r="F125" s="5" t="s">
        <v>5</v>
      </c>
      <c r="G125" s="3">
        <v>928</v>
      </c>
      <c r="H125" s="5">
        <v>8.6</v>
      </c>
      <c r="I125" s="9">
        <v>570</v>
      </c>
      <c r="J125" s="7">
        <v>3.3000000000000002E-2</v>
      </c>
      <c r="K125" s="7">
        <v>8.16</v>
      </c>
      <c r="L125" s="5">
        <v>94.1</v>
      </c>
      <c r="M125" s="7">
        <v>10.96</v>
      </c>
      <c r="N125" s="3">
        <v>45</v>
      </c>
      <c r="O125" s="3">
        <v>149</v>
      </c>
      <c r="P125" s="3">
        <v>5</v>
      </c>
      <c r="Q125" s="3">
        <v>25</v>
      </c>
      <c r="R125" s="3">
        <v>0</v>
      </c>
      <c r="S125" s="9">
        <v>2680</v>
      </c>
      <c r="T125" s="3">
        <f>O125-N125</f>
        <v>104</v>
      </c>
      <c r="U125" s="9">
        <f>(T125/O125)*100</f>
        <v>69.798657718120808</v>
      </c>
      <c r="V125" s="9">
        <f>S125/O125</f>
        <v>17.986577181208055</v>
      </c>
      <c r="W125" s="13" t="s">
        <v>5</v>
      </c>
    </row>
    <row r="126" spans="1:23">
      <c r="A126" s="2">
        <v>45055</v>
      </c>
      <c r="B126" s="17">
        <f t="shared" si="4"/>
        <v>494</v>
      </c>
      <c r="C126" s="3" t="s">
        <v>80</v>
      </c>
      <c r="D126" s="3" t="s">
        <v>35</v>
      </c>
      <c r="E126" s="13" t="s">
        <v>103</v>
      </c>
      <c r="F126" s="5" t="s">
        <v>5</v>
      </c>
      <c r="G126" s="5" t="s">
        <v>5</v>
      </c>
      <c r="H126" s="5" t="s">
        <v>5</v>
      </c>
      <c r="I126" s="5" t="s">
        <v>5</v>
      </c>
      <c r="J126" s="5" t="s">
        <v>5</v>
      </c>
      <c r="K126" s="5" t="s">
        <v>5</v>
      </c>
      <c r="L126" s="5" t="s">
        <v>5</v>
      </c>
      <c r="M126" s="5" t="s">
        <v>5</v>
      </c>
      <c r="N126" s="3">
        <v>45</v>
      </c>
      <c r="O126" s="3">
        <v>152</v>
      </c>
      <c r="P126" s="3">
        <v>5</v>
      </c>
      <c r="Q126" s="3">
        <v>22</v>
      </c>
      <c r="R126" s="3">
        <v>0</v>
      </c>
      <c r="S126" s="9">
        <v>2760</v>
      </c>
      <c r="T126" s="3">
        <f>O126-N126</f>
        <v>107</v>
      </c>
      <c r="U126" s="9">
        <f>(T126/O126)*100</f>
        <v>70.39473684210526</v>
      </c>
      <c r="V126" s="9">
        <f>S126/O126</f>
        <v>18.157894736842106</v>
      </c>
      <c r="W126" s="13" t="s">
        <v>130</v>
      </c>
    </row>
    <row r="127" spans="1:23">
      <c r="A127" s="2">
        <v>45055</v>
      </c>
      <c r="B127" s="17">
        <f t="shared" si="4"/>
        <v>494</v>
      </c>
      <c r="C127" s="3" t="s">
        <v>80</v>
      </c>
      <c r="D127" s="3" t="s">
        <v>8</v>
      </c>
      <c r="E127" s="13" t="s">
        <v>104</v>
      </c>
      <c r="F127" s="5">
        <v>1.55</v>
      </c>
      <c r="G127" s="3">
        <v>957</v>
      </c>
      <c r="H127" s="5">
        <v>8.01</v>
      </c>
      <c r="I127" s="9">
        <v>664</v>
      </c>
      <c r="J127" s="7">
        <v>9.0999999999999998E-2</v>
      </c>
      <c r="K127" s="7">
        <v>8.1999999999999993</v>
      </c>
      <c r="L127" s="5">
        <v>97.5</v>
      </c>
      <c r="M127" s="7">
        <v>11.52</v>
      </c>
      <c r="N127" s="3">
        <v>52</v>
      </c>
      <c r="O127" s="3">
        <v>152</v>
      </c>
      <c r="P127" s="3">
        <v>6</v>
      </c>
      <c r="Q127" s="3">
        <v>27</v>
      </c>
      <c r="R127" s="3">
        <v>0</v>
      </c>
      <c r="S127" s="9">
        <v>3220</v>
      </c>
      <c r="T127" s="3">
        <f>O127-N127</f>
        <v>100</v>
      </c>
      <c r="U127" s="9">
        <f>(T127/O127)*100</f>
        <v>65.789473684210535</v>
      </c>
      <c r="V127" s="9">
        <f>S127/O127</f>
        <v>21.184210526315791</v>
      </c>
      <c r="W127" s="13" t="s">
        <v>67</v>
      </c>
    </row>
    <row r="128" spans="1:23">
      <c r="A128" s="2">
        <v>45055</v>
      </c>
      <c r="B128" s="17">
        <f t="shared" si="4"/>
        <v>494</v>
      </c>
      <c r="C128" s="3" t="s">
        <v>80</v>
      </c>
      <c r="D128" s="3" t="s">
        <v>20</v>
      </c>
      <c r="E128" s="13" t="s">
        <v>102</v>
      </c>
      <c r="F128" s="5">
        <v>1.55</v>
      </c>
      <c r="G128" s="5" t="s">
        <v>5</v>
      </c>
      <c r="H128" s="5" t="s">
        <v>5</v>
      </c>
      <c r="I128" s="5" t="s">
        <v>5</v>
      </c>
      <c r="J128" s="5" t="s">
        <v>5</v>
      </c>
      <c r="K128" s="5" t="s">
        <v>5</v>
      </c>
      <c r="L128" s="5" t="s">
        <v>5</v>
      </c>
      <c r="M128" s="5" t="s">
        <v>5</v>
      </c>
      <c r="N128" s="5" t="s">
        <v>5</v>
      </c>
      <c r="O128" s="5" t="s">
        <v>5</v>
      </c>
      <c r="P128" s="5" t="s">
        <v>5</v>
      </c>
      <c r="Q128" s="5" t="s">
        <v>5</v>
      </c>
      <c r="R128" s="5" t="s">
        <v>5</v>
      </c>
      <c r="S128" s="9" t="s">
        <v>5</v>
      </c>
      <c r="T128" s="5" t="s">
        <v>5</v>
      </c>
      <c r="U128" s="5" t="s">
        <v>5</v>
      </c>
      <c r="V128" s="5" t="s">
        <v>5</v>
      </c>
      <c r="W128" s="13" t="s">
        <v>5</v>
      </c>
    </row>
    <row r="129" spans="1:23">
      <c r="A129" s="2">
        <v>45090</v>
      </c>
      <c r="B129" s="17">
        <f t="shared" si="4"/>
        <v>529</v>
      </c>
      <c r="C129" s="3" t="s">
        <v>80</v>
      </c>
      <c r="D129" s="3" t="s">
        <v>33</v>
      </c>
      <c r="E129" s="13" t="s">
        <v>102</v>
      </c>
      <c r="F129" s="5">
        <v>4.25</v>
      </c>
      <c r="G129" s="5" t="s">
        <v>5</v>
      </c>
      <c r="H129" s="5" t="s">
        <v>5</v>
      </c>
      <c r="I129" s="5" t="s">
        <v>5</v>
      </c>
      <c r="J129" s="5" t="s">
        <v>5</v>
      </c>
      <c r="K129" s="5" t="s">
        <v>5</v>
      </c>
      <c r="L129" s="5" t="s">
        <v>5</v>
      </c>
      <c r="M129" s="5" t="s">
        <v>5</v>
      </c>
      <c r="N129" s="5" t="s">
        <v>5</v>
      </c>
      <c r="O129" s="5" t="s">
        <v>5</v>
      </c>
      <c r="P129" s="5" t="s">
        <v>5</v>
      </c>
      <c r="Q129" s="5" t="s">
        <v>5</v>
      </c>
      <c r="R129" s="5" t="s">
        <v>5</v>
      </c>
      <c r="S129" s="9" t="s">
        <v>5</v>
      </c>
      <c r="T129" s="5" t="s">
        <v>5</v>
      </c>
      <c r="U129" s="5" t="s">
        <v>5</v>
      </c>
      <c r="V129" s="5" t="s">
        <v>5</v>
      </c>
      <c r="W129" s="13" t="s">
        <v>5</v>
      </c>
    </row>
    <row r="130" spans="1:23">
      <c r="A130" s="2">
        <v>45090</v>
      </c>
      <c r="B130" s="17">
        <f t="shared" si="4"/>
        <v>529</v>
      </c>
      <c r="C130" s="3" t="s">
        <v>80</v>
      </c>
      <c r="D130" s="3" t="s">
        <v>4</v>
      </c>
      <c r="E130" s="13" t="s">
        <v>104</v>
      </c>
      <c r="F130" s="5" t="s">
        <v>5</v>
      </c>
      <c r="G130" s="3">
        <v>846</v>
      </c>
      <c r="H130" s="5">
        <v>20.309999999999999</v>
      </c>
      <c r="I130" s="9">
        <v>181</v>
      </c>
      <c r="J130" s="7">
        <v>0.28000000000000003</v>
      </c>
      <c r="K130" s="7">
        <v>7.96</v>
      </c>
      <c r="L130" s="5">
        <v>74.7</v>
      </c>
      <c r="M130" s="7">
        <v>6.72</v>
      </c>
      <c r="N130" s="3">
        <v>42</v>
      </c>
      <c r="O130" s="3">
        <v>52</v>
      </c>
      <c r="P130" s="3">
        <v>31</v>
      </c>
      <c r="Q130" s="3">
        <v>0</v>
      </c>
      <c r="R130" s="3">
        <v>17</v>
      </c>
      <c r="S130" s="9">
        <v>92</v>
      </c>
      <c r="T130" s="3">
        <f>O130-N130</f>
        <v>10</v>
      </c>
      <c r="U130" s="9">
        <f>(T130/O130)*100</f>
        <v>19.230769230769234</v>
      </c>
      <c r="V130" s="9">
        <f>S130/O130</f>
        <v>1.7692307692307692</v>
      </c>
      <c r="W130" s="13" t="s">
        <v>140</v>
      </c>
    </row>
    <row r="131" spans="1:23">
      <c r="A131" s="2">
        <v>45090</v>
      </c>
      <c r="B131" s="17">
        <f t="shared" si="4"/>
        <v>529</v>
      </c>
      <c r="C131" s="3" t="s">
        <v>80</v>
      </c>
      <c r="D131" s="3" t="s">
        <v>21</v>
      </c>
      <c r="E131" s="13" t="s">
        <v>102</v>
      </c>
      <c r="F131" s="5">
        <v>3.65</v>
      </c>
      <c r="G131" s="5" t="s">
        <v>5</v>
      </c>
      <c r="H131" s="5" t="s">
        <v>5</v>
      </c>
      <c r="I131" s="5" t="s">
        <v>5</v>
      </c>
      <c r="J131" s="5" t="s">
        <v>5</v>
      </c>
      <c r="K131" s="5" t="s">
        <v>5</v>
      </c>
      <c r="L131" s="5" t="s">
        <v>5</v>
      </c>
      <c r="M131" s="5" t="s">
        <v>5</v>
      </c>
      <c r="N131" s="5" t="s">
        <v>5</v>
      </c>
      <c r="O131" s="5" t="s">
        <v>5</v>
      </c>
      <c r="P131" s="5" t="s">
        <v>5</v>
      </c>
      <c r="Q131" s="5" t="s">
        <v>5</v>
      </c>
      <c r="R131" s="5" t="s">
        <v>5</v>
      </c>
      <c r="S131" s="9" t="s">
        <v>5</v>
      </c>
      <c r="T131" s="5" t="s">
        <v>5</v>
      </c>
      <c r="U131" s="5" t="s">
        <v>5</v>
      </c>
      <c r="V131" s="5" t="s">
        <v>5</v>
      </c>
      <c r="W131" s="13" t="s">
        <v>142</v>
      </c>
    </row>
    <row r="132" spans="1:23">
      <c r="A132" s="2">
        <v>45090</v>
      </c>
      <c r="B132" s="17">
        <f t="shared" si="4"/>
        <v>529</v>
      </c>
      <c r="C132" s="3" t="s">
        <v>80</v>
      </c>
      <c r="D132" s="3" t="s">
        <v>6</v>
      </c>
      <c r="E132" s="13" t="s">
        <v>104</v>
      </c>
      <c r="F132" s="5" t="s">
        <v>5</v>
      </c>
      <c r="G132" s="3">
        <v>901</v>
      </c>
      <c r="H132" s="5">
        <v>21.27</v>
      </c>
      <c r="I132" s="9">
        <v>215</v>
      </c>
      <c r="J132" s="7">
        <v>3.1E-2</v>
      </c>
      <c r="K132" s="7">
        <v>7.33</v>
      </c>
      <c r="L132" s="5">
        <v>66.5</v>
      </c>
      <c r="M132" s="7">
        <v>5.86</v>
      </c>
      <c r="N132" s="3">
        <v>57</v>
      </c>
      <c r="O132" s="3">
        <v>118</v>
      </c>
      <c r="P132" s="3">
        <v>33</v>
      </c>
      <c r="Q132" s="3">
        <v>15</v>
      </c>
      <c r="R132" s="3">
        <v>0</v>
      </c>
      <c r="S132" s="9">
        <v>876</v>
      </c>
      <c r="T132" s="3">
        <f>O132-N132</f>
        <v>61</v>
      </c>
      <c r="U132" s="9">
        <f>(T132/O132)*100</f>
        <v>51.694915254237287</v>
      </c>
      <c r="V132" s="9">
        <f>S132/O132</f>
        <v>7.4237288135593218</v>
      </c>
      <c r="W132" s="13" t="s">
        <v>141</v>
      </c>
    </row>
    <row r="133" spans="1:23">
      <c r="A133" s="2">
        <v>45090</v>
      </c>
      <c r="B133" s="17">
        <f t="shared" si="4"/>
        <v>529</v>
      </c>
      <c r="C133" s="3" t="s">
        <v>80</v>
      </c>
      <c r="D133" s="3" t="s">
        <v>16</v>
      </c>
      <c r="E133" s="13" t="s">
        <v>103</v>
      </c>
      <c r="F133" s="5" t="s">
        <v>5</v>
      </c>
      <c r="G133" s="5" t="s">
        <v>5</v>
      </c>
      <c r="H133" s="5" t="s">
        <v>5</v>
      </c>
      <c r="I133" s="5" t="s">
        <v>5</v>
      </c>
      <c r="J133" s="5" t="s">
        <v>5</v>
      </c>
      <c r="K133" s="5" t="s">
        <v>5</v>
      </c>
      <c r="L133" s="5" t="s">
        <v>5</v>
      </c>
      <c r="M133" s="5" t="s">
        <v>5</v>
      </c>
      <c r="N133" s="3">
        <v>0</v>
      </c>
      <c r="O133" s="3">
        <v>0</v>
      </c>
      <c r="P133" s="3">
        <v>0</v>
      </c>
      <c r="Q133" s="3">
        <v>0</v>
      </c>
      <c r="R133" s="10">
        <v>15</v>
      </c>
      <c r="S133" s="9">
        <v>0</v>
      </c>
      <c r="T133" s="5" t="s">
        <v>5</v>
      </c>
      <c r="U133" s="5" t="s">
        <v>5</v>
      </c>
      <c r="V133" s="5" t="s">
        <v>5</v>
      </c>
      <c r="W133" s="13" t="s">
        <v>147</v>
      </c>
    </row>
    <row r="134" spans="1:23">
      <c r="A134" s="2">
        <v>45090</v>
      </c>
      <c r="B134" s="17">
        <f t="shared" si="4"/>
        <v>529</v>
      </c>
      <c r="C134" s="3" t="s">
        <v>80</v>
      </c>
      <c r="D134" s="3" t="s">
        <v>7</v>
      </c>
      <c r="E134" s="13" t="s">
        <v>104</v>
      </c>
      <c r="F134" s="5" t="s">
        <v>5</v>
      </c>
      <c r="G134" s="3">
        <v>942</v>
      </c>
      <c r="H134" s="5">
        <v>19.66</v>
      </c>
      <c r="I134" s="9">
        <v>257</v>
      </c>
      <c r="J134" s="7">
        <v>1E-3</v>
      </c>
      <c r="K134" s="7">
        <v>7.85</v>
      </c>
      <c r="L134" s="5">
        <v>74.2</v>
      </c>
      <c r="M134" s="7">
        <v>6.73</v>
      </c>
      <c r="N134" s="3">
        <v>74</v>
      </c>
      <c r="O134" s="3">
        <v>191</v>
      </c>
      <c r="P134" s="3">
        <v>36</v>
      </c>
      <c r="Q134" s="3">
        <v>106</v>
      </c>
      <c r="R134" s="3">
        <v>38</v>
      </c>
      <c r="S134" s="9">
        <v>2170</v>
      </c>
      <c r="T134" s="3">
        <f>O134-N134</f>
        <v>117</v>
      </c>
      <c r="U134" s="9">
        <f>(T134/O134)*100</f>
        <v>61.256544502617807</v>
      </c>
      <c r="V134" s="9">
        <f>S134/O134</f>
        <v>11.361256544502618</v>
      </c>
      <c r="W134" s="13" t="s">
        <v>143</v>
      </c>
    </row>
    <row r="135" spans="1:23">
      <c r="A135" s="2">
        <v>45090</v>
      </c>
      <c r="B135" s="17">
        <f t="shared" si="4"/>
        <v>529</v>
      </c>
      <c r="C135" s="3" t="s">
        <v>80</v>
      </c>
      <c r="D135" s="3" t="s">
        <v>35</v>
      </c>
      <c r="E135" s="13" t="s">
        <v>103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3">
        <v>75</v>
      </c>
      <c r="O135" s="3">
        <v>200</v>
      </c>
      <c r="P135" s="3">
        <v>36</v>
      </c>
      <c r="Q135" s="3">
        <v>108</v>
      </c>
      <c r="R135" s="10">
        <v>24</v>
      </c>
      <c r="S135" s="9">
        <v>2110</v>
      </c>
      <c r="T135" s="3">
        <f>O135-N135</f>
        <v>125</v>
      </c>
      <c r="U135" s="9">
        <f>(T135/O135)*100</f>
        <v>62.5</v>
      </c>
      <c r="V135" s="9">
        <f>S135/O135</f>
        <v>10.55</v>
      </c>
      <c r="W135" s="13" t="s">
        <v>146</v>
      </c>
    </row>
    <row r="136" spans="1:23">
      <c r="A136" s="2">
        <v>45090</v>
      </c>
      <c r="B136" s="17">
        <f t="shared" si="4"/>
        <v>529</v>
      </c>
      <c r="C136" s="3" t="s">
        <v>80</v>
      </c>
      <c r="D136" s="3" t="s">
        <v>8</v>
      </c>
      <c r="E136" s="13" t="s">
        <v>104</v>
      </c>
      <c r="F136" s="5">
        <v>0.75</v>
      </c>
      <c r="G136" s="3">
        <v>924</v>
      </c>
      <c r="H136" s="5">
        <v>19.829999999999998</v>
      </c>
      <c r="I136" s="9">
        <v>327</v>
      </c>
      <c r="J136" s="7">
        <v>1.2E-2</v>
      </c>
      <c r="K136" s="7">
        <v>8.56</v>
      </c>
      <c r="L136" s="5">
        <v>77.3</v>
      </c>
      <c r="M136" s="7">
        <v>7.04</v>
      </c>
      <c r="N136" s="3">
        <v>144</v>
      </c>
      <c r="O136" s="3">
        <v>226</v>
      </c>
      <c r="P136" s="3">
        <v>93</v>
      </c>
      <c r="Q136" s="3">
        <v>25</v>
      </c>
      <c r="R136" s="3">
        <v>21</v>
      </c>
      <c r="S136" s="9">
        <v>2230</v>
      </c>
      <c r="T136" s="3">
        <f>O136-N136</f>
        <v>82</v>
      </c>
      <c r="U136" s="9">
        <f>(T136/O136)*100</f>
        <v>36.283185840707965</v>
      </c>
      <c r="V136" s="9">
        <f>S136/O136</f>
        <v>9.8672566371681416</v>
      </c>
      <c r="W136" s="13" t="s">
        <v>5</v>
      </c>
    </row>
    <row r="137" spans="1:23">
      <c r="A137" s="2">
        <v>45090</v>
      </c>
      <c r="B137" s="17">
        <f t="shared" si="4"/>
        <v>529</v>
      </c>
      <c r="C137" s="3" t="s">
        <v>80</v>
      </c>
      <c r="D137" s="3" t="s">
        <v>20</v>
      </c>
      <c r="E137" s="13" t="s">
        <v>102</v>
      </c>
      <c r="F137" s="5">
        <v>0.8</v>
      </c>
      <c r="G137" s="5" t="s">
        <v>5</v>
      </c>
      <c r="H137" s="5" t="s">
        <v>5</v>
      </c>
      <c r="I137" s="5" t="s">
        <v>5</v>
      </c>
      <c r="J137" s="5" t="s">
        <v>5</v>
      </c>
      <c r="K137" s="5" t="s">
        <v>5</v>
      </c>
      <c r="L137" s="5" t="s">
        <v>5</v>
      </c>
      <c r="M137" s="5" t="s">
        <v>5</v>
      </c>
      <c r="N137" s="5" t="s">
        <v>5</v>
      </c>
      <c r="O137" s="5" t="s">
        <v>5</v>
      </c>
      <c r="P137" s="5" t="s">
        <v>5</v>
      </c>
      <c r="Q137" s="5" t="s">
        <v>5</v>
      </c>
      <c r="R137" s="5" t="s">
        <v>5</v>
      </c>
      <c r="S137" s="9" t="s">
        <v>5</v>
      </c>
      <c r="T137" s="5" t="s">
        <v>5</v>
      </c>
      <c r="U137" s="5" t="s">
        <v>5</v>
      </c>
      <c r="V137" s="5" t="s">
        <v>5</v>
      </c>
      <c r="W137" s="13" t="s">
        <v>5</v>
      </c>
    </row>
    <row r="138" spans="1:23">
      <c r="A138" s="2">
        <v>45134</v>
      </c>
      <c r="B138" s="17">
        <f t="shared" si="4"/>
        <v>573</v>
      </c>
      <c r="C138" s="3" t="s">
        <v>80</v>
      </c>
      <c r="D138" s="3" t="s">
        <v>33</v>
      </c>
      <c r="E138" s="13" t="s">
        <v>102</v>
      </c>
      <c r="F138" s="5">
        <v>3.82</v>
      </c>
      <c r="G138" s="5" t="s">
        <v>5</v>
      </c>
      <c r="H138" s="5" t="s">
        <v>5</v>
      </c>
      <c r="I138" s="5" t="s">
        <v>5</v>
      </c>
      <c r="J138" s="5" t="s">
        <v>5</v>
      </c>
      <c r="K138" s="5" t="s">
        <v>5</v>
      </c>
      <c r="L138" s="5" t="s">
        <v>5</v>
      </c>
      <c r="M138" s="5" t="s">
        <v>5</v>
      </c>
      <c r="N138" s="5" t="s">
        <v>5</v>
      </c>
      <c r="O138" s="5" t="s">
        <v>5</v>
      </c>
      <c r="P138" s="5" t="s">
        <v>5</v>
      </c>
      <c r="Q138" s="5" t="s">
        <v>5</v>
      </c>
      <c r="R138" s="5" t="s">
        <v>5</v>
      </c>
      <c r="S138" s="9" t="s">
        <v>5</v>
      </c>
      <c r="T138" s="5" t="s">
        <v>5</v>
      </c>
      <c r="U138" s="5" t="s">
        <v>5</v>
      </c>
      <c r="V138" s="5" t="s">
        <v>5</v>
      </c>
      <c r="W138" s="18" t="s">
        <v>5</v>
      </c>
    </row>
    <row r="139" spans="1:23">
      <c r="A139" s="2">
        <v>45134</v>
      </c>
      <c r="B139" s="17">
        <f t="shared" si="4"/>
        <v>573</v>
      </c>
      <c r="C139" s="3" t="s">
        <v>80</v>
      </c>
      <c r="D139" s="3" t="s">
        <v>4</v>
      </c>
      <c r="E139" s="13" t="s">
        <v>104</v>
      </c>
      <c r="F139" s="5" t="s">
        <v>5</v>
      </c>
      <c r="G139" s="3">
        <v>947</v>
      </c>
      <c r="H139" s="5">
        <v>21</v>
      </c>
      <c r="I139" s="9">
        <v>178.2</v>
      </c>
      <c r="J139" s="7">
        <v>9.09</v>
      </c>
      <c r="K139" s="7">
        <v>9.4600000000000009</v>
      </c>
      <c r="L139" s="5">
        <v>108.3</v>
      </c>
      <c r="M139" s="7">
        <v>8.32</v>
      </c>
      <c r="N139" s="3">
        <v>43</v>
      </c>
      <c r="O139" s="3">
        <v>70</v>
      </c>
      <c r="P139" s="3">
        <v>16</v>
      </c>
      <c r="Q139" s="3">
        <v>0</v>
      </c>
      <c r="R139" s="3">
        <v>0</v>
      </c>
      <c r="S139" s="9">
        <v>420</v>
      </c>
      <c r="T139" s="3">
        <f>O139-N139</f>
        <v>27</v>
      </c>
      <c r="U139" s="9">
        <f>(T139/O139)*100</f>
        <v>38.571428571428577</v>
      </c>
      <c r="V139" s="9">
        <f>S139/O139</f>
        <v>6</v>
      </c>
      <c r="W139" s="13" t="s">
        <v>5</v>
      </c>
    </row>
    <row r="140" spans="1:23">
      <c r="A140" s="2">
        <v>45134</v>
      </c>
      <c r="B140" s="17">
        <f t="shared" ref="B140:B171" si="5">TEXT((A140-DATEVALUE("1/1/"&amp;TEXT(A140,"yy"))+1),"000")+365</f>
        <v>573</v>
      </c>
      <c r="C140" s="3" t="s">
        <v>80</v>
      </c>
      <c r="D140" s="3" t="s">
        <v>21</v>
      </c>
      <c r="E140" s="13" t="s">
        <v>102</v>
      </c>
      <c r="F140" s="5">
        <v>3.55</v>
      </c>
      <c r="G140" s="5" t="s">
        <v>5</v>
      </c>
      <c r="H140" s="5" t="s">
        <v>5</v>
      </c>
      <c r="I140" s="5" t="s">
        <v>5</v>
      </c>
      <c r="J140" s="5" t="s">
        <v>5</v>
      </c>
      <c r="K140" s="5" t="s">
        <v>5</v>
      </c>
      <c r="L140" s="5" t="s">
        <v>5</v>
      </c>
      <c r="M140" s="5" t="s">
        <v>5</v>
      </c>
      <c r="N140" s="5" t="s">
        <v>5</v>
      </c>
      <c r="O140" s="5" t="s">
        <v>5</v>
      </c>
      <c r="P140" s="5" t="s">
        <v>5</v>
      </c>
      <c r="Q140" s="5" t="s">
        <v>5</v>
      </c>
      <c r="R140" s="5" t="s">
        <v>5</v>
      </c>
      <c r="S140" s="9" t="s">
        <v>5</v>
      </c>
      <c r="T140" s="5" t="s">
        <v>5</v>
      </c>
      <c r="U140" s="5" t="s">
        <v>5</v>
      </c>
      <c r="V140" s="5" t="s">
        <v>5</v>
      </c>
      <c r="W140" s="18" t="s">
        <v>5</v>
      </c>
    </row>
    <row r="141" spans="1:23">
      <c r="A141" s="2">
        <v>45134</v>
      </c>
      <c r="B141" s="17">
        <f t="shared" si="5"/>
        <v>573</v>
      </c>
      <c r="C141" s="3" t="s">
        <v>80</v>
      </c>
      <c r="D141" s="3" t="s">
        <v>6</v>
      </c>
      <c r="E141" s="13" t="s">
        <v>104</v>
      </c>
      <c r="F141" s="5" t="s">
        <v>5</v>
      </c>
      <c r="G141" s="3">
        <v>1003</v>
      </c>
      <c r="H141" s="5">
        <v>22.6</v>
      </c>
      <c r="I141" s="9">
        <v>199.5</v>
      </c>
      <c r="J141" s="7">
        <v>8.9550000000000001</v>
      </c>
      <c r="K141" s="7">
        <v>9.36</v>
      </c>
      <c r="L141" s="5">
        <v>92.7</v>
      </c>
      <c r="M141" s="7">
        <v>6.91</v>
      </c>
      <c r="N141" s="3">
        <v>0</v>
      </c>
      <c r="O141" s="3">
        <v>94</v>
      </c>
      <c r="P141" s="3">
        <v>0</v>
      </c>
      <c r="Q141" s="3">
        <v>0</v>
      </c>
      <c r="R141" s="3">
        <v>0</v>
      </c>
      <c r="S141" s="9">
        <v>958</v>
      </c>
      <c r="T141" s="3">
        <f>O141-N141</f>
        <v>94</v>
      </c>
      <c r="U141" s="9">
        <f>(T141/O141)*100</f>
        <v>100</v>
      </c>
      <c r="V141" s="9">
        <f>S141/O141</f>
        <v>10.191489361702128</v>
      </c>
      <c r="W141" s="13" t="s">
        <v>150</v>
      </c>
    </row>
    <row r="142" spans="1:23">
      <c r="A142" s="2">
        <v>45134</v>
      </c>
      <c r="B142" s="17">
        <f t="shared" si="5"/>
        <v>573</v>
      </c>
      <c r="C142" s="3" t="s">
        <v>80</v>
      </c>
      <c r="D142" s="3" t="s">
        <v>7</v>
      </c>
      <c r="E142" s="13" t="s">
        <v>104</v>
      </c>
      <c r="F142" s="5" t="s">
        <v>5</v>
      </c>
      <c r="G142" s="3">
        <v>1038</v>
      </c>
      <c r="H142" s="5">
        <v>19.899999999999999</v>
      </c>
      <c r="I142" s="9">
        <v>261.39999999999998</v>
      </c>
      <c r="J142" s="7">
        <v>8.952</v>
      </c>
      <c r="K142" s="7">
        <v>9.35</v>
      </c>
      <c r="L142" s="5">
        <v>45.9</v>
      </c>
      <c r="M142" s="7">
        <v>3.61</v>
      </c>
      <c r="N142" s="3">
        <v>142</v>
      </c>
      <c r="O142" s="3">
        <v>188</v>
      </c>
      <c r="P142" s="3">
        <v>79</v>
      </c>
      <c r="Q142" s="3">
        <v>89</v>
      </c>
      <c r="R142" s="3">
        <v>0</v>
      </c>
      <c r="S142" s="9">
        <v>1920</v>
      </c>
      <c r="T142" s="3">
        <f>O142-N142</f>
        <v>46</v>
      </c>
      <c r="U142" s="9">
        <f>(T142/O142)*100</f>
        <v>24.468085106382979</v>
      </c>
      <c r="V142" s="9">
        <f>S142/O142</f>
        <v>10.212765957446809</v>
      </c>
      <c r="W142" s="13" t="s">
        <v>5</v>
      </c>
    </row>
    <row r="143" spans="1:23">
      <c r="A143" s="2">
        <v>45134</v>
      </c>
      <c r="B143" s="17">
        <f t="shared" si="5"/>
        <v>573</v>
      </c>
      <c r="C143" s="3" t="s">
        <v>80</v>
      </c>
      <c r="D143" s="3" t="s">
        <v>72</v>
      </c>
      <c r="E143" s="13" t="s">
        <v>103</v>
      </c>
      <c r="F143" s="5" t="s">
        <v>5</v>
      </c>
      <c r="G143" s="5" t="s">
        <v>5</v>
      </c>
      <c r="H143" s="5" t="s">
        <v>5</v>
      </c>
      <c r="I143" s="5" t="s">
        <v>5</v>
      </c>
      <c r="J143" s="5" t="s">
        <v>5</v>
      </c>
      <c r="K143" s="5" t="s">
        <v>5</v>
      </c>
      <c r="L143" s="5" t="s">
        <v>5</v>
      </c>
      <c r="M143" s="5" t="s">
        <v>5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9">
        <v>0</v>
      </c>
      <c r="T143" s="3">
        <f>O143-N143</f>
        <v>0</v>
      </c>
      <c r="U143" s="9" t="s">
        <v>5</v>
      </c>
      <c r="V143" s="9" t="s">
        <v>5</v>
      </c>
      <c r="W143" s="13" t="s">
        <v>78</v>
      </c>
    </row>
    <row r="144" spans="1:23">
      <c r="A144" s="2">
        <v>45134</v>
      </c>
      <c r="B144" s="17">
        <f t="shared" si="5"/>
        <v>573</v>
      </c>
      <c r="C144" s="3" t="s">
        <v>80</v>
      </c>
      <c r="D144" s="3" t="s">
        <v>8</v>
      </c>
      <c r="E144" s="13" t="s">
        <v>104</v>
      </c>
      <c r="F144" s="5">
        <v>0.67</v>
      </c>
      <c r="G144" s="3">
        <v>1019</v>
      </c>
      <c r="H144" s="5">
        <v>19.399999999999999</v>
      </c>
      <c r="I144" s="9">
        <v>264.60000000000002</v>
      </c>
      <c r="J144" s="7">
        <v>8.9939999999999998</v>
      </c>
      <c r="K144" s="7">
        <v>9.1</v>
      </c>
      <c r="L144" s="5">
        <v>36.1</v>
      </c>
      <c r="M144" s="7">
        <v>2.86</v>
      </c>
      <c r="N144" s="3">
        <v>201</v>
      </c>
      <c r="O144" s="3">
        <v>258</v>
      </c>
      <c r="P144" s="3">
        <v>166</v>
      </c>
      <c r="Q144" s="3">
        <v>21</v>
      </c>
      <c r="R144" s="3">
        <v>0</v>
      </c>
      <c r="S144" s="9">
        <v>1950</v>
      </c>
      <c r="T144" s="3">
        <f>O144-N144</f>
        <v>57</v>
      </c>
      <c r="U144" s="9">
        <f>(T144/O144)*100</f>
        <v>22.093023255813954</v>
      </c>
      <c r="V144" s="9">
        <f>S144/O144</f>
        <v>7.558139534883721</v>
      </c>
      <c r="W144" s="13" t="s">
        <v>5</v>
      </c>
    </row>
    <row r="145" spans="1:23">
      <c r="A145" s="2">
        <v>45134</v>
      </c>
      <c r="B145" s="17">
        <f t="shared" si="5"/>
        <v>573</v>
      </c>
      <c r="C145" s="3" t="s">
        <v>80</v>
      </c>
      <c r="D145" s="3" t="s">
        <v>20</v>
      </c>
      <c r="E145" s="13" t="s">
        <v>102</v>
      </c>
      <c r="F145" s="5">
        <v>0.65</v>
      </c>
      <c r="G145" s="5" t="s">
        <v>5</v>
      </c>
      <c r="H145" s="5" t="s">
        <v>5</v>
      </c>
      <c r="I145" s="5" t="s">
        <v>5</v>
      </c>
      <c r="J145" s="5" t="s">
        <v>5</v>
      </c>
      <c r="K145" s="5" t="s">
        <v>5</v>
      </c>
      <c r="L145" s="5" t="s">
        <v>5</v>
      </c>
      <c r="M145" s="5" t="s">
        <v>5</v>
      </c>
      <c r="N145" s="5" t="s">
        <v>5</v>
      </c>
      <c r="O145" s="5" t="s">
        <v>5</v>
      </c>
      <c r="P145" s="5" t="s">
        <v>5</v>
      </c>
      <c r="Q145" s="5" t="s">
        <v>5</v>
      </c>
      <c r="R145" s="5" t="s">
        <v>5</v>
      </c>
      <c r="S145" s="9" t="s">
        <v>5</v>
      </c>
      <c r="T145" s="5" t="s">
        <v>5</v>
      </c>
      <c r="U145" s="5" t="s">
        <v>5</v>
      </c>
      <c r="V145" s="5" t="s">
        <v>5</v>
      </c>
      <c r="W145" s="18" t="s">
        <v>5</v>
      </c>
    </row>
    <row r="146" spans="1:23">
      <c r="A146" s="2">
        <v>45146</v>
      </c>
      <c r="B146" s="9">
        <f t="shared" si="5"/>
        <v>585</v>
      </c>
      <c r="C146" s="3" t="s">
        <v>80</v>
      </c>
      <c r="D146" s="3" t="s">
        <v>33</v>
      </c>
      <c r="E146" s="13" t="s">
        <v>102</v>
      </c>
      <c r="F146" s="5">
        <v>3.75</v>
      </c>
      <c r="G146" s="5" t="s">
        <v>5</v>
      </c>
      <c r="H146" s="5" t="s">
        <v>5</v>
      </c>
      <c r="I146" s="5" t="s">
        <v>5</v>
      </c>
      <c r="J146" s="5" t="s">
        <v>5</v>
      </c>
      <c r="K146" s="5" t="s">
        <v>5</v>
      </c>
      <c r="L146" s="5" t="s">
        <v>5</v>
      </c>
      <c r="M146" s="5" t="s">
        <v>5</v>
      </c>
      <c r="N146" s="5" t="s">
        <v>5</v>
      </c>
      <c r="O146" s="5" t="s">
        <v>5</v>
      </c>
      <c r="P146" s="5" t="s">
        <v>5</v>
      </c>
      <c r="Q146" s="5" t="s">
        <v>5</v>
      </c>
      <c r="R146" s="5" t="s">
        <v>5</v>
      </c>
      <c r="S146" s="5" t="s">
        <v>5</v>
      </c>
      <c r="T146" s="5" t="s">
        <v>5</v>
      </c>
      <c r="U146" s="5" t="s">
        <v>5</v>
      </c>
      <c r="V146" s="5" t="s">
        <v>5</v>
      </c>
      <c r="W146" s="18" t="s">
        <v>149</v>
      </c>
    </row>
    <row r="147" spans="1:23">
      <c r="A147" s="2">
        <v>45146</v>
      </c>
      <c r="B147" s="9">
        <f t="shared" si="5"/>
        <v>585</v>
      </c>
      <c r="C147" s="3" t="s">
        <v>80</v>
      </c>
      <c r="D147" s="3" t="s">
        <v>4</v>
      </c>
      <c r="E147" s="13" t="s">
        <v>104</v>
      </c>
      <c r="F147" s="5" t="s">
        <v>5</v>
      </c>
      <c r="G147" s="3">
        <v>844</v>
      </c>
      <c r="H147" s="5">
        <v>19.399999999999999</v>
      </c>
      <c r="I147" s="9">
        <v>181</v>
      </c>
      <c r="J147" s="7">
        <v>9.1329999999999991</v>
      </c>
      <c r="K147" s="7">
        <v>9.52</v>
      </c>
      <c r="L147" s="5">
        <v>79.2</v>
      </c>
      <c r="M147" s="7">
        <v>6.31</v>
      </c>
      <c r="N147" s="3">
        <v>35</v>
      </c>
      <c r="O147" s="3">
        <v>39</v>
      </c>
      <c r="P147" s="3">
        <v>13</v>
      </c>
      <c r="Q147" s="3">
        <v>20</v>
      </c>
      <c r="R147" s="3">
        <v>18</v>
      </c>
      <c r="S147" s="9">
        <v>303</v>
      </c>
      <c r="T147" s="3">
        <f>O147-N147</f>
        <v>4</v>
      </c>
      <c r="U147" s="9">
        <f>(T147/O147)*100</f>
        <v>10.256410256410255</v>
      </c>
      <c r="V147" s="9">
        <f>S147/O147</f>
        <v>7.7692307692307692</v>
      </c>
      <c r="W147" s="13" t="s">
        <v>5</v>
      </c>
    </row>
    <row r="148" spans="1:23">
      <c r="A148" s="2">
        <v>45146</v>
      </c>
      <c r="B148" s="9">
        <f t="shared" si="5"/>
        <v>585</v>
      </c>
      <c r="C148" s="3" t="s">
        <v>80</v>
      </c>
      <c r="D148" s="3" t="s">
        <v>21</v>
      </c>
      <c r="E148" s="13" t="s">
        <v>102</v>
      </c>
      <c r="F148" s="5">
        <v>3.4</v>
      </c>
      <c r="G148" s="5" t="s">
        <v>5</v>
      </c>
      <c r="H148" s="5" t="s">
        <v>5</v>
      </c>
      <c r="I148" s="5" t="s">
        <v>5</v>
      </c>
      <c r="J148" s="5" t="s">
        <v>5</v>
      </c>
      <c r="K148" s="5" t="s">
        <v>5</v>
      </c>
      <c r="L148" s="5" t="s">
        <v>5</v>
      </c>
      <c r="M148" s="5" t="s">
        <v>5</v>
      </c>
      <c r="N148" s="5" t="s">
        <v>5</v>
      </c>
      <c r="O148" s="5" t="s">
        <v>5</v>
      </c>
      <c r="P148" s="5" t="s">
        <v>5</v>
      </c>
      <c r="Q148" s="5" t="s">
        <v>5</v>
      </c>
      <c r="R148" s="5" t="s">
        <v>5</v>
      </c>
      <c r="S148" s="5" t="s">
        <v>5</v>
      </c>
      <c r="T148" s="5" t="s">
        <v>5</v>
      </c>
      <c r="U148" s="5" t="s">
        <v>5</v>
      </c>
      <c r="V148" s="5" t="s">
        <v>5</v>
      </c>
      <c r="W148" s="18" t="s">
        <v>5</v>
      </c>
    </row>
    <row r="149" spans="1:23">
      <c r="A149" s="2">
        <v>45146</v>
      </c>
      <c r="B149" s="9">
        <f t="shared" si="5"/>
        <v>585</v>
      </c>
      <c r="C149" s="3" t="s">
        <v>80</v>
      </c>
      <c r="D149" s="3" t="s">
        <v>6</v>
      </c>
      <c r="E149" s="13" t="s">
        <v>104</v>
      </c>
      <c r="F149" s="5" t="s">
        <v>5</v>
      </c>
      <c r="G149" s="3">
        <v>853</v>
      </c>
      <c r="H149" s="5">
        <v>19.899999999999999</v>
      </c>
      <c r="I149" s="9">
        <v>199.5</v>
      </c>
      <c r="J149" s="7">
        <v>8.9600000000000009</v>
      </c>
      <c r="K149" s="7">
        <v>9.24</v>
      </c>
      <c r="L149" s="5">
        <v>79.5</v>
      </c>
      <c r="M149" s="7">
        <v>6.26</v>
      </c>
      <c r="N149" s="3">
        <v>38</v>
      </c>
      <c r="O149" s="3">
        <v>187</v>
      </c>
      <c r="P149" s="3">
        <v>7</v>
      </c>
      <c r="Q149" s="3">
        <v>18</v>
      </c>
      <c r="R149" s="3">
        <v>0</v>
      </c>
      <c r="S149" s="9">
        <v>2120</v>
      </c>
      <c r="T149" s="3">
        <f>O149-N149</f>
        <v>149</v>
      </c>
      <c r="U149" s="9">
        <f>(T149/O149)*100</f>
        <v>79.679144385026731</v>
      </c>
      <c r="V149" s="9">
        <f>S149/O149</f>
        <v>11.336898395721924</v>
      </c>
      <c r="W149" s="13" t="s">
        <v>148</v>
      </c>
    </row>
    <row r="150" spans="1:23">
      <c r="A150" s="2">
        <v>45146</v>
      </c>
      <c r="B150" s="9">
        <f t="shared" si="5"/>
        <v>585</v>
      </c>
      <c r="C150" s="3" t="s">
        <v>80</v>
      </c>
      <c r="D150" s="3" t="s">
        <v>7</v>
      </c>
      <c r="E150" s="13" t="s">
        <v>104</v>
      </c>
      <c r="F150" s="5" t="s">
        <v>5</v>
      </c>
      <c r="G150" s="3">
        <v>929</v>
      </c>
      <c r="H150" s="5">
        <v>18.3</v>
      </c>
      <c r="I150" s="9">
        <v>287.3</v>
      </c>
      <c r="J150" s="7">
        <v>8.968</v>
      </c>
      <c r="K150" s="7">
        <v>9.3800000000000008</v>
      </c>
      <c r="L150" s="5">
        <v>42.8</v>
      </c>
      <c r="M150" s="7">
        <v>3.48</v>
      </c>
      <c r="N150" s="3">
        <v>188</v>
      </c>
      <c r="O150" s="3">
        <v>239</v>
      </c>
      <c r="P150" s="3">
        <v>115</v>
      </c>
      <c r="Q150" s="3">
        <v>136</v>
      </c>
      <c r="R150" s="3">
        <v>15</v>
      </c>
      <c r="S150" s="9">
        <v>2580</v>
      </c>
      <c r="T150" s="3">
        <f>O150-N150</f>
        <v>51</v>
      </c>
      <c r="U150" s="9">
        <f>(T150/O150)*100</f>
        <v>21.338912133891213</v>
      </c>
      <c r="V150" s="9">
        <f>S150/O150</f>
        <v>10.794979079497908</v>
      </c>
      <c r="W150" s="13" t="s">
        <v>5</v>
      </c>
    </row>
    <row r="151" spans="1:23">
      <c r="A151" s="2">
        <v>45146</v>
      </c>
      <c r="B151" s="9">
        <f t="shared" si="5"/>
        <v>585</v>
      </c>
      <c r="C151" s="3" t="s">
        <v>80</v>
      </c>
      <c r="D151" s="3" t="s">
        <v>35</v>
      </c>
      <c r="E151" s="13" t="s">
        <v>103</v>
      </c>
      <c r="F151" s="5" t="s">
        <v>5</v>
      </c>
      <c r="G151" s="5" t="s">
        <v>5</v>
      </c>
      <c r="H151" s="5" t="s">
        <v>5</v>
      </c>
      <c r="I151" s="5" t="s">
        <v>5</v>
      </c>
      <c r="J151" s="5" t="s">
        <v>5</v>
      </c>
      <c r="K151" s="5" t="s">
        <v>5</v>
      </c>
      <c r="L151" s="5" t="s">
        <v>5</v>
      </c>
      <c r="M151" s="5" t="s">
        <v>5</v>
      </c>
      <c r="N151" s="3">
        <v>193</v>
      </c>
      <c r="O151" s="3">
        <v>236</v>
      </c>
      <c r="P151" s="3">
        <v>116</v>
      </c>
      <c r="Q151" s="3">
        <v>135</v>
      </c>
      <c r="R151" s="3">
        <v>0</v>
      </c>
      <c r="S151" s="9">
        <v>2570</v>
      </c>
      <c r="T151" s="3">
        <f>O151-N151</f>
        <v>43</v>
      </c>
      <c r="U151" s="9">
        <f>(T151/O151)*100</f>
        <v>18.220338983050848</v>
      </c>
      <c r="V151" s="9">
        <f>S151/O151</f>
        <v>10.889830508474576</v>
      </c>
      <c r="W151" s="13" t="s">
        <v>151</v>
      </c>
    </row>
    <row r="152" spans="1:23">
      <c r="A152" s="2">
        <v>45146</v>
      </c>
      <c r="B152" s="9">
        <f t="shared" si="5"/>
        <v>585</v>
      </c>
      <c r="C152" s="3" t="s">
        <v>80</v>
      </c>
      <c r="D152" s="3" t="s">
        <v>8</v>
      </c>
      <c r="E152" s="13" t="s">
        <v>104</v>
      </c>
      <c r="F152" s="5">
        <v>0.6</v>
      </c>
      <c r="G152" s="3">
        <v>913</v>
      </c>
      <c r="H152" s="5">
        <v>17.899999999999999</v>
      </c>
      <c r="I152" s="9">
        <v>227.1</v>
      </c>
      <c r="J152" s="7">
        <v>8.9730000000000008</v>
      </c>
      <c r="K152" s="7">
        <v>8.64</v>
      </c>
      <c r="L152" s="5">
        <v>49.3</v>
      </c>
      <c r="M152" s="7">
        <v>4.04</v>
      </c>
      <c r="N152" s="3">
        <v>176</v>
      </c>
      <c r="O152" s="3">
        <v>226</v>
      </c>
      <c r="P152" s="3">
        <v>147</v>
      </c>
      <c r="Q152" s="3">
        <v>58</v>
      </c>
      <c r="R152" s="3">
        <v>28</v>
      </c>
      <c r="S152" s="9">
        <v>1560</v>
      </c>
      <c r="T152" s="3">
        <f>O152-N152</f>
        <v>50</v>
      </c>
      <c r="U152" s="9">
        <f>(T152/O152)*100</f>
        <v>22.123893805309734</v>
      </c>
      <c r="V152" s="9">
        <f>S152/O152</f>
        <v>6.9026548672566372</v>
      </c>
      <c r="W152" s="18" t="s">
        <v>5</v>
      </c>
    </row>
    <row r="153" spans="1:23">
      <c r="A153" s="2">
        <v>45146</v>
      </c>
      <c r="B153" s="9">
        <f t="shared" si="5"/>
        <v>585</v>
      </c>
      <c r="C153" s="3" t="s">
        <v>80</v>
      </c>
      <c r="D153" s="3" t="s">
        <v>20</v>
      </c>
      <c r="E153" s="13" t="s">
        <v>102</v>
      </c>
      <c r="F153" s="5">
        <v>0.6</v>
      </c>
      <c r="G153" s="5" t="s">
        <v>5</v>
      </c>
      <c r="H153" s="5" t="s">
        <v>5</v>
      </c>
      <c r="I153" s="5" t="s">
        <v>5</v>
      </c>
      <c r="J153" s="5" t="s">
        <v>5</v>
      </c>
      <c r="K153" s="5" t="s">
        <v>5</v>
      </c>
      <c r="L153" s="5" t="s">
        <v>5</v>
      </c>
      <c r="M153" s="5" t="s">
        <v>5</v>
      </c>
      <c r="N153" s="5" t="s">
        <v>5</v>
      </c>
      <c r="O153" s="5" t="s">
        <v>5</v>
      </c>
      <c r="P153" s="5" t="s">
        <v>5</v>
      </c>
      <c r="Q153" s="5" t="s">
        <v>5</v>
      </c>
      <c r="R153" s="5" t="s">
        <v>5</v>
      </c>
      <c r="S153" s="5" t="s">
        <v>5</v>
      </c>
      <c r="T153" s="5" t="s">
        <v>5</v>
      </c>
      <c r="U153" s="5" t="s">
        <v>5</v>
      </c>
      <c r="V153" s="5" t="s">
        <v>5</v>
      </c>
      <c r="W153" s="18" t="s">
        <v>5</v>
      </c>
    </row>
    <row r="154" spans="1:23">
      <c r="A154" s="2">
        <v>45182</v>
      </c>
      <c r="B154" s="9">
        <f t="shared" si="5"/>
        <v>621</v>
      </c>
      <c r="C154" s="3" t="s">
        <v>80</v>
      </c>
      <c r="D154" s="3" t="s">
        <v>33</v>
      </c>
      <c r="E154" s="13" t="s">
        <v>102</v>
      </c>
      <c r="F154" s="5">
        <v>3.38</v>
      </c>
      <c r="G154" s="5" t="s">
        <v>5</v>
      </c>
      <c r="H154" s="5" t="s">
        <v>5</v>
      </c>
      <c r="I154" s="5" t="s">
        <v>5</v>
      </c>
      <c r="J154" s="5" t="s">
        <v>5</v>
      </c>
      <c r="K154" s="5" t="s">
        <v>5</v>
      </c>
      <c r="L154" s="5" t="s">
        <v>5</v>
      </c>
      <c r="M154" s="5" t="s">
        <v>5</v>
      </c>
      <c r="N154" s="5" t="s">
        <v>5</v>
      </c>
      <c r="O154" s="5" t="s">
        <v>5</v>
      </c>
      <c r="P154" s="5" t="s">
        <v>5</v>
      </c>
      <c r="Q154" s="5" t="s">
        <v>5</v>
      </c>
      <c r="R154" s="5" t="s">
        <v>5</v>
      </c>
      <c r="S154" s="5" t="s">
        <v>5</v>
      </c>
      <c r="T154" s="5" t="s">
        <v>5</v>
      </c>
      <c r="U154" s="5" t="s">
        <v>5</v>
      </c>
      <c r="V154" s="5" t="s">
        <v>5</v>
      </c>
      <c r="W154" s="18" t="s">
        <v>5</v>
      </c>
    </row>
    <row r="155" spans="1:23">
      <c r="A155" s="2">
        <v>45182</v>
      </c>
      <c r="B155" s="9">
        <f t="shared" si="5"/>
        <v>621</v>
      </c>
      <c r="C155" s="3" t="s">
        <v>80</v>
      </c>
      <c r="D155" s="3" t="s">
        <v>4</v>
      </c>
      <c r="E155" s="13" t="s">
        <v>104</v>
      </c>
      <c r="F155" s="5" t="s">
        <v>5</v>
      </c>
      <c r="G155" s="3">
        <v>845</v>
      </c>
      <c r="H155" s="5">
        <v>16.8</v>
      </c>
      <c r="I155" s="9">
        <v>188.8</v>
      </c>
      <c r="J155" s="7">
        <v>9.0329999999999995</v>
      </c>
      <c r="K155" s="7">
        <v>8.4700000000000006</v>
      </c>
      <c r="L155" s="5">
        <v>23.8</v>
      </c>
      <c r="M155" s="7">
        <v>2</v>
      </c>
      <c r="N155" s="3">
        <v>37</v>
      </c>
      <c r="O155" s="3">
        <v>62</v>
      </c>
      <c r="P155" s="3">
        <v>26</v>
      </c>
      <c r="Q155" s="3">
        <v>135</v>
      </c>
      <c r="R155" s="3">
        <v>17</v>
      </c>
      <c r="S155" s="9">
        <v>704</v>
      </c>
      <c r="T155" s="3">
        <f>O155-N155</f>
        <v>25</v>
      </c>
      <c r="U155" s="9">
        <f>(T155/O155)*100</f>
        <v>40.322580645161288</v>
      </c>
      <c r="V155" s="9">
        <f>S155/O155</f>
        <v>11.35483870967742</v>
      </c>
      <c r="W155" s="18" t="s">
        <v>5</v>
      </c>
    </row>
    <row r="156" spans="1:23">
      <c r="A156" s="2">
        <v>45182</v>
      </c>
      <c r="B156" s="9">
        <f t="shared" si="5"/>
        <v>621</v>
      </c>
      <c r="C156" s="3" t="s">
        <v>80</v>
      </c>
      <c r="D156" s="3" t="s">
        <v>21</v>
      </c>
      <c r="E156" s="13" t="s">
        <v>102</v>
      </c>
      <c r="F156" s="5">
        <v>3.25</v>
      </c>
      <c r="G156" s="5" t="s">
        <v>5</v>
      </c>
      <c r="H156" s="5" t="s">
        <v>5</v>
      </c>
      <c r="I156" s="5" t="s">
        <v>5</v>
      </c>
      <c r="J156" s="5" t="s">
        <v>5</v>
      </c>
      <c r="K156" s="5" t="s">
        <v>5</v>
      </c>
      <c r="L156" s="5" t="s">
        <v>5</v>
      </c>
      <c r="M156" s="5" t="s">
        <v>5</v>
      </c>
      <c r="N156" s="5" t="s">
        <v>5</v>
      </c>
      <c r="O156" s="5" t="s">
        <v>5</v>
      </c>
      <c r="P156" s="5" t="s">
        <v>5</v>
      </c>
      <c r="Q156" s="5" t="s">
        <v>5</v>
      </c>
      <c r="R156" s="5" t="s">
        <v>5</v>
      </c>
      <c r="S156" s="5" t="s">
        <v>5</v>
      </c>
      <c r="T156" s="5" t="s">
        <v>5</v>
      </c>
      <c r="U156" s="5" t="s">
        <v>5</v>
      </c>
      <c r="V156" s="5" t="s">
        <v>5</v>
      </c>
      <c r="W156" s="18" t="s">
        <v>5</v>
      </c>
    </row>
    <row r="157" spans="1:23">
      <c r="A157" s="2">
        <v>45182</v>
      </c>
      <c r="B157" s="9">
        <f t="shared" si="5"/>
        <v>621</v>
      </c>
      <c r="C157" s="3" t="s">
        <v>80</v>
      </c>
      <c r="D157" s="3" t="s">
        <v>6</v>
      </c>
      <c r="E157" s="13" t="s">
        <v>104</v>
      </c>
      <c r="F157" s="5" t="s">
        <v>5</v>
      </c>
      <c r="G157" s="3">
        <v>901</v>
      </c>
      <c r="H157" s="5">
        <v>16.5</v>
      </c>
      <c r="I157" s="9">
        <v>235.6</v>
      </c>
      <c r="J157" s="7">
        <v>9.0139999999999993</v>
      </c>
      <c r="K157" s="7">
        <v>8.19</v>
      </c>
      <c r="L157" s="5">
        <v>47.1</v>
      </c>
      <c r="M157" s="7">
        <v>3.99</v>
      </c>
      <c r="N157" s="3">
        <v>0</v>
      </c>
      <c r="O157" s="3">
        <v>35</v>
      </c>
      <c r="P157" s="3">
        <v>0</v>
      </c>
      <c r="Q157" s="3">
        <v>16</v>
      </c>
      <c r="R157" s="3">
        <v>0</v>
      </c>
      <c r="S157" s="9">
        <v>1000</v>
      </c>
      <c r="T157" s="3">
        <f>O157-N157</f>
        <v>35</v>
      </c>
      <c r="U157" s="9">
        <f>(T157/O157)*100</f>
        <v>100</v>
      </c>
      <c r="V157" s="9">
        <f>S157/O157</f>
        <v>28.571428571428573</v>
      </c>
      <c r="W157" s="13" t="s">
        <v>148</v>
      </c>
    </row>
    <row r="158" spans="1:23">
      <c r="A158" s="2">
        <v>45182</v>
      </c>
      <c r="B158" s="9">
        <f t="shared" si="5"/>
        <v>621</v>
      </c>
      <c r="C158" s="3" t="s">
        <v>80</v>
      </c>
      <c r="D158" s="3" t="s">
        <v>7</v>
      </c>
      <c r="E158" s="13" t="s">
        <v>104</v>
      </c>
      <c r="F158" s="5" t="s">
        <v>5</v>
      </c>
      <c r="G158" s="3">
        <v>944</v>
      </c>
      <c r="H158" s="5">
        <v>14.7</v>
      </c>
      <c r="I158" s="9">
        <v>382.7</v>
      </c>
      <c r="J158" s="7">
        <v>8.968</v>
      </c>
      <c r="K158" s="7">
        <v>8.52</v>
      </c>
      <c r="L158" s="5">
        <v>53.8</v>
      </c>
      <c r="M158" s="7">
        <v>4.72</v>
      </c>
      <c r="N158" s="3">
        <v>216</v>
      </c>
      <c r="O158" s="3">
        <v>339</v>
      </c>
      <c r="P158" s="3">
        <v>133</v>
      </c>
      <c r="Q158" s="3">
        <v>262</v>
      </c>
      <c r="R158" s="3">
        <v>20</v>
      </c>
      <c r="S158" s="9">
        <v>4310</v>
      </c>
      <c r="T158" s="3">
        <f>O158-N158</f>
        <v>123</v>
      </c>
      <c r="U158" s="9">
        <f>(T158/O158)*100</f>
        <v>36.283185840707965</v>
      </c>
      <c r="V158" s="9">
        <f>S158/O158</f>
        <v>12.713864306784661</v>
      </c>
      <c r="W158" s="18" t="s">
        <v>5</v>
      </c>
    </row>
    <row r="159" spans="1:23">
      <c r="A159" s="2">
        <v>45182</v>
      </c>
      <c r="B159" s="9">
        <f t="shared" si="5"/>
        <v>621</v>
      </c>
      <c r="C159" s="3" t="s">
        <v>80</v>
      </c>
      <c r="D159" s="3" t="s">
        <v>72</v>
      </c>
      <c r="E159" s="13" t="s">
        <v>103</v>
      </c>
      <c r="F159" s="5" t="s">
        <v>5</v>
      </c>
      <c r="G159" s="5" t="s">
        <v>5</v>
      </c>
      <c r="H159" s="5" t="s">
        <v>5</v>
      </c>
      <c r="I159" s="5" t="s">
        <v>5</v>
      </c>
      <c r="J159" s="5" t="s">
        <v>5</v>
      </c>
      <c r="K159" s="5" t="s">
        <v>5</v>
      </c>
      <c r="L159" s="5" t="s">
        <v>5</v>
      </c>
      <c r="M159" s="5" t="s">
        <v>5</v>
      </c>
      <c r="N159" s="5">
        <v>0</v>
      </c>
      <c r="O159" s="5">
        <v>0</v>
      </c>
      <c r="P159" s="3">
        <v>0</v>
      </c>
      <c r="Q159" s="10">
        <v>17</v>
      </c>
      <c r="R159" s="3">
        <v>0</v>
      </c>
      <c r="S159" s="9">
        <v>0</v>
      </c>
      <c r="T159" s="3">
        <f>O159-N159</f>
        <v>0</v>
      </c>
      <c r="U159" s="9" t="s">
        <v>5</v>
      </c>
      <c r="V159" s="9" t="s">
        <v>5</v>
      </c>
      <c r="W159" s="13" t="s">
        <v>153</v>
      </c>
    </row>
    <row r="160" spans="1:23">
      <c r="A160" s="2">
        <v>45182</v>
      </c>
      <c r="B160" s="9">
        <f t="shared" si="5"/>
        <v>621</v>
      </c>
      <c r="C160" s="3" t="s">
        <v>80</v>
      </c>
      <c r="D160" s="3" t="s">
        <v>8</v>
      </c>
      <c r="E160" s="13" t="s">
        <v>104</v>
      </c>
      <c r="F160" s="5">
        <v>0.4</v>
      </c>
      <c r="G160" s="3">
        <v>929</v>
      </c>
      <c r="H160" s="5">
        <v>15.7</v>
      </c>
      <c r="I160" s="9">
        <v>317.10000000000002</v>
      </c>
      <c r="J160" s="7">
        <v>8.9960000000000004</v>
      </c>
      <c r="K160" s="7">
        <v>9.8800000000000008</v>
      </c>
      <c r="L160" s="5">
        <v>29.9</v>
      </c>
      <c r="M160" s="7">
        <v>2.57</v>
      </c>
      <c r="N160" s="3">
        <v>313</v>
      </c>
      <c r="O160" s="3">
        <v>357</v>
      </c>
      <c r="P160" s="3">
        <v>218</v>
      </c>
      <c r="Q160" s="3">
        <v>62</v>
      </c>
      <c r="R160" s="3">
        <v>17</v>
      </c>
      <c r="S160" s="9">
        <v>3150</v>
      </c>
      <c r="T160" s="3">
        <f>O160-N160</f>
        <v>44</v>
      </c>
      <c r="U160" s="9">
        <f>(T160/O160)*100</f>
        <v>12.324929971988796</v>
      </c>
      <c r="V160" s="9">
        <f>S160/O160</f>
        <v>8.8235294117647065</v>
      </c>
      <c r="W160" s="13" t="s">
        <v>154</v>
      </c>
    </row>
    <row r="161" spans="1:23">
      <c r="A161" s="2">
        <v>45182</v>
      </c>
      <c r="B161" s="9">
        <f t="shared" si="5"/>
        <v>621</v>
      </c>
      <c r="C161" s="3" t="s">
        <v>80</v>
      </c>
      <c r="D161" s="3" t="s">
        <v>20</v>
      </c>
      <c r="E161" s="13" t="s">
        <v>102</v>
      </c>
      <c r="F161" s="5">
        <v>0.42</v>
      </c>
      <c r="G161" s="5" t="s">
        <v>5</v>
      </c>
      <c r="H161" s="5" t="s">
        <v>5</v>
      </c>
      <c r="I161" s="5" t="s">
        <v>5</v>
      </c>
      <c r="J161" s="5" t="s">
        <v>5</v>
      </c>
      <c r="K161" s="5" t="s">
        <v>5</v>
      </c>
      <c r="L161" s="5" t="s">
        <v>5</v>
      </c>
      <c r="M161" s="5" t="s">
        <v>5</v>
      </c>
      <c r="N161" s="5" t="s">
        <v>5</v>
      </c>
      <c r="O161" s="5" t="s">
        <v>5</v>
      </c>
      <c r="P161" s="5" t="s">
        <v>5</v>
      </c>
      <c r="Q161" s="5" t="s">
        <v>5</v>
      </c>
      <c r="R161" s="5" t="s">
        <v>5</v>
      </c>
      <c r="S161" s="5" t="s">
        <v>5</v>
      </c>
      <c r="T161" s="5" t="s">
        <v>5</v>
      </c>
      <c r="U161" s="5" t="s">
        <v>5</v>
      </c>
      <c r="V161" s="5" t="s">
        <v>5</v>
      </c>
      <c r="W161" s="18" t="s">
        <v>5</v>
      </c>
    </row>
    <row r="162" spans="1:23">
      <c r="A162" s="2">
        <v>45217</v>
      </c>
      <c r="B162" s="9">
        <f t="shared" si="5"/>
        <v>656</v>
      </c>
      <c r="C162" s="3" t="s">
        <v>80</v>
      </c>
      <c r="D162" s="3" t="s">
        <v>33</v>
      </c>
      <c r="E162" s="13" t="s">
        <v>102</v>
      </c>
      <c r="F162" s="5">
        <v>3.32</v>
      </c>
      <c r="G162" s="3" t="s">
        <v>5</v>
      </c>
      <c r="H162" s="5" t="s">
        <v>5</v>
      </c>
      <c r="I162" s="3" t="s">
        <v>5</v>
      </c>
      <c r="J162" s="3" t="s">
        <v>5</v>
      </c>
      <c r="K162" s="3" t="s">
        <v>5</v>
      </c>
      <c r="L162" s="3" t="s">
        <v>5</v>
      </c>
      <c r="M162" s="3" t="s">
        <v>5</v>
      </c>
      <c r="N162" s="3" t="s">
        <v>5</v>
      </c>
      <c r="O162" s="3" t="s">
        <v>5</v>
      </c>
      <c r="P162" s="3" t="s">
        <v>5</v>
      </c>
      <c r="Q162" s="3" t="s">
        <v>5</v>
      </c>
      <c r="R162" s="3" t="s">
        <v>5</v>
      </c>
      <c r="S162" s="3" t="s">
        <v>5</v>
      </c>
      <c r="T162" s="3" t="s">
        <v>5</v>
      </c>
      <c r="U162" s="3" t="s">
        <v>5</v>
      </c>
      <c r="V162" s="3" t="s">
        <v>5</v>
      </c>
      <c r="W162" s="13" t="s">
        <v>5</v>
      </c>
    </row>
    <row r="163" spans="1:23">
      <c r="A163" s="2">
        <v>45217</v>
      </c>
      <c r="B163" s="9">
        <f t="shared" si="5"/>
        <v>656</v>
      </c>
      <c r="C163" s="3" t="s">
        <v>80</v>
      </c>
      <c r="D163" s="3" t="s">
        <v>4</v>
      </c>
      <c r="E163" s="13" t="s">
        <v>104</v>
      </c>
      <c r="F163" s="5" t="s">
        <v>5</v>
      </c>
      <c r="G163" s="3">
        <v>1034</v>
      </c>
      <c r="H163" s="5">
        <v>11.8</v>
      </c>
      <c r="I163" s="9">
        <v>187</v>
      </c>
      <c r="J163" s="7">
        <v>8.9860000000000007</v>
      </c>
      <c r="K163" s="7">
        <v>8.4700000000000006</v>
      </c>
      <c r="L163" s="5">
        <v>73.400000000000006</v>
      </c>
      <c r="M163" s="7">
        <v>6.86</v>
      </c>
      <c r="N163" s="3">
        <v>27</v>
      </c>
      <c r="O163" s="3">
        <v>36</v>
      </c>
      <c r="P163" s="3">
        <v>12</v>
      </c>
      <c r="Q163" s="3">
        <v>48</v>
      </c>
      <c r="R163" s="3">
        <v>17</v>
      </c>
      <c r="S163" s="9">
        <v>417</v>
      </c>
      <c r="T163" s="3">
        <f>O163-N163</f>
        <v>9</v>
      </c>
      <c r="U163" s="9">
        <f>(T163/O163)*100</f>
        <v>25</v>
      </c>
      <c r="V163" s="9">
        <f>S163/O163</f>
        <v>11.583333333333334</v>
      </c>
      <c r="W163" s="13" t="s">
        <v>5</v>
      </c>
    </row>
    <row r="164" spans="1:23">
      <c r="A164" s="2">
        <v>45217</v>
      </c>
      <c r="B164" s="9">
        <f t="shared" si="5"/>
        <v>656</v>
      </c>
      <c r="C164" s="3" t="s">
        <v>80</v>
      </c>
      <c r="D164" s="3" t="s">
        <v>21</v>
      </c>
      <c r="E164" s="13" t="s">
        <v>102</v>
      </c>
      <c r="F164" s="5">
        <v>2.8</v>
      </c>
      <c r="G164" s="3" t="s">
        <v>5</v>
      </c>
      <c r="H164" s="5" t="s">
        <v>5</v>
      </c>
      <c r="I164" s="3" t="s">
        <v>5</v>
      </c>
      <c r="J164" s="3" t="s">
        <v>5</v>
      </c>
      <c r="K164" s="3" t="s">
        <v>5</v>
      </c>
      <c r="L164" s="3" t="s">
        <v>5</v>
      </c>
      <c r="M164" s="3" t="s">
        <v>5</v>
      </c>
      <c r="N164" s="3" t="s">
        <v>5</v>
      </c>
      <c r="O164" s="3" t="s">
        <v>5</v>
      </c>
      <c r="P164" s="3" t="s">
        <v>5</v>
      </c>
      <c r="Q164" s="3" t="s">
        <v>5</v>
      </c>
      <c r="R164" s="3" t="s">
        <v>5</v>
      </c>
      <c r="S164" s="3" t="s">
        <v>5</v>
      </c>
      <c r="T164" s="3" t="s">
        <v>5</v>
      </c>
      <c r="U164" s="3" t="s">
        <v>5</v>
      </c>
      <c r="V164" s="3" t="s">
        <v>5</v>
      </c>
      <c r="W164" s="13" t="s">
        <v>5</v>
      </c>
    </row>
    <row r="165" spans="1:23">
      <c r="A165" s="2">
        <v>45217</v>
      </c>
      <c r="B165" s="9">
        <f t="shared" si="5"/>
        <v>656</v>
      </c>
      <c r="C165" s="3" t="s">
        <v>80</v>
      </c>
      <c r="D165" s="3" t="s">
        <v>6</v>
      </c>
      <c r="E165" s="13" t="s">
        <v>104</v>
      </c>
      <c r="F165" s="5" t="s">
        <v>5</v>
      </c>
      <c r="G165" s="3">
        <v>1053</v>
      </c>
      <c r="H165" s="5">
        <v>12</v>
      </c>
      <c r="I165" s="9">
        <v>235.1</v>
      </c>
      <c r="J165" s="7">
        <v>9.0020000000000007</v>
      </c>
      <c r="K165" s="7">
        <v>7.9</v>
      </c>
      <c r="L165" s="5">
        <v>56.6</v>
      </c>
      <c r="M165" s="7">
        <v>5.28</v>
      </c>
      <c r="N165" s="3">
        <v>20</v>
      </c>
      <c r="O165" s="3">
        <v>48</v>
      </c>
      <c r="P165" s="3">
        <v>0</v>
      </c>
      <c r="Q165" s="3">
        <v>0</v>
      </c>
      <c r="R165" s="3">
        <v>0</v>
      </c>
      <c r="S165" s="9">
        <v>781</v>
      </c>
      <c r="T165" s="3">
        <f>O165-N165</f>
        <v>28</v>
      </c>
      <c r="U165" s="9">
        <f>(T165/O165)*100</f>
        <v>58.333333333333336</v>
      </c>
      <c r="V165" s="9">
        <f>S165/O165</f>
        <v>16.270833333333332</v>
      </c>
      <c r="W165" s="13" t="s">
        <v>5</v>
      </c>
    </row>
    <row r="166" spans="1:23">
      <c r="A166" s="2">
        <v>45217</v>
      </c>
      <c r="B166" s="9">
        <f t="shared" si="5"/>
        <v>656</v>
      </c>
      <c r="C166" s="3" t="s">
        <v>80</v>
      </c>
      <c r="D166" s="3" t="s">
        <v>7</v>
      </c>
      <c r="E166" s="13" t="s">
        <v>104</v>
      </c>
      <c r="F166" s="5" t="s">
        <v>5</v>
      </c>
      <c r="G166" s="3">
        <v>1125</v>
      </c>
      <c r="H166" s="5">
        <v>10.6</v>
      </c>
      <c r="I166" s="9">
        <v>269.39999999999998</v>
      </c>
      <c r="J166" s="7">
        <v>8.9849999999999994</v>
      </c>
      <c r="K166" s="7">
        <v>8.94</v>
      </c>
      <c r="L166" s="5">
        <v>82.2</v>
      </c>
      <c r="M166" s="7">
        <v>7.94</v>
      </c>
      <c r="N166" s="3">
        <v>77</v>
      </c>
      <c r="O166" s="3">
        <v>172</v>
      </c>
      <c r="P166" s="3">
        <v>29</v>
      </c>
      <c r="Q166" s="3">
        <v>24</v>
      </c>
      <c r="R166" s="3">
        <v>0</v>
      </c>
      <c r="S166" s="9">
        <v>1970</v>
      </c>
      <c r="T166" s="3">
        <f>O166-N166</f>
        <v>95</v>
      </c>
      <c r="U166" s="9">
        <f>(T166/O166)*100</f>
        <v>55.232558139534881</v>
      </c>
      <c r="V166" s="9">
        <f>S166/O166</f>
        <v>11.453488372093023</v>
      </c>
      <c r="W166" s="13" t="s">
        <v>5</v>
      </c>
    </row>
    <row r="167" spans="1:23">
      <c r="A167" s="2">
        <v>45217</v>
      </c>
      <c r="B167" s="9">
        <f t="shared" si="5"/>
        <v>656</v>
      </c>
      <c r="C167" s="3" t="s">
        <v>80</v>
      </c>
      <c r="D167" s="3" t="s">
        <v>35</v>
      </c>
      <c r="E167" s="13" t="s">
        <v>103</v>
      </c>
      <c r="F167" s="5" t="s">
        <v>5</v>
      </c>
      <c r="G167" s="3" t="s">
        <v>5</v>
      </c>
      <c r="H167" s="5" t="s">
        <v>5</v>
      </c>
      <c r="I167" s="3" t="s">
        <v>5</v>
      </c>
      <c r="J167" s="3" t="s">
        <v>5</v>
      </c>
      <c r="K167" s="3" t="s">
        <v>5</v>
      </c>
      <c r="L167" s="3" t="s">
        <v>5</v>
      </c>
      <c r="M167" s="3" t="s">
        <v>5</v>
      </c>
      <c r="N167" s="3">
        <v>74</v>
      </c>
      <c r="O167" s="3">
        <v>175</v>
      </c>
      <c r="P167" s="3">
        <v>26</v>
      </c>
      <c r="Q167" s="3">
        <v>20</v>
      </c>
      <c r="R167" s="3">
        <v>0</v>
      </c>
      <c r="S167" s="9">
        <v>2150</v>
      </c>
      <c r="T167" s="3">
        <f>O167-N167</f>
        <v>101</v>
      </c>
      <c r="U167" s="9">
        <f>(T167/O167)*100</f>
        <v>57.714285714285715</v>
      </c>
      <c r="V167" s="9">
        <f>S167/O167</f>
        <v>12.285714285714286</v>
      </c>
      <c r="W167" s="13" t="s">
        <v>5</v>
      </c>
    </row>
    <row r="168" spans="1:23">
      <c r="A168" s="2">
        <v>45217</v>
      </c>
      <c r="B168" s="9">
        <f t="shared" si="5"/>
        <v>656</v>
      </c>
      <c r="C168" s="3" t="s">
        <v>80</v>
      </c>
      <c r="D168" s="3" t="s">
        <v>8</v>
      </c>
      <c r="E168" s="13" t="s">
        <v>104</v>
      </c>
      <c r="F168" s="5">
        <v>0.8</v>
      </c>
      <c r="G168" s="3">
        <v>1105</v>
      </c>
      <c r="H168" s="5">
        <v>10.9</v>
      </c>
      <c r="I168" s="9">
        <v>359.3</v>
      </c>
      <c r="J168" s="7">
        <v>8.9830000000000005</v>
      </c>
      <c r="K168" s="7">
        <v>8.06</v>
      </c>
      <c r="L168" s="5">
        <v>51.9</v>
      </c>
      <c r="M168" s="7">
        <v>4.99</v>
      </c>
      <c r="N168" s="3">
        <v>82</v>
      </c>
      <c r="O168" s="3">
        <v>148</v>
      </c>
      <c r="P168" s="3">
        <v>50</v>
      </c>
      <c r="Q168" s="3">
        <v>46</v>
      </c>
      <c r="R168" s="3">
        <v>16</v>
      </c>
      <c r="S168" s="9">
        <v>2190</v>
      </c>
      <c r="T168" s="3">
        <f>O168-N168</f>
        <v>66</v>
      </c>
      <c r="U168" s="9">
        <f>(T168/O168)*100</f>
        <v>44.594594594594597</v>
      </c>
      <c r="V168" s="9">
        <f>S168/O168</f>
        <v>14.797297297297296</v>
      </c>
      <c r="W168" s="13" t="s">
        <v>149</v>
      </c>
    </row>
    <row r="169" spans="1:23">
      <c r="A169" s="2">
        <v>45217</v>
      </c>
      <c r="B169" s="9">
        <f t="shared" si="5"/>
        <v>656</v>
      </c>
      <c r="C169" s="3" t="s">
        <v>80</v>
      </c>
      <c r="D169" s="3" t="s">
        <v>20</v>
      </c>
      <c r="E169" s="13" t="s">
        <v>102</v>
      </c>
      <c r="F169" s="5">
        <v>0.9</v>
      </c>
      <c r="G169" s="3" t="s">
        <v>5</v>
      </c>
      <c r="H169" s="5" t="s">
        <v>5</v>
      </c>
      <c r="I169" s="3" t="s">
        <v>5</v>
      </c>
      <c r="J169" s="3" t="s">
        <v>5</v>
      </c>
      <c r="K169" s="3" t="s">
        <v>5</v>
      </c>
      <c r="L169" s="3" t="s">
        <v>5</v>
      </c>
      <c r="M169" s="3" t="s">
        <v>5</v>
      </c>
      <c r="N169" s="3" t="s">
        <v>5</v>
      </c>
      <c r="O169" s="3" t="s">
        <v>5</v>
      </c>
      <c r="P169" s="3" t="s">
        <v>5</v>
      </c>
      <c r="Q169" s="3" t="s">
        <v>5</v>
      </c>
      <c r="R169" s="3" t="s">
        <v>5</v>
      </c>
      <c r="S169" s="3" t="s">
        <v>5</v>
      </c>
      <c r="T169" s="3" t="s">
        <v>5</v>
      </c>
      <c r="U169" s="3" t="s">
        <v>5</v>
      </c>
      <c r="V169" s="3" t="s">
        <v>5</v>
      </c>
      <c r="W169" s="13" t="s">
        <v>5</v>
      </c>
    </row>
    <row r="170" spans="1:23">
      <c r="A170" s="2">
        <v>45238</v>
      </c>
      <c r="B170" s="9">
        <f t="shared" si="5"/>
        <v>677</v>
      </c>
      <c r="C170" s="3" t="s">
        <v>80</v>
      </c>
      <c r="D170" s="3" t="s">
        <v>33</v>
      </c>
      <c r="E170" s="13" t="s">
        <v>102</v>
      </c>
      <c r="F170" s="5">
        <v>3.24</v>
      </c>
      <c r="G170" s="5" t="s">
        <v>5</v>
      </c>
      <c r="H170" s="5" t="s">
        <v>5</v>
      </c>
      <c r="I170" s="5" t="s">
        <v>5</v>
      </c>
      <c r="J170" s="5" t="s">
        <v>5</v>
      </c>
      <c r="K170" s="5" t="s">
        <v>5</v>
      </c>
      <c r="L170" s="5" t="s">
        <v>5</v>
      </c>
      <c r="M170" s="5" t="s">
        <v>5</v>
      </c>
      <c r="N170" s="5" t="s">
        <v>5</v>
      </c>
      <c r="O170" s="5" t="s">
        <v>5</v>
      </c>
      <c r="P170" s="5" t="s">
        <v>5</v>
      </c>
      <c r="Q170" s="5" t="s">
        <v>5</v>
      </c>
      <c r="R170" s="5" t="s">
        <v>5</v>
      </c>
      <c r="S170" s="5" t="s">
        <v>5</v>
      </c>
      <c r="T170" s="5" t="s">
        <v>5</v>
      </c>
      <c r="U170" s="5" t="s">
        <v>5</v>
      </c>
      <c r="V170" s="5" t="s">
        <v>5</v>
      </c>
      <c r="W170" s="18" t="s">
        <v>5</v>
      </c>
    </row>
    <row r="171" spans="1:23">
      <c r="A171" s="2">
        <v>45238</v>
      </c>
      <c r="B171" s="9">
        <f t="shared" si="5"/>
        <v>677</v>
      </c>
      <c r="C171" s="3" t="s">
        <v>80</v>
      </c>
      <c r="D171" s="3" t="s">
        <v>4</v>
      </c>
      <c r="E171" s="13" t="s">
        <v>104</v>
      </c>
      <c r="F171" s="5" t="s">
        <v>5</v>
      </c>
      <c r="G171" s="3">
        <v>1044</v>
      </c>
      <c r="H171" s="5">
        <v>7.3</v>
      </c>
      <c r="I171" s="9">
        <v>182.3</v>
      </c>
      <c r="J171" s="7">
        <v>9.09</v>
      </c>
      <c r="K171" s="7">
        <v>8.49</v>
      </c>
      <c r="L171" s="5">
        <v>82.5</v>
      </c>
      <c r="M171" s="7">
        <v>8.67</v>
      </c>
      <c r="N171" s="3">
        <v>30</v>
      </c>
      <c r="O171" s="3">
        <v>32</v>
      </c>
      <c r="P171" s="3">
        <v>11</v>
      </c>
      <c r="Q171" s="3">
        <v>48</v>
      </c>
      <c r="R171" s="3">
        <v>9</v>
      </c>
      <c r="S171" s="9">
        <v>356</v>
      </c>
      <c r="T171" s="3">
        <f>O171-N171</f>
        <v>2</v>
      </c>
      <c r="U171" s="9">
        <f>(T171/O171)*100</f>
        <v>6.25</v>
      </c>
      <c r="V171" s="3">
        <f>Q171-P171</f>
        <v>37</v>
      </c>
      <c r="W171" s="13" t="s">
        <v>5</v>
      </c>
    </row>
    <row r="172" spans="1:23">
      <c r="A172" s="2">
        <v>45238</v>
      </c>
      <c r="B172" s="9">
        <f t="shared" ref="B172:B185" si="6">TEXT((A172-DATEVALUE("1/1/"&amp;TEXT(A172,"yy"))+1),"000")+365</f>
        <v>677</v>
      </c>
      <c r="C172" s="3" t="s">
        <v>80</v>
      </c>
      <c r="D172" s="3" t="s">
        <v>21</v>
      </c>
      <c r="E172" s="13" t="s">
        <v>102</v>
      </c>
      <c r="F172" s="5">
        <v>3</v>
      </c>
      <c r="G172" s="5" t="s">
        <v>5</v>
      </c>
      <c r="H172" s="5" t="s">
        <v>5</v>
      </c>
      <c r="I172" s="5" t="s">
        <v>5</v>
      </c>
      <c r="J172" s="5" t="s">
        <v>5</v>
      </c>
      <c r="K172" s="5" t="s">
        <v>5</v>
      </c>
      <c r="L172" s="5" t="s">
        <v>5</v>
      </c>
      <c r="M172" s="5" t="s">
        <v>5</v>
      </c>
      <c r="N172" s="5" t="s">
        <v>5</v>
      </c>
      <c r="O172" s="5" t="s">
        <v>5</v>
      </c>
      <c r="P172" s="5" t="s">
        <v>5</v>
      </c>
      <c r="Q172" s="5" t="s">
        <v>5</v>
      </c>
      <c r="R172" s="5" t="s">
        <v>5</v>
      </c>
      <c r="S172" s="5" t="s">
        <v>5</v>
      </c>
      <c r="T172" s="5" t="s">
        <v>5</v>
      </c>
      <c r="U172" s="5" t="s">
        <v>5</v>
      </c>
      <c r="V172" s="5" t="s">
        <v>5</v>
      </c>
      <c r="W172" s="18" t="s">
        <v>5</v>
      </c>
    </row>
    <row r="173" spans="1:23">
      <c r="A173" s="2">
        <v>45238</v>
      </c>
      <c r="B173" s="9">
        <f t="shared" si="6"/>
        <v>677</v>
      </c>
      <c r="C173" s="3" t="s">
        <v>80</v>
      </c>
      <c r="D173" s="3" t="s">
        <v>6</v>
      </c>
      <c r="E173" s="13" t="s">
        <v>104</v>
      </c>
      <c r="F173" s="5" t="s">
        <v>5</v>
      </c>
      <c r="G173" s="3">
        <v>1100</v>
      </c>
      <c r="H173" s="5">
        <v>6.8</v>
      </c>
      <c r="I173" s="9">
        <v>226.4</v>
      </c>
      <c r="J173" s="7">
        <v>9.07</v>
      </c>
      <c r="K173" s="7">
        <v>8.09</v>
      </c>
      <c r="L173" s="5">
        <v>77.099999999999994</v>
      </c>
      <c r="M173" s="7">
        <v>8.2100000000000009</v>
      </c>
      <c r="N173" s="3">
        <v>28</v>
      </c>
      <c r="O173" s="3">
        <v>40</v>
      </c>
      <c r="P173" s="3">
        <v>7</v>
      </c>
      <c r="Q173" s="3">
        <v>70</v>
      </c>
      <c r="R173" s="3">
        <v>38</v>
      </c>
      <c r="S173" s="9">
        <v>800</v>
      </c>
      <c r="T173" s="3">
        <f>O173-N173</f>
        <v>12</v>
      </c>
      <c r="U173" s="9">
        <f>(T173/O173)*100</f>
        <v>30</v>
      </c>
      <c r="V173" s="3">
        <f>Q173-P173</f>
        <v>63</v>
      </c>
      <c r="W173" s="13" t="s">
        <v>148</v>
      </c>
    </row>
    <row r="174" spans="1:23">
      <c r="A174" s="2">
        <v>45238</v>
      </c>
      <c r="B174" s="9">
        <f t="shared" si="6"/>
        <v>677</v>
      </c>
      <c r="C174" s="3" t="s">
        <v>80</v>
      </c>
      <c r="D174" s="3" t="s">
        <v>7</v>
      </c>
      <c r="E174" s="13" t="s">
        <v>104</v>
      </c>
      <c r="F174" s="5" t="s">
        <v>5</v>
      </c>
      <c r="G174" s="3">
        <v>1132</v>
      </c>
      <c r="H174" s="5">
        <v>5.8</v>
      </c>
      <c r="I174" s="9">
        <v>316.2</v>
      </c>
      <c r="J174" s="7">
        <v>9.0380000000000003</v>
      </c>
      <c r="K174" s="7">
        <v>8.17</v>
      </c>
      <c r="L174" s="5">
        <v>66.599999999999994</v>
      </c>
      <c r="M174" s="7">
        <v>7.27</v>
      </c>
      <c r="N174" s="3">
        <v>167</v>
      </c>
      <c r="O174" s="3">
        <v>210</v>
      </c>
      <c r="P174" s="3">
        <v>110</v>
      </c>
      <c r="Q174" s="3">
        <v>192</v>
      </c>
      <c r="R174" s="3">
        <v>36</v>
      </c>
      <c r="S174" s="3">
        <v>2370</v>
      </c>
      <c r="T174" s="3">
        <f>O174-N174</f>
        <v>43</v>
      </c>
      <c r="U174" s="9">
        <f>(T174/O174)*100</f>
        <v>20.476190476190474</v>
      </c>
      <c r="V174" s="3">
        <f>Q174-P174</f>
        <v>82</v>
      </c>
      <c r="W174" s="13" t="s">
        <v>5</v>
      </c>
    </row>
    <row r="175" spans="1:23">
      <c r="A175" s="2">
        <v>45238</v>
      </c>
      <c r="B175" s="9">
        <f t="shared" si="6"/>
        <v>677</v>
      </c>
      <c r="C175" s="3" t="s">
        <v>80</v>
      </c>
      <c r="D175" s="3" t="s">
        <v>72</v>
      </c>
      <c r="E175" s="13" t="s">
        <v>103</v>
      </c>
      <c r="F175" s="5" t="s">
        <v>5</v>
      </c>
      <c r="G175" s="3" t="s">
        <v>5</v>
      </c>
      <c r="H175" s="5" t="s">
        <v>5</v>
      </c>
      <c r="I175" s="3" t="s">
        <v>5</v>
      </c>
      <c r="J175" s="3" t="s">
        <v>5</v>
      </c>
      <c r="K175" s="3" t="s">
        <v>5</v>
      </c>
      <c r="L175" s="3" t="s">
        <v>5</v>
      </c>
      <c r="M175" s="3" t="s">
        <v>5</v>
      </c>
      <c r="N175" s="3">
        <v>0</v>
      </c>
      <c r="O175" s="3">
        <v>0</v>
      </c>
      <c r="P175" s="3">
        <v>0</v>
      </c>
      <c r="Q175" s="10">
        <v>17</v>
      </c>
      <c r="R175" s="3">
        <v>0</v>
      </c>
      <c r="S175" s="9">
        <v>0</v>
      </c>
      <c r="T175" s="3">
        <f>O175-N175</f>
        <v>0</v>
      </c>
      <c r="U175" s="9" t="s">
        <v>5</v>
      </c>
      <c r="V175" s="3">
        <f>Q175-P175</f>
        <v>17</v>
      </c>
      <c r="W175" s="13" t="s">
        <v>153</v>
      </c>
    </row>
    <row r="176" spans="1:23">
      <c r="A176" s="2">
        <v>45238</v>
      </c>
      <c r="B176" s="9">
        <f t="shared" si="6"/>
        <v>677</v>
      </c>
      <c r="C176" s="3" t="s">
        <v>80</v>
      </c>
      <c r="D176" s="3" t="s">
        <v>8</v>
      </c>
      <c r="E176" s="13" t="s">
        <v>104</v>
      </c>
      <c r="F176" s="5">
        <v>1.46</v>
      </c>
      <c r="G176" s="3">
        <v>1116</v>
      </c>
      <c r="H176" s="5">
        <v>5.8</v>
      </c>
      <c r="I176" s="9">
        <v>351.8</v>
      </c>
      <c r="J176" s="7">
        <v>9.0329999999999995</v>
      </c>
      <c r="K176" s="7">
        <v>8.33</v>
      </c>
      <c r="L176" s="5">
        <v>67.400000000000006</v>
      </c>
      <c r="M176" s="7">
        <v>7.36</v>
      </c>
      <c r="N176" s="3">
        <v>115</v>
      </c>
      <c r="O176" s="3">
        <v>132</v>
      </c>
      <c r="P176" s="3">
        <v>72</v>
      </c>
      <c r="Q176" s="3">
        <v>32</v>
      </c>
      <c r="R176" s="3">
        <v>0</v>
      </c>
      <c r="S176" s="9">
        <v>2040</v>
      </c>
      <c r="T176" s="3">
        <f>O176-N176</f>
        <v>17</v>
      </c>
      <c r="U176" s="9">
        <f>(T176/O176)*100</f>
        <v>12.878787878787879</v>
      </c>
      <c r="V176" s="9">
        <f>S176/O176</f>
        <v>15.454545454545455</v>
      </c>
      <c r="W176" s="13" t="s">
        <v>149</v>
      </c>
    </row>
    <row r="177" spans="1:23">
      <c r="A177" s="2">
        <v>45238</v>
      </c>
      <c r="B177" s="9">
        <f t="shared" si="6"/>
        <v>677</v>
      </c>
      <c r="C177" s="3" t="s">
        <v>80</v>
      </c>
      <c r="D177" s="3" t="s">
        <v>20</v>
      </c>
      <c r="E177" s="13" t="s">
        <v>102</v>
      </c>
      <c r="F177" s="5">
        <v>1.48</v>
      </c>
      <c r="G177" s="5" t="s">
        <v>5</v>
      </c>
      <c r="H177" s="5" t="s">
        <v>5</v>
      </c>
      <c r="I177" s="5" t="s">
        <v>5</v>
      </c>
      <c r="J177" s="5" t="s">
        <v>5</v>
      </c>
      <c r="K177" s="5" t="s">
        <v>5</v>
      </c>
      <c r="L177" s="5" t="s">
        <v>5</v>
      </c>
      <c r="M177" s="5" t="s">
        <v>5</v>
      </c>
      <c r="N177" s="5" t="s">
        <v>5</v>
      </c>
      <c r="O177" s="5" t="s">
        <v>5</v>
      </c>
      <c r="P177" s="5" t="s">
        <v>5</v>
      </c>
      <c r="Q177" s="5" t="s">
        <v>5</v>
      </c>
      <c r="R177" s="5" t="s">
        <v>5</v>
      </c>
      <c r="S177" s="5" t="s">
        <v>5</v>
      </c>
      <c r="T177" s="5" t="s">
        <v>5</v>
      </c>
      <c r="U177" s="5" t="s">
        <v>5</v>
      </c>
      <c r="V177" s="5" t="s">
        <v>5</v>
      </c>
      <c r="W177" s="18" t="s">
        <v>5</v>
      </c>
    </row>
    <row r="178" spans="1:23">
      <c r="A178" s="2">
        <v>45273</v>
      </c>
      <c r="B178" s="9">
        <f t="shared" si="6"/>
        <v>712</v>
      </c>
      <c r="C178" s="3" t="s">
        <v>80</v>
      </c>
      <c r="D178" s="3" t="s">
        <v>33</v>
      </c>
      <c r="E178" s="13" t="s">
        <v>102</v>
      </c>
      <c r="F178" s="5">
        <v>3.24</v>
      </c>
      <c r="G178" s="5" t="s">
        <v>5</v>
      </c>
      <c r="H178" s="5" t="s">
        <v>5</v>
      </c>
      <c r="I178" s="5" t="s">
        <v>5</v>
      </c>
      <c r="J178" s="5" t="s">
        <v>5</v>
      </c>
      <c r="K178" s="5" t="s">
        <v>5</v>
      </c>
      <c r="L178" s="5" t="s">
        <v>5</v>
      </c>
      <c r="M178" s="5" t="s">
        <v>5</v>
      </c>
      <c r="N178" s="5" t="s">
        <v>5</v>
      </c>
      <c r="O178" s="5" t="s">
        <v>5</v>
      </c>
      <c r="P178" s="5" t="s">
        <v>5</v>
      </c>
      <c r="Q178" s="5" t="s">
        <v>5</v>
      </c>
      <c r="R178" s="5" t="s">
        <v>5</v>
      </c>
      <c r="S178" s="5" t="s">
        <v>5</v>
      </c>
      <c r="T178" s="5" t="s">
        <v>5</v>
      </c>
      <c r="U178" s="5" t="s">
        <v>5</v>
      </c>
      <c r="V178" s="5" t="s">
        <v>5</v>
      </c>
      <c r="W178" s="13" t="s">
        <v>156</v>
      </c>
    </row>
    <row r="179" spans="1:23">
      <c r="A179" s="2">
        <v>45273</v>
      </c>
      <c r="B179" s="9">
        <f t="shared" si="6"/>
        <v>712</v>
      </c>
      <c r="C179" s="3" t="s">
        <v>80</v>
      </c>
      <c r="D179" s="3" t="s">
        <v>4</v>
      </c>
      <c r="E179" s="13" t="s">
        <v>104</v>
      </c>
      <c r="F179" s="5" t="s">
        <v>5</v>
      </c>
      <c r="G179" s="3">
        <v>932</v>
      </c>
      <c r="H179" s="5">
        <v>4.4000000000000004</v>
      </c>
      <c r="I179" s="9">
        <v>184.2</v>
      </c>
      <c r="J179" s="7">
        <v>9.0399999999999991</v>
      </c>
      <c r="K179" s="7">
        <v>8.11</v>
      </c>
      <c r="L179" s="5">
        <v>81.900000000000006</v>
      </c>
      <c r="M179" s="7">
        <v>9.2100000000000009</v>
      </c>
      <c r="N179" s="3">
        <v>45</v>
      </c>
      <c r="O179" s="3">
        <v>67</v>
      </c>
      <c r="P179" s="3">
        <v>24</v>
      </c>
      <c r="Q179" s="3">
        <v>43</v>
      </c>
      <c r="R179" s="3">
        <v>111</v>
      </c>
      <c r="S179" s="9">
        <v>335</v>
      </c>
      <c r="T179" s="3">
        <f>O179-N179</f>
        <v>22</v>
      </c>
      <c r="U179" s="9">
        <f>(T179/O179)*100</f>
        <v>32.835820895522389</v>
      </c>
      <c r="V179" s="9">
        <f>S179/O179</f>
        <v>5</v>
      </c>
      <c r="W179" s="13" t="s">
        <v>127</v>
      </c>
    </row>
    <row r="180" spans="1:23">
      <c r="A180" s="2">
        <v>45273</v>
      </c>
      <c r="B180" s="9">
        <f t="shared" si="6"/>
        <v>712</v>
      </c>
      <c r="C180" s="3" t="s">
        <v>80</v>
      </c>
      <c r="D180" s="3" t="s">
        <v>21</v>
      </c>
      <c r="E180" s="13" t="s">
        <v>102</v>
      </c>
      <c r="F180" s="5">
        <v>3.25</v>
      </c>
      <c r="G180" s="5" t="s">
        <v>5</v>
      </c>
      <c r="H180" s="5" t="s">
        <v>5</v>
      </c>
      <c r="I180" s="5" t="s">
        <v>5</v>
      </c>
      <c r="J180" s="5" t="s">
        <v>5</v>
      </c>
      <c r="K180" s="5" t="s">
        <v>5</v>
      </c>
      <c r="L180" s="5" t="s">
        <v>5</v>
      </c>
      <c r="M180" s="5" t="s">
        <v>5</v>
      </c>
      <c r="N180" s="5" t="s">
        <v>5</v>
      </c>
      <c r="O180" s="5" t="s">
        <v>5</v>
      </c>
      <c r="P180" s="5" t="s">
        <v>5</v>
      </c>
      <c r="Q180" s="5" t="s">
        <v>5</v>
      </c>
      <c r="R180" s="5" t="s">
        <v>5</v>
      </c>
      <c r="S180" s="5" t="s">
        <v>5</v>
      </c>
      <c r="T180" s="5" t="s">
        <v>5</v>
      </c>
      <c r="U180" s="5" t="s">
        <v>5</v>
      </c>
      <c r="V180" s="5" t="s">
        <v>5</v>
      </c>
      <c r="W180" s="13" t="s">
        <v>5</v>
      </c>
    </row>
    <row r="181" spans="1:23">
      <c r="A181" s="2">
        <v>45273</v>
      </c>
      <c r="B181" s="9">
        <f t="shared" si="6"/>
        <v>712</v>
      </c>
      <c r="C181" s="3" t="s">
        <v>80</v>
      </c>
      <c r="D181" s="3" t="s">
        <v>6</v>
      </c>
      <c r="E181" s="13" t="s">
        <v>104</v>
      </c>
      <c r="F181" s="5" t="s">
        <v>5</v>
      </c>
      <c r="G181" s="3">
        <v>940</v>
      </c>
      <c r="H181" s="5">
        <v>3.5</v>
      </c>
      <c r="I181" s="9">
        <v>218.6</v>
      </c>
      <c r="J181" s="7">
        <v>9.0370000000000008</v>
      </c>
      <c r="K181" s="7">
        <v>7.6</v>
      </c>
      <c r="L181" s="5">
        <v>69.900000000000006</v>
      </c>
      <c r="M181" s="7">
        <v>8.0500000000000007</v>
      </c>
      <c r="N181" s="3">
        <v>35</v>
      </c>
      <c r="O181" s="3">
        <v>72</v>
      </c>
      <c r="P181" s="3">
        <v>11</v>
      </c>
      <c r="Q181" s="3">
        <v>235</v>
      </c>
      <c r="R181" s="3">
        <v>140</v>
      </c>
      <c r="S181" s="9">
        <v>1230</v>
      </c>
      <c r="T181" s="3">
        <f>O181-N181</f>
        <v>37</v>
      </c>
      <c r="U181" s="9">
        <f>(T181/O181)*100</f>
        <v>51.388888888888886</v>
      </c>
      <c r="V181" s="9">
        <f>S181/O181</f>
        <v>17.083333333333332</v>
      </c>
      <c r="W181" s="13" t="s">
        <v>5</v>
      </c>
    </row>
    <row r="182" spans="1:23">
      <c r="A182" s="2">
        <v>45273</v>
      </c>
      <c r="B182" s="9">
        <f t="shared" si="6"/>
        <v>712</v>
      </c>
      <c r="C182" s="3" t="s">
        <v>80</v>
      </c>
      <c r="D182" s="3" t="s">
        <v>7</v>
      </c>
      <c r="E182" s="13" t="s">
        <v>104</v>
      </c>
      <c r="F182" s="5" t="s">
        <v>5</v>
      </c>
      <c r="G182" s="3">
        <v>1007</v>
      </c>
      <c r="H182" s="5">
        <v>2.2000000000000002</v>
      </c>
      <c r="I182" s="9">
        <v>496.1</v>
      </c>
      <c r="J182" s="7">
        <v>8.98</v>
      </c>
      <c r="K182" s="7">
        <v>7.88</v>
      </c>
      <c r="L182" s="5">
        <v>80.3</v>
      </c>
      <c r="M182" s="7">
        <v>9.5399999999999991</v>
      </c>
      <c r="N182" s="3">
        <v>250</v>
      </c>
      <c r="O182" s="3">
        <v>549</v>
      </c>
      <c r="P182" s="3">
        <v>167</v>
      </c>
      <c r="Q182" s="3">
        <v>599</v>
      </c>
      <c r="R182" s="3">
        <v>49</v>
      </c>
      <c r="S182" s="9">
        <v>4110</v>
      </c>
      <c r="T182" s="3">
        <f>O182-N182</f>
        <v>299</v>
      </c>
      <c r="U182" s="9">
        <f>(T182/O182)*100</f>
        <v>54.462659380692166</v>
      </c>
      <c r="V182" s="9">
        <f>S182/O182</f>
        <v>7.4863387978142075</v>
      </c>
      <c r="W182" s="13" t="s">
        <v>5</v>
      </c>
    </row>
    <row r="183" spans="1:23">
      <c r="A183" s="2">
        <v>45273</v>
      </c>
      <c r="B183" s="9">
        <f t="shared" si="6"/>
        <v>712</v>
      </c>
      <c r="C183" s="3" t="s">
        <v>80</v>
      </c>
      <c r="D183" s="3" t="s">
        <v>35</v>
      </c>
      <c r="E183" s="13" t="s">
        <v>103</v>
      </c>
      <c r="F183" s="5" t="s">
        <v>5</v>
      </c>
      <c r="G183" s="5" t="s">
        <v>5</v>
      </c>
      <c r="H183" s="5" t="s">
        <v>5</v>
      </c>
      <c r="I183" s="5" t="s">
        <v>5</v>
      </c>
      <c r="J183" s="5" t="s">
        <v>5</v>
      </c>
      <c r="K183" s="5" t="s">
        <v>5</v>
      </c>
      <c r="L183" s="5" t="s">
        <v>5</v>
      </c>
      <c r="M183" s="5" t="s">
        <v>5</v>
      </c>
      <c r="N183" s="3">
        <v>247</v>
      </c>
      <c r="O183" s="3">
        <v>550</v>
      </c>
      <c r="P183" s="3">
        <v>151</v>
      </c>
      <c r="Q183" s="3">
        <v>503</v>
      </c>
      <c r="R183" s="3">
        <v>43</v>
      </c>
      <c r="S183" s="9">
        <v>4680</v>
      </c>
      <c r="T183" s="3">
        <f>O183-N183</f>
        <v>303</v>
      </c>
      <c r="U183" s="9">
        <f>(T183/O183)*100</f>
        <v>55.090909090909093</v>
      </c>
      <c r="V183" s="9">
        <f>S183/O183</f>
        <v>8.5090909090909097</v>
      </c>
      <c r="W183" s="13" t="s">
        <v>157</v>
      </c>
    </row>
    <row r="184" spans="1:23">
      <c r="A184" s="2">
        <v>45273</v>
      </c>
      <c r="B184" s="9">
        <f t="shared" si="6"/>
        <v>712</v>
      </c>
      <c r="C184" s="3" t="s">
        <v>80</v>
      </c>
      <c r="D184" s="3" t="s">
        <v>8</v>
      </c>
      <c r="E184" s="13" t="s">
        <v>104</v>
      </c>
      <c r="F184" s="5">
        <v>1.65</v>
      </c>
      <c r="G184" s="3">
        <v>953</v>
      </c>
      <c r="H184" s="5">
        <v>3.7</v>
      </c>
      <c r="I184" s="9">
        <v>487.1</v>
      </c>
      <c r="J184" s="7">
        <v>8.99</v>
      </c>
      <c r="K184" s="7">
        <v>7.79</v>
      </c>
      <c r="L184" s="5">
        <v>75.099999999999994</v>
      </c>
      <c r="M184" s="7">
        <v>8.6</v>
      </c>
      <c r="N184" s="3">
        <v>292</v>
      </c>
      <c r="O184" s="3">
        <v>510</v>
      </c>
      <c r="P184" s="3">
        <v>236</v>
      </c>
      <c r="Q184" s="3">
        <v>108</v>
      </c>
      <c r="R184" s="3">
        <v>26</v>
      </c>
      <c r="S184" s="9">
        <v>3350</v>
      </c>
      <c r="T184" s="3">
        <f>O184-N184</f>
        <v>218</v>
      </c>
      <c r="U184" s="9">
        <f>(T184/O184)*100</f>
        <v>42.745098039215684</v>
      </c>
      <c r="V184" s="9">
        <f>S184/O184</f>
        <v>6.5686274509803919</v>
      </c>
      <c r="W184" s="13" t="s">
        <v>5</v>
      </c>
    </row>
    <row r="185" spans="1:23">
      <c r="A185" s="2">
        <v>45273</v>
      </c>
      <c r="B185" s="9">
        <f t="shared" si="6"/>
        <v>712</v>
      </c>
      <c r="C185" s="3" t="s">
        <v>80</v>
      </c>
      <c r="D185" s="3" t="s">
        <v>20</v>
      </c>
      <c r="E185" s="13" t="s">
        <v>102</v>
      </c>
      <c r="F185" s="5">
        <v>1.7</v>
      </c>
      <c r="G185" s="5" t="s">
        <v>5</v>
      </c>
      <c r="H185" s="5" t="s">
        <v>5</v>
      </c>
      <c r="I185" s="5" t="s">
        <v>5</v>
      </c>
      <c r="J185" s="5" t="s">
        <v>5</v>
      </c>
      <c r="K185" s="5" t="s">
        <v>5</v>
      </c>
      <c r="L185" s="5" t="s">
        <v>5</v>
      </c>
      <c r="M185" s="5" t="s">
        <v>5</v>
      </c>
      <c r="N185" s="5" t="s">
        <v>5</v>
      </c>
      <c r="O185" s="5" t="s">
        <v>5</v>
      </c>
      <c r="P185" s="5" t="s">
        <v>5</v>
      </c>
      <c r="Q185" s="5" t="s">
        <v>5</v>
      </c>
      <c r="R185" s="5" t="s">
        <v>5</v>
      </c>
      <c r="S185" s="5" t="s">
        <v>5</v>
      </c>
      <c r="T185" s="5" t="s">
        <v>5</v>
      </c>
      <c r="U185" s="5" t="s">
        <v>5</v>
      </c>
      <c r="V185" s="5" t="s">
        <v>5</v>
      </c>
      <c r="W185" s="13" t="s">
        <v>5</v>
      </c>
    </row>
    <row r="186" spans="1:23">
      <c r="A186" s="2">
        <v>45295</v>
      </c>
      <c r="B186" s="9">
        <f t="shared" ref="B186:B217" si="7">TEXT((A186-DATEVALUE("1/1/"&amp;TEXT(A186,"yy"))+1),"000")+365+365</f>
        <v>734</v>
      </c>
      <c r="C186" s="3" t="s">
        <v>80</v>
      </c>
      <c r="D186" s="3" t="s">
        <v>33</v>
      </c>
      <c r="E186" s="13" t="s">
        <v>102</v>
      </c>
      <c r="F186" s="5">
        <v>3.4</v>
      </c>
      <c r="G186" s="5" t="s">
        <v>5</v>
      </c>
      <c r="H186" s="5" t="s">
        <v>5</v>
      </c>
      <c r="I186" s="5" t="s">
        <v>5</v>
      </c>
      <c r="J186" s="5" t="s">
        <v>5</v>
      </c>
      <c r="K186" s="5" t="s">
        <v>5</v>
      </c>
      <c r="L186" s="5" t="s">
        <v>5</v>
      </c>
      <c r="M186" s="5" t="s">
        <v>5</v>
      </c>
      <c r="N186" s="5" t="s">
        <v>5</v>
      </c>
      <c r="O186" s="5" t="s">
        <v>5</v>
      </c>
      <c r="P186" s="5" t="s">
        <v>5</v>
      </c>
      <c r="Q186" s="5" t="s">
        <v>5</v>
      </c>
      <c r="R186" s="5" t="s">
        <v>5</v>
      </c>
      <c r="S186" s="5" t="s">
        <v>5</v>
      </c>
      <c r="T186" s="5" t="s">
        <v>5</v>
      </c>
      <c r="U186" s="5" t="s">
        <v>5</v>
      </c>
      <c r="V186" s="5" t="s">
        <v>5</v>
      </c>
      <c r="W186" s="18" t="s">
        <v>5</v>
      </c>
    </row>
    <row r="187" spans="1:23">
      <c r="A187" s="2">
        <v>45295</v>
      </c>
      <c r="B187" s="9">
        <f t="shared" si="7"/>
        <v>734</v>
      </c>
      <c r="C187" s="3" t="s">
        <v>80</v>
      </c>
      <c r="D187" s="3" t="s">
        <v>4</v>
      </c>
      <c r="E187" s="13" t="s">
        <v>104</v>
      </c>
      <c r="F187" s="5" t="s">
        <v>5</v>
      </c>
      <c r="G187" s="3">
        <v>904</v>
      </c>
      <c r="H187" s="5">
        <v>3.2</v>
      </c>
      <c r="I187" s="9">
        <v>182.4</v>
      </c>
      <c r="J187" s="7">
        <v>8.9949999999999992</v>
      </c>
      <c r="K187" s="7">
        <v>8.2899999999999991</v>
      </c>
      <c r="L187" s="5">
        <v>86.9</v>
      </c>
      <c r="M187" s="7">
        <v>10.119999999999999</v>
      </c>
      <c r="N187" s="3">
        <v>55</v>
      </c>
      <c r="O187" s="3">
        <v>59</v>
      </c>
      <c r="P187" s="3">
        <v>20</v>
      </c>
      <c r="Q187" s="3">
        <v>25</v>
      </c>
      <c r="R187" s="3">
        <v>57</v>
      </c>
      <c r="S187" s="9">
        <v>249</v>
      </c>
      <c r="T187" s="3">
        <f>O187-N187</f>
        <v>4</v>
      </c>
      <c r="U187" s="9">
        <f>(T187/O187)*100</f>
        <v>6.7796610169491522</v>
      </c>
      <c r="V187" s="9">
        <f>S187/O187</f>
        <v>4.2203389830508478</v>
      </c>
      <c r="W187" s="13" t="s">
        <v>5</v>
      </c>
    </row>
    <row r="188" spans="1:23">
      <c r="A188" s="2">
        <v>45295</v>
      </c>
      <c r="B188" s="9">
        <f t="shared" si="7"/>
        <v>734</v>
      </c>
      <c r="C188" s="3" t="s">
        <v>80</v>
      </c>
      <c r="D188" s="3" t="s">
        <v>21</v>
      </c>
      <c r="E188" s="13" t="s">
        <v>102</v>
      </c>
      <c r="F188" s="5">
        <v>3.15</v>
      </c>
      <c r="G188" s="5" t="s">
        <v>5</v>
      </c>
      <c r="H188" s="5" t="s">
        <v>5</v>
      </c>
      <c r="I188" s="5" t="s">
        <v>5</v>
      </c>
      <c r="J188" s="5" t="s">
        <v>5</v>
      </c>
      <c r="K188" s="5" t="s">
        <v>5</v>
      </c>
      <c r="L188" s="5" t="s">
        <v>5</v>
      </c>
      <c r="M188" s="5" t="s">
        <v>5</v>
      </c>
      <c r="N188" s="5" t="s">
        <v>5</v>
      </c>
      <c r="O188" s="5" t="s">
        <v>5</v>
      </c>
      <c r="P188" s="5" t="s">
        <v>5</v>
      </c>
      <c r="Q188" s="5" t="s">
        <v>5</v>
      </c>
      <c r="R188" s="5" t="s">
        <v>5</v>
      </c>
      <c r="S188" s="5" t="s">
        <v>5</v>
      </c>
      <c r="T188" s="5" t="s">
        <v>5</v>
      </c>
      <c r="U188" s="5" t="s">
        <v>5</v>
      </c>
      <c r="V188" s="5" t="s">
        <v>5</v>
      </c>
      <c r="W188" s="18" t="s">
        <v>5</v>
      </c>
    </row>
    <row r="189" spans="1:23">
      <c r="A189" s="2">
        <v>45295</v>
      </c>
      <c r="B189" s="9">
        <f t="shared" si="7"/>
        <v>734</v>
      </c>
      <c r="C189" s="3" t="s">
        <v>80</v>
      </c>
      <c r="D189" s="3" t="s">
        <v>6</v>
      </c>
      <c r="E189" s="13" t="s">
        <v>104</v>
      </c>
      <c r="F189" s="5" t="s">
        <v>5</v>
      </c>
      <c r="G189" s="3">
        <v>912</v>
      </c>
      <c r="H189" s="5">
        <v>2.1</v>
      </c>
      <c r="I189" s="9">
        <v>218</v>
      </c>
      <c r="J189" s="7">
        <v>9.0719999999999992</v>
      </c>
      <c r="K189" s="7">
        <v>7.96</v>
      </c>
      <c r="L189" s="5">
        <v>83.8</v>
      </c>
      <c r="M189" s="7">
        <v>10</v>
      </c>
      <c r="N189" s="3">
        <v>29</v>
      </c>
      <c r="O189" s="3">
        <v>65</v>
      </c>
      <c r="P189" s="3">
        <v>5</v>
      </c>
      <c r="Q189" s="3">
        <v>68</v>
      </c>
      <c r="R189" s="3">
        <v>160</v>
      </c>
      <c r="S189" s="9">
        <v>1130</v>
      </c>
      <c r="T189" s="3">
        <f>O189-N189</f>
        <v>36</v>
      </c>
      <c r="U189" s="9">
        <f>(T189/O189)*100</f>
        <v>55.384615384615387</v>
      </c>
      <c r="V189" s="9">
        <f>S189/O189</f>
        <v>17.384615384615383</v>
      </c>
      <c r="W189" s="13" t="s">
        <v>5</v>
      </c>
    </row>
    <row r="190" spans="1:23">
      <c r="A190" s="2">
        <v>45295</v>
      </c>
      <c r="B190" s="9">
        <f t="shared" si="7"/>
        <v>734</v>
      </c>
      <c r="C190" s="3" t="s">
        <v>80</v>
      </c>
      <c r="D190" s="3" t="s">
        <v>7</v>
      </c>
      <c r="E190" s="13" t="s">
        <v>104</v>
      </c>
      <c r="F190" s="5" t="s">
        <v>5</v>
      </c>
      <c r="G190" s="3">
        <v>941</v>
      </c>
      <c r="H190" s="5">
        <v>1</v>
      </c>
      <c r="I190" s="9">
        <v>445.3</v>
      </c>
      <c r="J190" s="7">
        <v>9.0220000000000002</v>
      </c>
      <c r="K190" s="7">
        <v>8.27</v>
      </c>
      <c r="L190" s="5">
        <v>85.5</v>
      </c>
      <c r="M190" s="7">
        <v>10.52</v>
      </c>
      <c r="N190" s="3">
        <v>125</v>
      </c>
      <c r="O190" s="3">
        <v>313</v>
      </c>
      <c r="P190" s="3">
        <v>64</v>
      </c>
      <c r="Q190" s="3">
        <v>45</v>
      </c>
      <c r="R190" s="3">
        <v>0</v>
      </c>
      <c r="S190" s="3">
        <v>2900</v>
      </c>
      <c r="T190" s="3">
        <f>O190-N190</f>
        <v>188</v>
      </c>
      <c r="U190" s="9">
        <f>(T190/O190)*100</f>
        <v>60.063897763578275</v>
      </c>
      <c r="V190" s="9">
        <f>S190/O190</f>
        <v>9.2651757188498394</v>
      </c>
      <c r="W190" s="13" t="s">
        <v>159</v>
      </c>
    </row>
    <row r="191" spans="1:23">
      <c r="A191" s="2">
        <v>45295</v>
      </c>
      <c r="B191" s="9">
        <f t="shared" si="7"/>
        <v>734</v>
      </c>
      <c r="C191" s="3" t="s">
        <v>80</v>
      </c>
      <c r="D191" s="3" t="s">
        <v>72</v>
      </c>
      <c r="E191" s="13" t="s">
        <v>103</v>
      </c>
      <c r="F191" s="5" t="s">
        <v>5</v>
      </c>
      <c r="G191" s="5" t="s">
        <v>5</v>
      </c>
      <c r="H191" s="5" t="s">
        <v>5</v>
      </c>
      <c r="I191" s="5" t="s">
        <v>5</v>
      </c>
      <c r="J191" s="5" t="s">
        <v>5</v>
      </c>
      <c r="K191" s="5" t="s">
        <v>5</v>
      </c>
      <c r="L191" s="5" t="s">
        <v>5</v>
      </c>
      <c r="M191" s="5" t="s">
        <v>5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9">
        <v>0</v>
      </c>
      <c r="T191" s="3">
        <f>O191-N191</f>
        <v>0</v>
      </c>
      <c r="U191" s="9">
        <v>0</v>
      </c>
      <c r="V191" s="9">
        <v>0</v>
      </c>
      <c r="W191" s="13" t="s">
        <v>77</v>
      </c>
    </row>
    <row r="192" spans="1:23">
      <c r="A192" s="2">
        <v>45295</v>
      </c>
      <c r="B192" s="9">
        <f t="shared" si="7"/>
        <v>734</v>
      </c>
      <c r="C192" s="3" t="s">
        <v>80</v>
      </c>
      <c r="D192" s="3" t="s">
        <v>8</v>
      </c>
      <c r="E192" s="13" t="s">
        <v>104</v>
      </c>
      <c r="F192" s="5">
        <v>1.92</v>
      </c>
      <c r="G192" s="3">
        <v>927</v>
      </c>
      <c r="H192" s="5">
        <v>2.1</v>
      </c>
      <c r="I192" s="9">
        <v>466.5</v>
      </c>
      <c r="J192" s="7">
        <v>8.9819999999999993</v>
      </c>
      <c r="K192" s="7">
        <v>8.23</v>
      </c>
      <c r="L192" s="5">
        <v>84.6</v>
      </c>
      <c r="M192" s="7">
        <v>10.14</v>
      </c>
      <c r="N192" s="3">
        <v>147</v>
      </c>
      <c r="O192" s="3">
        <v>253</v>
      </c>
      <c r="P192" s="3">
        <v>105</v>
      </c>
      <c r="Q192" s="3">
        <v>32</v>
      </c>
      <c r="R192" s="3">
        <v>27</v>
      </c>
      <c r="S192" s="9">
        <v>2440</v>
      </c>
      <c r="T192" s="3">
        <f>O192-N192</f>
        <v>106</v>
      </c>
      <c r="U192" s="9">
        <f>(T192/O192)*100</f>
        <v>41.897233201581031</v>
      </c>
      <c r="V192" s="9">
        <f>S192/O192</f>
        <v>9.6442687747035567</v>
      </c>
      <c r="W192" s="13" t="s">
        <v>158</v>
      </c>
    </row>
    <row r="193" spans="1:23">
      <c r="A193" s="2">
        <v>45295</v>
      </c>
      <c r="B193" s="9">
        <f t="shared" si="7"/>
        <v>734</v>
      </c>
      <c r="C193" s="3" t="s">
        <v>80</v>
      </c>
      <c r="D193" s="3" t="s">
        <v>20</v>
      </c>
      <c r="E193" s="13" t="s">
        <v>102</v>
      </c>
      <c r="F193" s="5">
        <v>1.9</v>
      </c>
      <c r="G193" s="5" t="s">
        <v>5</v>
      </c>
      <c r="H193" s="5" t="s">
        <v>5</v>
      </c>
      <c r="I193" s="5" t="s">
        <v>5</v>
      </c>
      <c r="J193" s="5" t="s">
        <v>5</v>
      </c>
      <c r="K193" s="5" t="s">
        <v>5</v>
      </c>
      <c r="L193" s="5" t="s">
        <v>5</v>
      </c>
      <c r="M193" s="5" t="s">
        <v>5</v>
      </c>
      <c r="N193" s="5" t="s">
        <v>5</v>
      </c>
      <c r="O193" s="5" t="s">
        <v>5</v>
      </c>
      <c r="P193" s="5" t="s">
        <v>5</v>
      </c>
      <c r="Q193" s="5" t="s">
        <v>5</v>
      </c>
      <c r="R193" s="5" t="s">
        <v>5</v>
      </c>
      <c r="S193" s="5" t="s">
        <v>5</v>
      </c>
      <c r="T193" s="5" t="s">
        <v>5</v>
      </c>
      <c r="U193" s="5" t="s">
        <v>5</v>
      </c>
      <c r="V193" s="5" t="s">
        <v>5</v>
      </c>
      <c r="W193" s="18" t="s">
        <v>5</v>
      </c>
    </row>
    <row r="194" spans="1:23">
      <c r="A194" s="2">
        <v>45344</v>
      </c>
      <c r="B194" s="9">
        <f t="shared" si="7"/>
        <v>783</v>
      </c>
      <c r="C194" s="3" t="s">
        <v>80</v>
      </c>
      <c r="D194" s="3" t="s">
        <v>163</v>
      </c>
      <c r="E194" s="13" t="s">
        <v>104</v>
      </c>
      <c r="F194" s="5">
        <v>2.29</v>
      </c>
      <c r="G194" s="9">
        <v>901</v>
      </c>
      <c r="H194" s="5">
        <v>4.5</v>
      </c>
      <c r="I194" s="9" t="s">
        <v>5</v>
      </c>
      <c r="J194" s="7">
        <v>9.1129999999999995</v>
      </c>
      <c r="K194" s="7">
        <v>7.21</v>
      </c>
      <c r="L194" s="5">
        <v>36.299999999999997</v>
      </c>
      <c r="M194" s="7">
        <v>4.03</v>
      </c>
      <c r="N194" s="3">
        <v>279</v>
      </c>
      <c r="O194" s="3">
        <v>402</v>
      </c>
      <c r="P194" s="3">
        <v>254</v>
      </c>
      <c r="Q194" s="3">
        <v>21</v>
      </c>
      <c r="R194" s="3">
        <v>273</v>
      </c>
      <c r="S194" s="9">
        <v>1800</v>
      </c>
      <c r="T194" s="3">
        <f>O194-N194</f>
        <v>123</v>
      </c>
      <c r="U194" s="9">
        <f>(T194/O194)*100</f>
        <v>30.597014925373134</v>
      </c>
      <c r="V194" s="9">
        <f>S194/O194</f>
        <v>4.4776119402985071</v>
      </c>
      <c r="W194" s="13" t="s">
        <v>160</v>
      </c>
    </row>
    <row r="195" spans="1:23">
      <c r="A195" s="2">
        <v>45344</v>
      </c>
      <c r="B195" s="9">
        <f t="shared" si="7"/>
        <v>783</v>
      </c>
      <c r="C195" s="3" t="s">
        <v>80</v>
      </c>
      <c r="D195" s="3" t="s">
        <v>33</v>
      </c>
      <c r="E195" s="13" t="s">
        <v>102</v>
      </c>
      <c r="F195" s="5">
        <v>3.56</v>
      </c>
      <c r="G195" s="9" t="s">
        <v>5</v>
      </c>
      <c r="H195" s="5" t="s">
        <v>5</v>
      </c>
      <c r="I195" s="9" t="s">
        <v>5</v>
      </c>
      <c r="J195" s="9" t="s">
        <v>5</v>
      </c>
      <c r="K195" s="9" t="s">
        <v>5</v>
      </c>
      <c r="L195" s="9" t="s">
        <v>5</v>
      </c>
      <c r="M195" s="9" t="s">
        <v>5</v>
      </c>
      <c r="N195" s="9" t="s">
        <v>5</v>
      </c>
      <c r="O195" s="9" t="s">
        <v>5</v>
      </c>
      <c r="P195" s="9" t="s">
        <v>5</v>
      </c>
      <c r="Q195" s="9" t="s">
        <v>5</v>
      </c>
      <c r="R195" s="9" t="s">
        <v>5</v>
      </c>
      <c r="S195" s="9" t="s">
        <v>5</v>
      </c>
      <c r="T195" s="9" t="s">
        <v>5</v>
      </c>
      <c r="U195" s="9" t="s">
        <v>5</v>
      </c>
      <c r="V195" s="9" t="s">
        <v>5</v>
      </c>
      <c r="W195" s="19" t="s">
        <v>5</v>
      </c>
    </row>
    <row r="196" spans="1:23">
      <c r="A196" s="2">
        <v>45344</v>
      </c>
      <c r="B196" s="9">
        <f t="shared" si="7"/>
        <v>783</v>
      </c>
      <c r="C196" s="3" t="s">
        <v>80</v>
      </c>
      <c r="D196" s="3" t="s">
        <v>4</v>
      </c>
      <c r="E196" s="13" t="s">
        <v>104</v>
      </c>
      <c r="F196" s="5" t="s">
        <v>5</v>
      </c>
      <c r="G196" s="9">
        <v>834</v>
      </c>
      <c r="H196" s="5">
        <v>9.5</v>
      </c>
      <c r="I196" s="9" t="s">
        <v>5</v>
      </c>
      <c r="J196" s="7">
        <v>9.1069999999999993</v>
      </c>
      <c r="K196" s="7">
        <v>8.86</v>
      </c>
      <c r="L196" s="5">
        <v>90.6</v>
      </c>
      <c r="M196" s="7">
        <v>8.99</v>
      </c>
      <c r="N196" s="3">
        <v>37</v>
      </c>
      <c r="O196" s="3">
        <v>67</v>
      </c>
      <c r="P196" s="3">
        <v>13</v>
      </c>
      <c r="Q196" s="3">
        <v>0</v>
      </c>
      <c r="R196" s="3">
        <v>0</v>
      </c>
      <c r="S196" s="9">
        <v>284</v>
      </c>
      <c r="T196" s="3">
        <f>O196-N196</f>
        <v>30</v>
      </c>
      <c r="U196" s="9">
        <f>(T196/O196)*100</f>
        <v>44.776119402985074</v>
      </c>
      <c r="V196" s="9">
        <f>S196/O196</f>
        <v>4.2388059701492535</v>
      </c>
      <c r="W196" s="13" t="s">
        <v>161</v>
      </c>
    </row>
    <row r="197" spans="1:23">
      <c r="A197" s="2">
        <v>45344</v>
      </c>
      <c r="B197" s="9">
        <f t="shared" si="7"/>
        <v>783</v>
      </c>
      <c r="C197" s="3" t="s">
        <v>80</v>
      </c>
      <c r="D197" s="3" t="s">
        <v>21</v>
      </c>
      <c r="E197" s="13" t="s">
        <v>102</v>
      </c>
      <c r="F197" s="5">
        <v>3.18</v>
      </c>
      <c r="G197" s="9" t="s">
        <v>5</v>
      </c>
      <c r="H197" s="5" t="s">
        <v>5</v>
      </c>
      <c r="I197" s="9" t="s">
        <v>5</v>
      </c>
      <c r="J197" s="9" t="s">
        <v>5</v>
      </c>
      <c r="K197" s="9" t="s">
        <v>5</v>
      </c>
      <c r="L197" s="9" t="s">
        <v>5</v>
      </c>
      <c r="M197" s="9" t="s">
        <v>5</v>
      </c>
      <c r="N197" s="9" t="s">
        <v>5</v>
      </c>
      <c r="O197" s="9" t="s">
        <v>5</v>
      </c>
      <c r="P197" s="9" t="s">
        <v>5</v>
      </c>
      <c r="Q197" s="9" t="s">
        <v>5</v>
      </c>
      <c r="R197" s="9" t="s">
        <v>5</v>
      </c>
      <c r="S197" s="9" t="s">
        <v>5</v>
      </c>
      <c r="T197" s="9" t="s">
        <v>5</v>
      </c>
      <c r="U197" s="9" t="s">
        <v>5</v>
      </c>
      <c r="V197" s="9" t="s">
        <v>5</v>
      </c>
      <c r="W197" s="19" t="s">
        <v>5</v>
      </c>
    </row>
    <row r="198" spans="1:23">
      <c r="A198" s="2">
        <v>45344</v>
      </c>
      <c r="B198" s="9">
        <f t="shared" si="7"/>
        <v>783</v>
      </c>
      <c r="C198" s="3" t="s">
        <v>80</v>
      </c>
      <c r="D198" s="3" t="s">
        <v>6</v>
      </c>
      <c r="E198" s="13" t="s">
        <v>104</v>
      </c>
      <c r="F198" s="5" t="s">
        <v>5</v>
      </c>
      <c r="G198" s="9">
        <v>842</v>
      </c>
      <c r="H198" s="5">
        <v>4.7</v>
      </c>
      <c r="I198" s="9" t="s">
        <v>5</v>
      </c>
      <c r="J198" s="7">
        <v>9.0310000000000006</v>
      </c>
      <c r="K198" s="7">
        <v>8.2200000000000006</v>
      </c>
      <c r="L198" s="5">
        <v>92.5</v>
      </c>
      <c r="M198" s="7">
        <v>10.33</v>
      </c>
      <c r="N198" s="3">
        <v>25</v>
      </c>
      <c r="O198" s="3">
        <v>70</v>
      </c>
      <c r="P198" s="3">
        <v>0</v>
      </c>
      <c r="Q198" s="3">
        <v>15</v>
      </c>
      <c r="R198" s="3">
        <v>15</v>
      </c>
      <c r="S198" s="9">
        <v>963</v>
      </c>
      <c r="T198" s="3">
        <f>O198-N198</f>
        <v>45</v>
      </c>
      <c r="U198" s="9">
        <f>(T198/O198)*100</f>
        <v>64.285714285714292</v>
      </c>
      <c r="V198" s="9">
        <f>S198/O198</f>
        <v>13.757142857142858</v>
      </c>
      <c r="W198" s="13" t="s">
        <v>5</v>
      </c>
    </row>
    <row r="199" spans="1:23">
      <c r="A199" s="2">
        <v>45344</v>
      </c>
      <c r="B199" s="9">
        <f t="shared" si="7"/>
        <v>783</v>
      </c>
      <c r="C199" s="3" t="s">
        <v>80</v>
      </c>
      <c r="D199" s="3" t="s">
        <v>49</v>
      </c>
      <c r="E199" s="13" t="s">
        <v>104</v>
      </c>
      <c r="F199" s="5" t="s">
        <v>5</v>
      </c>
      <c r="G199" s="9">
        <v>950</v>
      </c>
      <c r="H199" s="5">
        <v>4.9000000000000004</v>
      </c>
      <c r="I199" s="9" t="s">
        <v>5</v>
      </c>
      <c r="J199" s="7">
        <v>9.0730000000000004</v>
      </c>
      <c r="K199" s="7">
        <v>8.0399999999999991</v>
      </c>
      <c r="L199" s="5">
        <v>90.9</v>
      </c>
      <c r="M199" s="7">
        <v>10.11</v>
      </c>
      <c r="N199" s="3">
        <v>67</v>
      </c>
      <c r="O199" s="3">
        <v>158</v>
      </c>
      <c r="P199" s="3">
        <v>16</v>
      </c>
      <c r="Q199" s="3">
        <v>20</v>
      </c>
      <c r="R199" s="3">
        <v>34</v>
      </c>
      <c r="S199" s="9">
        <v>2390</v>
      </c>
      <c r="T199" s="3">
        <f>O199-N199</f>
        <v>91</v>
      </c>
      <c r="U199" s="9">
        <f>(T199/O199)*100</f>
        <v>57.594936708860757</v>
      </c>
      <c r="V199" s="9">
        <f>S199/O199</f>
        <v>15.126582278481013</v>
      </c>
      <c r="W199" s="13" t="s">
        <v>5</v>
      </c>
    </row>
    <row r="200" spans="1:23">
      <c r="A200" s="2">
        <v>45344</v>
      </c>
      <c r="B200" s="9">
        <f t="shared" si="7"/>
        <v>783</v>
      </c>
      <c r="C200" s="3" t="s">
        <v>80</v>
      </c>
      <c r="D200" s="3" t="s">
        <v>7</v>
      </c>
      <c r="E200" s="13" t="s">
        <v>104</v>
      </c>
      <c r="F200" s="5" t="s">
        <v>5</v>
      </c>
      <c r="G200" s="9">
        <v>945</v>
      </c>
      <c r="H200" s="5">
        <v>5.4</v>
      </c>
      <c r="I200" s="9" t="s">
        <v>5</v>
      </c>
      <c r="J200" s="7">
        <v>9.0820000000000007</v>
      </c>
      <c r="K200" s="7">
        <v>8.4</v>
      </c>
      <c r="L200" s="5">
        <v>104</v>
      </c>
      <c r="M200" s="7">
        <v>11.44</v>
      </c>
      <c r="N200" s="3">
        <v>86</v>
      </c>
      <c r="O200" s="3">
        <v>194</v>
      </c>
      <c r="P200" s="3">
        <v>30</v>
      </c>
      <c r="Q200" s="3">
        <v>35</v>
      </c>
      <c r="R200" s="3">
        <v>66</v>
      </c>
      <c r="S200" s="9">
        <v>2680</v>
      </c>
      <c r="T200" s="3">
        <f>O200-N200</f>
        <v>108</v>
      </c>
      <c r="U200" s="9">
        <f>(T200/O200)*100</f>
        <v>55.670103092783506</v>
      </c>
      <c r="V200" s="9">
        <f>S200/O200</f>
        <v>13.814432989690722</v>
      </c>
      <c r="W200" s="13" t="s">
        <v>5</v>
      </c>
    </row>
    <row r="201" spans="1:23">
      <c r="A201" s="2">
        <v>45344</v>
      </c>
      <c r="B201" s="9">
        <f t="shared" si="7"/>
        <v>783</v>
      </c>
      <c r="C201" s="3" t="s">
        <v>80</v>
      </c>
      <c r="D201" s="3" t="s">
        <v>35</v>
      </c>
      <c r="E201" s="13" t="s">
        <v>103</v>
      </c>
      <c r="F201" s="5" t="s">
        <v>5</v>
      </c>
      <c r="G201" s="9" t="s">
        <v>5</v>
      </c>
      <c r="H201" s="5" t="s">
        <v>5</v>
      </c>
      <c r="I201" s="9" t="s">
        <v>5</v>
      </c>
      <c r="J201" s="9" t="s">
        <v>5</v>
      </c>
      <c r="K201" s="9" t="s">
        <v>5</v>
      </c>
      <c r="L201" s="9" t="s">
        <v>5</v>
      </c>
      <c r="M201" s="9" t="s">
        <v>5</v>
      </c>
      <c r="N201" s="3">
        <v>81</v>
      </c>
      <c r="O201" s="3">
        <v>181</v>
      </c>
      <c r="P201" s="3">
        <v>33</v>
      </c>
      <c r="Q201" s="10">
        <v>45</v>
      </c>
      <c r="R201" s="3">
        <v>66</v>
      </c>
      <c r="S201" s="9">
        <v>2590</v>
      </c>
      <c r="T201" s="3">
        <f>O201-N201</f>
        <v>100</v>
      </c>
      <c r="U201" s="9">
        <f>(T201/O201)*100</f>
        <v>55.248618784530393</v>
      </c>
      <c r="V201" s="9">
        <f>S201/O201</f>
        <v>14.30939226519337</v>
      </c>
      <c r="W201" s="13" t="s">
        <v>162</v>
      </c>
    </row>
    <row r="202" spans="1:23">
      <c r="A202" s="2">
        <v>45344</v>
      </c>
      <c r="B202" s="9">
        <f t="shared" si="7"/>
        <v>783</v>
      </c>
      <c r="C202" s="3" t="s">
        <v>80</v>
      </c>
      <c r="D202" s="3" t="s">
        <v>8</v>
      </c>
      <c r="E202" s="13" t="s">
        <v>104</v>
      </c>
      <c r="F202" s="5">
        <v>2.08</v>
      </c>
      <c r="G202" s="9">
        <v>927</v>
      </c>
      <c r="H202" s="5">
        <v>5</v>
      </c>
      <c r="I202" s="9" t="s">
        <v>5</v>
      </c>
      <c r="J202" s="7">
        <v>9.0830000000000002</v>
      </c>
      <c r="K202" s="7">
        <v>8.36</v>
      </c>
      <c r="L202" s="5">
        <v>91.1</v>
      </c>
      <c r="M202" s="7">
        <v>10.1</v>
      </c>
      <c r="N202" s="3">
        <v>124</v>
      </c>
      <c r="O202" s="3">
        <v>192</v>
      </c>
      <c r="P202" s="3">
        <v>86</v>
      </c>
      <c r="Q202" s="3">
        <v>24</v>
      </c>
      <c r="R202" s="3">
        <v>48</v>
      </c>
      <c r="S202" s="9">
        <v>2160</v>
      </c>
      <c r="T202" s="3">
        <f>O202-N202</f>
        <v>68</v>
      </c>
      <c r="U202" s="9">
        <f>(T202/O202)*100</f>
        <v>35.416666666666671</v>
      </c>
      <c r="V202" s="9">
        <f>S202/O202</f>
        <v>11.25</v>
      </c>
      <c r="W202" s="13" t="s">
        <v>5</v>
      </c>
    </row>
    <row r="203" spans="1:23">
      <c r="A203" s="2">
        <v>45344</v>
      </c>
      <c r="B203" s="9">
        <f t="shared" si="7"/>
        <v>783</v>
      </c>
      <c r="C203" s="3" t="s">
        <v>80</v>
      </c>
      <c r="D203" s="3" t="s">
        <v>20</v>
      </c>
      <c r="E203" s="13" t="s">
        <v>102</v>
      </c>
      <c r="F203" s="5">
        <v>2.1</v>
      </c>
      <c r="G203" s="9" t="s">
        <v>5</v>
      </c>
      <c r="H203" s="5" t="s">
        <v>5</v>
      </c>
      <c r="I203" s="9" t="s">
        <v>5</v>
      </c>
      <c r="J203" s="9" t="s">
        <v>5</v>
      </c>
      <c r="K203" s="9" t="s">
        <v>5</v>
      </c>
      <c r="L203" s="9" t="s">
        <v>5</v>
      </c>
      <c r="M203" s="9" t="s">
        <v>5</v>
      </c>
      <c r="N203" s="9" t="s">
        <v>5</v>
      </c>
      <c r="O203" s="9" t="s">
        <v>5</v>
      </c>
      <c r="P203" s="9" t="s">
        <v>5</v>
      </c>
      <c r="Q203" s="9" t="s">
        <v>5</v>
      </c>
      <c r="R203" s="9" t="s">
        <v>5</v>
      </c>
      <c r="S203" s="9" t="s">
        <v>5</v>
      </c>
      <c r="T203" s="9" t="s">
        <v>5</v>
      </c>
      <c r="U203" s="9" t="s">
        <v>5</v>
      </c>
      <c r="V203" s="9" t="s">
        <v>5</v>
      </c>
      <c r="W203" s="19" t="s">
        <v>5</v>
      </c>
    </row>
    <row r="204" spans="1:23">
      <c r="A204" s="2">
        <v>45365</v>
      </c>
      <c r="B204" s="9">
        <f t="shared" si="7"/>
        <v>804</v>
      </c>
      <c r="C204" s="3" t="s">
        <v>80</v>
      </c>
      <c r="D204" s="3" t="s">
        <v>33</v>
      </c>
      <c r="E204" s="13" t="s">
        <v>102</v>
      </c>
      <c r="F204" s="5">
        <v>3.7</v>
      </c>
      <c r="G204" s="3" t="s">
        <v>5</v>
      </c>
      <c r="H204" s="5" t="s">
        <v>5</v>
      </c>
      <c r="I204" s="3" t="s">
        <v>5</v>
      </c>
      <c r="J204" s="3" t="s">
        <v>5</v>
      </c>
      <c r="K204" s="3" t="s">
        <v>5</v>
      </c>
      <c r="L204" s="3" t="s">
        <v>5</v>
      </c>
      <c r="M204" s="3" t="s">
        <v>5</v>
      </c>
      <c r="N204" s="3" t="s">
        <v>5</v>
      </c>
      <c r="O204" s="3" t="s">
        <v>5</v>
      </c>
      <c r="P204" s="3" t="s">
        <v>5</v>
      </c>
      <c r="Q204" s="3" t="s">
        <v>5</v>
      </c>
      <c r="R204" s="3" t="s">
        <v>5</v>
      </c>
      <c r="S204" s="3" t="s">
        <v>5</v>
      </c>
      <c r="T204" s="3" t="s">
        <v>5</v>
      </c>
      <c r="U204" s="3" t="s">
        <v>5</v>
      </c>
      <c r="V204" s="3" t="s">
        <v>5</v>
      </c>
      <c r="W204" s="13" t="s">
        <v>156</v>
      </c>
    </row>
    <row r="205" spans="1:23">
      <c r="A205" s="2">
        <v>45365</v>
      </c>
      <c r="B205" s="9">
        <f t="shared" si="7"/>
        <v>804</v>
      </c>
      <c r="C205" s="3" t="s">
        <v>80</v>
      </c>
      <c r="D205" s="3" t="s">
        <v>4</v>
      </c>
      <c r="E205" s="13" t="s">
        <v>104</v>
      </c>
      <c r="F205" s="5" t="s">
        <v>5</v>
      </c>
      <c r="G205" s="3">
        <v>831</v>
      </c>
      <c r="H205" s="5">
        <v>7.5</v>
      </c>
      <c r="I205" s="9">
        <v>174.9</v>
      </c>
      <c r="J205" s="7">
        <v>9.1969999999999992</v>
      </c>
      <c r="K205" s="7">
        <v>8.89</v>
      </c>
      <c r="L205" s="5">
        <v>93.1</v>
      </c>
      <c r="M205" s="7">
        <v>9.6999999999999993</v>
      </c>
      <c r="N205" s="3">
        <v>27</v>
      </c>
      <c r="O205" s="3">
        <v>56</v>
      </c>
      <c r="P205" s="3">
        <v>13</v>
      </c>
      <c r="Q205" s="3">
        <v>0</v>
      </c>
      <c r="R205" s="3">
        <v>0</v>
      </c>
      <c r="S205" s="9">
        <v>218</v>
      </c>
      <c r="T205" s="3">
        <f>O205-N205</f>
        <v>29</v>
      </c>
      <c r="U205" s="9">
        <f>(T205/O205)*100</f>
        <v>51.785714285714292</v>
      </c>
      <c r="V205" s="9">
        <f>S205/O205</f>
        <v>3.8928571428571428</v>
      </c>
      <c r="W205" s="19" t="s">
        <v>5</v>
      </c>
    </row>
    <row r="206" spans="1:23">
      <c r="A206" s="2">
        <v>45365</v>
      </c>
      <c r="B206" s="9">
        <f t="shared" si="7"/>
        <v>804</v>
      </c>
      <c r="C206" s="3" t="s">
        <v>80</v>
      </c>
      <c r="D206" s="3" t="s">
        <v>36</v>
      </c>
      <c r="E206" s="13" t="s">
        <v>103</v>
      </c>
      <c r="F206" s="5" t="s">
        <v>5</v>
      </c>
      <c r="G206" s="3" t="s">
        <v>5</v>
      </c>
      <c r="H206" s="5" t="s">
        <v>5</v>
      </c>
      <c r="I206" s="3" t="s">
        <v>5</v>
      </c>
      <c r="J206" s="3" t="s">
        <v>5</v>
      </c>
      <c r="K206" s="3" t="s">
        <v>5</v>
      </c>
      <c r="L206" s="3" t="s">
        <v>5</v>
      </c>
      <c r="M206" s="3" t="s">
        <v>5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9">
        <v>0</v>
      </c>
      <c r="T206" s="3">
        <f>O206-N206</f>
        <v>0</v>
      </c>
      <c r="U206" s="9" t="s">
        <v>5</v>
      </c>
      <c r="V206" s="9" t="s">
        <v>5</v>
      </c>
      <c r="W206" s="13" t="s">
        <v>77</v>
      </c>
    </row>
    <row r="207" spans="1:23">
      <c r="A207" s="2">
        <v>45365</v>
      </c>
      <c r="B207" s="9">
        <f t="shared" si="7"/>
        <v>804</v>
      </c>
      <c r="C207" s="3" t="s">
        <v>80</v>
      </c>
      <c r="D207" s="3" t="s">
        <v>21</v>
      </c>
      <c r="E207" s="13" t="s">
        <v>102</v>
      </c>
      <c r="F207" s="5">
        <v>3.18</v>
      </c>
      <c r="G207" s="3" t="s">
        <v>5</v>
      </c>
      <c r="H207" s="5" t="s">
        <v>5</v>
      </c>
      <c r="I207" s="3" t="s">
        <v>5</v>
      </c>
      <c r="J207" s="3" t="s">
        <v>5</v>
      </c>
      <c r="K207" s="3" t="s">
        <v>5</v>
      </c>
      <c r="L207" s="3" t="s">
        <v>5</v>
      </c>
      <c r="M207" s="3" t="s">
        <v>5</v>
      </c>
      <c r="N207" s="3" t="s">
        <v>5</v>
      </c>
      <c r="O207" s="3" t="s">
        <v>5</v>
      </c>
      <c r="P207" s="3" t="s">
        <v>5</v>
      </c>
      <c r="Q207" s="3" t="s">
        <v>5</v>
      </c>
      <c r="R207" s="3" t="s">
        <v>5</v>
      </c>
      <c r="S207" s="3" t="s">
        <v>5</v>
      </c>
      <c r="T207" s="3" t="s">
        <v>5</v>
      </c>
      <c r="U207" s="3" t="s">
        <v>5</v>
      </c>
      <c r="V207" s="3" t="s">
        <v>5</v>
      </c>
      <c r="W207" s="13" t="s">
        <v>5</v>
      </c>
    </row>
    <row r="208" spans="1:23">
      <c r="A208" s="2">
        <v>45365</v>
      </c>
      <c r="B208" s="9">
        <f t="shared" si="7"/>
        <v>804</v>
      </c>
      <c r="C208" s="3" t="s">
        <v>80</v>
      </c>
      <c r="D208" s="3" t="s">
        <v>6</v>
      </c>
      <c r="E208" s="13" t="s">
        <v>104</v>
      </c>
      <c r="F208" s="5" t="s">
        <v>5</v>
      </c>
      <c r="G208" s="3">
        <v>822</v>
      </c>
      <c r="H208" s="5">
        <v>4.7</v>
      </c>
      <c r="I208" s="9">
        <v>201.6</v>
      </c>
      <c r="J208" s="7">
        <v>9.0169999999999995</v>
      </c>
      <c r="K208" s="7">
        <v>8.02</v>
      </c>
      <c r="L208" s="5">
        <v>87.1</v>
      </c>
      <c r="M208" s="7">
        <v>9.76</v>
      </c>
      <c r="N208" s="3">
        <v>30</v>
      </c>
      <c r="O208" s="3">
        <v>65</v>
      </c>
      <c r="P208" s="3">
        <v>4</v>
      </c>
      <c r="Q208" s="3">
        <v>15</v>
      </c>
      <c r="R208" s="3">
        <v>0</v>
      </c>
      <c r="S208" s="9">
        <v>865</v>
      </c>
      <c r="T208" s="3">
        <f>O208-N208</f>
        <v>35</v>
      </c>
      <c r="U208" s="9">
        <f>(T208/O208)*100</f>
        <v>53.846153846153847</v>
      </c>
      <c r="V208" s="9">
        <f>S208/O208</f>
        <v>13.307692307692308</v>
      </c>
      <c r="W208" s="19" t="s">
        <v>5</v>
      </c>
    </row>
    <row r="209" spans="1:23">
      <c r="A209" s="2">
        <v>45365</v>
      </c>
      <c r="B209" s="9">
        <f t="shared" si="7"/>
        <v>804</v>
      </c>
      <c r="C209" s="3" t="s">
        <v>80</v>
      </c>
      <c r="D209" s="3" t="s">
        <v>7</v>
      </c>
      <c r="E209" s="13" t="s">
        <v>104</v>
      </c>
      <c r="F209" s="5" t="s">
        <v>5</v>
      </c>
      <c r="G209" s="3">
        <v>753</v>
      </c>
      <c r="H209" s="5">
        <v>2.9</v>
      </c>
      <c r="I209" s="9">
        <v>375.8</v>
      </c>
      <c r="J209" s="7">
        <v>9.0709999999999997</v>
      </c>
      <c r="K209" s="7">
        <v>8.17</v>
      </c>
      <c r="L209" s="5">
        <v>81.7</v>
      </c>
      <c r="M209" s="7">
        <v>9.6</v>
      </c>
      <c r="N209" s="3">
        <v>61</v>
      </c>
      <c r="O209" s="3">
        <v>135</v>
      </c>
      <c r="P209" s="3">
        <v>17</v>
      </c>
      <c r="Q209" s="3">
        <v>23</v>
      </c>
      <c r="R209" s="3">
        <v>0</v>
      </c>
      <c r="S209" s="9">
        <v>1910</v>
      </c>
      <c r="T209" s="3">
        <f>O209-N209</f>
        <v>74</v>
      </c>
      <c r="U209" s="9">
        <f>(T209/O209)*100</f>
        <v>54.814814814814817</v>
      </c>
      <c r="V209" s="9">
        <f>S209/O209</f>
        <v>14.148148148148149</v>
      </c>
      <c r="W209" s="19" t="s">
        <v>5</v>
      </c>
    </row>
    <row r="210" spans="1:23">
      <c r="A210" s="2">
        <v>45365</v>
      </c>
      <c r="B210" s="9">
        <f t="shared" si="7"/>
        <v>804</v>
      </c>
      <c r="C210" s="3" t="s">
        <v>80</v>
      </c>
      <c r="D210" s="3" t="s">
        <v>8</v>
      </c>
      <c r="E210" s="13" t="s">
        <v>104</v>
      </c>
      <c r="F210" s="5">
        <v>2.35</v>
      </c>
      <c r="G210" s="3">
        <v>807</v>
      </c>
      <c r="H210" s="5">
        <v>4.8</v>
      </c>
      <c r="I210" s="9">
        <v>400.6</v>
      </c>
      <c r="J210" s="7">
        <v>9.0169999999999995</v>
      </c>
      <c r="K210" s="7">
        <v>8.23</v>
      </c>
      <c r="L210" s="5">
        <v>86.1</v>
      </c>
      <c r="M210" s="7">
        <v>9.6199999999999992</v>
      </c>
      <c r="N210" s="3">
        <v>83</v>
      </c>
      <c r="O210" s="3">
        <v>167</v>
      </c>
      <c r="P210" s="3">
        <v>50</v>
      </c>
      <c r="Q210" s="3">
        <v>20</v>
      </c>
      <c r="R210" s="3">
        <v>0</v>
      </c>
      <c r="S210" s="9">
        <v>2140</v>
      </c>
      <c r="T210" s="3">
        <f>O210-N210</f>
        <v>84</v>
      </c>
      <c r="U210" s="9">
        <f>(T210/O210)*100</f>
        <v>50.299401197604787</v>
      </c>
      <c r="V210" s="9">
        <f>S210/O210</f>
        <v>12.81437125748503</v>
      </c>
      <c r="W210" s="19" t="s">
        <v>5</v>
      </c>
    </row>
    <row r="211" spans="1:23">
      <c r="A211" s="2">
        <v>45365</v>
      </c>
      <c r="B211" s="9">
        <f t="shared" si="7"/>
        <v>804</v>
      </c>
      <c r="C211" s="3" t="s">
        <v>80</v>
      </c>
      <c r="D211" s="3" t="s">
        <v>20</v>
      </c>
      <c r="E211" s="13" t="s">
        <v>102</v>
      </c>
      <c r="F211" s="5">
        <v>2.38</v>
      </c>
      <c r="G211" s="3" t="s">
        <v>5</v>
      </c>
      <c r="H211" s="5" t="s">
        <v>5</v>
      </c>
      <c r="I211" s="3" t="s">
        <v>5</v>
      </c>
      <c r="J211" s="3" t="s">
        <v>5</v>
      </c>
      <c r="K211" s="3" t="s">
        <v>5</v>
      </c>
      <c r="L211" s="3" t="s">
        <v>5</v>
      </c>
      <c r="M211" s="3" t="s">
        <v>5</v>
      </c>
      <c r="N211" s="3" t="s">
        <v>5</v>
      </c>
      <c r="O211" s="3" t="s">
        <v>5</v>
      </c>
      <c r="P211" s="3" t="s">
        <v>5</v>
      </c>
      <c r="Q211" s="3" t="s">
        <v>5</v>
      </c>
      <c r="R211" s="3" t="s">
        <v>5</v>
      </c>
      <c r="S211" s="3" t="s">
        <v>5</v>
      </c>
      <c r="T211" s="3" t="s">
        <v>5</v>
      </c>
      <c r="U211" s="3" t="s">
        <v>5</v>
      </c>
      <c r="V211" s="3" t="s">
        <v>5</v>
      </c>
      <c r="W211" s="13" t="s">
        <v>5</v>
      </c>
    </row>
    <row r="212" spans="1:23">
      <c r="A212" s="2">
        <v>45411</v>
      </c>
      <c r="B212" s="9">
        <f t="shared" si="7"/>
        <v>850</v>
      </c>
      <c r="C212" s="3" t="s">
        <v>80</v>
      </c>
      <c r="D212" s="3" t="s">
        <v>33</v>
      </c>
      <c r="E212" s="13" t="s">
        <v>102</v>
      </c>
      <c r="F212" s="5">
        <v>4.5</v>
      </c>
      <c r="G212" s="5" t="s">
        <v>5</v>
      </c>
      <c r="H212" s="5" t="s">
        <v>5</v>
      </c>
      <c r="I212" s="5" t="s">
        <v>5</v>
      </c>
      <c r="J212" s="5" t="s">
        <v>5</v>
      </c>
      <c r="K212" s="5" t="s">
        <v>5</v>
      </c>
      <c r="L212" s="5" t="s">
        <v>5</v>
      </c>
      <c r="M212" s="5" t="s">
        <v>5</v>
      </c>
      <c r="N212" s="5" t="s">
        <v>5</v>
      </c>
      <c r="O212" s="5" t="s">
        <v>5</v>
      </c>
      <c r="P212" s="5" t="s">
        <v>5</v>
      </c>
      <c r="Q212" s="5" t="s">
        <v>5</v>
      </c>
      <c r="R212" s="5" t="s">
        <v>5</v>
      </c>
      <c r="S212" s="5" t="s">
        <v>5</v>
      </c>
      <c r="T212" s="5" t="s">
        <v>5</v>
      </c>
      <c r="U212" s="5" t="s">
        <v>5</v>
      </c>
      <c r="V212" s="5" t="s">
        <v>5</v>
      </c>
      <c r="W212" s="13" t="s">
        <v>167</v>
      </c>
    </row>
    <row r="213" spans="1:23">
      <c r="A213" s="2">
        <v>45411</v>
      </c>
      <c r="B213" s="9">
        <f t="shared" si="7"/>
        <v>850</v>
      </c>
      <c r="C213" s="3" t="s">
        <v>80</v>
      </c>
      <c r="D213" s="3" t="s">
        <v>4</v>
      </c>
      <c r="E213" s="13" t="s">
        <v>104</v>
      </c>
      <c r="F213" s="5" t="s">
        <v>5</v>
      </c>
      <c r="G213" s="3">
        <v>802</v>
      </c>
      <c r="H213" s="5">
        <v>12.2</v>
      </c>
      <c r="I213" s="9">
        <v>179.4</v>
      </c>
      <c r="J213" s="7">
        <v>9.1590000000000007</v>
      </c>
      <c r="K213" s="7">
        <v>8.7200000000000006</v>
      </c>
      <c r="L213" s="5">
        <v>80.5</v>
      </c>
      <c r="M213" s="7">
        <v>7.47</v>
      </c>
      <c r="N213" s="3">
        <v>51</v>
      </c>
      <c r="O213" s="3">
        <v>60</v>
      </c>
      <c r="P213" s="3">
        <v>32</v>
      </c>
      <c r="Q213" s="3">
        <v>0</v>
      </c>
      <c r="R213" s="3">
        <v>0</v>
      </c>
      <c r="S213" s="9">
        <v>119</v>
      </c>
      <c r="T213" s="3">
        <f>O213-N213</f>
        <v>9</v>
      </c>
      <c r="U213" s="9">
        <f>(T213/O213)*100</f>
        <v>15</v>
      </c>
      <c r="V213" s="9">
        <f>S213/O213</f>
        <v>1.9833333333333334</v>
      </c>
      <c r="W213" s="13" t="s">
        <v>164</v>
      </c>
    </row>
    <row r="214" spans="1:23">
      <c r="A214" s="2">
        <v>45411</v>
      </c>
      <c r="B214" s="9">
        <f t="shared" si="7"/>
        <v>850</v>
      </c>
      <c r="C214" s="3" t="s">
        <v>80</v>
      </c>
      <c r="D214" s="3" t="s">
        <v>21</v>
      </c>
      <c r="E214" s="13" t="s">
        <v>102</v>
      </c>
      <c r="F214" s="5">
        <v>3.5</v>
      </c>
      <c r="G214" s="5" t="s">
        <v>5</v>
      </c>
      <c r="H214" s="5" t="s">
        <v>5</v>
      </c>
      <c r="I214" s="5" t="s">
        <v>5</v>
      </c>
      <c r="J214" s="5" t="s">
        <v>5</v>
      </c>
      <c r="K214" s="5" t="s">
        <v>5</v>
      </c>
      <c r="L214" s="5" t="s">
        <v>5</v>
      </c>
      <c r="M214" s="5" t="s">
        <v>5</v>
      </c>
      <c r="N214" s="5" t="s">
        <v>5</v>
      </c>
      <c r="O214" s="5" t="s">
        <v>5</v>
      </c>
      <c r="P214" s="5" t="s">
        <v>5</v>
      </c>
      <c r="Q214" s="5" t="s">
        <v>5</v>
      </c>
      <c r="R214" s="5" t="s">
        <v>5</v>
      </c>
      <c r="S214" s="5" t="s">
        <v>5</v>
      </c>
      <c r="T214" s="5" t="s">
        <v>5</v>
      </c>
      <c r="U214" s="5" t="s">
        <v>5</v>
      </c>
      <c r="V214" s="5" t="s">
        <v>5</v>
      </c>
      <c r="W214" s="13" t="s">
        <v>5</v>
      </c>
    </row>
    <row r="215" spans="1:23">
      <c r="A215" s="2">
        <v>45411</v>
      </c>
      <c r="B215" s="9">
        <f t="shared" si="7"/>
        <v>850</v>
      </c>
      <c r="C215" s="3" t="s">
        <v>80</v>
      </c>
      <c r="D215" s="3" t="s">
        <v>6</v>
      </c>
      <c r="E215" s="13" t="s">
        <v>104</v>
      </c>
      <c r="F215" s="5" t="s">
        <v>5</v>
      </c>
      <c r="G215" s="3">
        <v>810</v>
      </c>
      <c r="H215" s="5">
        <v>9.5</v>
      </c>
      <c r="I215" s="9">
        <v>189.1</v>
      </c>
      <c r="J215" s="7">
        <v>9.1379999999999999</v>
      </c>
      <c r="K215" s="7">
        <v>8.19</v>
      </c>
      <c r="L215" s="5">
        <v>82.6</v>
      </c>
      <c r="M215" s="7">
        <v>8.14</v>
      </c>
      <c r="N215" s="3">
        <v>43</v>
      </c>
      <c r="O215" s="3">
        <v>64</v>
      </c>
      <c r="P215" s="3">
        <v>20</v>
      </c>
      <c r="Q215" s="3">
        <v>0</v>
      </c>
      <c r="R215" s="3">
        <v>0</v>
      </c>
      <c r="S215" s="3">
        <v>318</v>
      </c>
      <c r="T215" s="3">
        <f>O215-N215</f>
        <v>21</v>
      </c>
      <c r="U215" s="9">
        <f>(T215/O215)*100</f>
        <v>32.8125</v>
      </c>
      <c r="V215" s="9">
        <f>S215/O215</f>
        <v>4.96875</v>
      </c>
      <c r="W215" s="13" t="s">
        <v>164</v>
      </c>
    </row>
    <row r="216" spans="1:23">
      <c r="A216" s="2">
        <v>45411</v>
      </c>
      <c r="B216" s="9">
        <f t="shared" si="7"/>
        <v>850</v>
      </c>
      <c r="C216" s="3" t="s">
        <v>80</v>
      </c>
      <c r="D216" s="3" t="s">
        <v>49</v>
      </c>
      <c r="E216" s="13" t="s">
        <v>104</v>
      </c>
      <c r="F216" s="5" t="s">
        <v>5</v>
      </c>
      <c r="G216" s="3">
        <v>845</v>
      </c>
      <c r="H216" s="5">
        <v>8.3000000000000007</v>
      </c>
      <c r="I216" s="9">
        <v>638</v>
      </c>
      <c r="J216" s="7">
        <v>9.1140000000000008</v>
      </c>
      <c r="K216" s="7">
        <v>7.17</v>
      </c>
      <c r="L216" s="5">
        <v>53.2</v>
      </c>
      <c r="M216" s="7">
        <v>5.39</v>
      </c>
      <c r="N216" s="3">
        <v>359</v>
      </c>
      <c r="O216" s="3">
        <v>482</v>
      </c>
      <c r="P216" s="3">
        <v>315</v>
      </c>
      <c r="Q216" s="3">
        <v>906</v>
      </c>
      <c r="R216" s="3">
        <v>54</v>
      </c>
      <c r="S216" s="9">
        <v>3280</v>
      </c>
      <c r="T216" s="5" t="s">
        <v>5</v>
      </c>
      <c r="U216" s="5" t="s">
        <v>5</v>
      </c>
      <c r="V216" s="5" t="s">
        <v>5</v>
      </c>
      <c r="W216" s="13" t="s">
        <v>171</v>
      </c>
    </row>
    <row r="217" spans="1:23">
      <c r="A217" s="2">
        <v>45411</v>
      </c>
      <c r="B217" s="9">
        <f t="shared" si="7"/>
        <v>850</v>
      </c>
      <c r="C217" s="3" t="s">
        <v>80</v>
      </c>
      <c r="D217" s="3" t="s">
        <v>7</v>
      </c>
      <c r="E217" s="13" t="s">
        <v>104</v>
      </c>
      <c r="F217" s="5" t="s">
        <v>5</v>
      </c>
      <c r="G217" s="3">
        <v>840</v>
      </c>
      <c r="H217" s="5">
        <v>9.8000000000000007</v>
      </c>
      <c r="I217" s="9">
        <v>390.6</v>
      </c>
      <c r="J217" s="7">
        <v>8.9350000000000005</v>
      </c>
      <c r="K217" s="7">
        <v>8.3000000000000007</v>
      </c>
      <c r="L217" s="5">
        <v>86.1</v>
      </c>
      <c r="M217" s="7">
        <v>8.41</v>
      </c>
      <c r="N217" s="3">
        <v>165</v>
      </c>
      <c r="O217" s="3">
        <v>215</v>
      </c>
      <c r="P217" s="3">
        <v>132</v>
      </c>
      <c r="Q217" s="3">
        <v>20</v>
      </c>
      <c r="R217" s="3">
        <v>0</v>
      </c>
      <c r="S217" s="9">
        <v>1630</v>
      </c>
      <c r="T217" s="3">
        <f>O217-N217</f>
        <v>50</v>
      </c>
      <c r="U217" s="9">
        <f>(T217/O217)*100</f>
        <v>23.255813953488371</v>
      </c>
      <c r="V217" s="9">
        <f>S217/O217</f>
        <v>7.5813953488372094</v>
      </c>
      <c r="W217" s="13" t="s">
        <v>166</v>
      </c>
    </row>
    <row r="218" spans="1:23">
      <c r="A218" s="2">
        <v>45411</v>
      </c>
      <c r="B218" s="9">
        <f t="shared" ref="B218:B249" si="8">TEXT((A218-DATEVALUE("1/1/"&amp;TEXT(A218,"yy"))+1),"000")+365+365</f>
        <v>850</v>
      </c>
      <c r="C218" s="3" t="s">
        <v>80</v>
      </c>
      <c r="D218" s="3" t="s">
        <v>72</v>
      </c>
      <c r="E218" s="13" t="s">
        <v>103</v>
      </c>
      <c r="F218" s="5" t="s">
        <v>5</v>
      </c>
      <c r="G218" s="5" t="s">
        <v>5</v>
      </c>
      <c r="H218" s="5" t="s">
        <v>5</v>
      </c>
      <c r="I218" s="5" t="s">
        <v>5</v>
      </c>
      <c r="J218" s="5" t="s">
        <v>5</v>
      </c>
      <c r="K218" s="5" t="s">
        <v>5</v>
      </c>
      <c r="L218" s="5" t="s">
        <v>5</v>
      </c>
      <c r="M218" s="5" t="s">
        <v>5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9">
        <v>0</v>
      </c>
      <c r="T218" s="3">
        <f>O218-N218</f>
        <v>0</v>
      </c>
      <c r="U218" s="9">
        <v>0</v>
      </c>
      <c r="V218" s="9">
        <v>0</v>
      </c>
      <c r="W218" s="13" t="s">
        <v>5</v>
      </c>
    </row>
    <row r="219" spans="1:23">
      <c r="A219" s="2">
        <v>45411</v>
      </c>
      <c r="B219" s="9">
        <f t="shared" si="8"/>
        <v>850</v>
      </c>
      <c r="C219" s="3" t="s">
        <v>80</v>
      </c>
      <c r="D219" s="3" t="s">
        <v>8</v>
      </c>
      <c r="E219" s="13" t="s">
        <v>104</v>
      </c>
      <c r="F219" s="5">
        <v>3.18</v>
      </c>
      <c r="G219" s="3">
        <v>825</v>
      </c>
      <c r="H219" s="5">
        <v>9.1</v>
      </c>
      <c r="I219" s="9">
        <v>468</v>
      </c>
      <c r="J219" s="7">
        <v>9.1319999999999997</v>
      </c>
      <c r="K219" s="7">
        <v>8.24</v>
      </c>
      <c r="L219" s="5">
        <v>76</v>
      </c>
      <c r="M219" s="7">
        <v>7.56</v>
      </c>
      <c r="N219" s="3">
        <v>268</v>
      </c>
      <c r="O219" s="3">
        <v>340</v>
      </c>
      <c r="P219" s="3">
        <v>204</v>
      </c>
      <c r="Q219" s="3">
        <v>27</v>
      </c>
      <c r="R219" s="3">
        <v>0</v>
      </c>
      <c r="S219" s="9">
        <v>2280</v>
      </c>
      <c r="T219" s="3">
        <f>O219-N219</f>
        <v>72</v>
      </c>
      <c r="U219" s="9">
        <f>(T219/O219)*100</f>
        <v>21.176470588235293</v>
      </c>
      <c r="V219" s="9">
        <f>S219/O219</f>
        <v>6.7058823529411766</v>
      </c>
      <c r="W219" s="13" t="s">
        <v>165</v>
      </c>
    </row>
    <row r="220" spans="1:23">
      <c r="A220" s="2">
        <v>45411</v>
      </c>
      <c r="B220" s="9">
        <f t="shared" si="8"/>
        <v>850</v>
      </c>
      <c r="C220" s="3" t="s">
        <v>80</v>
      </c>
      <c r="D220" s="3" t="s">
        <v>20</v>
      </c>
      <c r="E220" s="13" t="s">
        <v>102</v>
      </c>
      <c r="F220" s="5">
        <v>3.18</v>
      </c>
      <c r="G220" s="5" t="s">
        <v>5</v>
      </c>
      <c r="H220" s="5" t="s">
        <v>5</v>
      </c>
      <c r="I220" s="5" t="s">
        <v>5</v>
      </c>
      <c r="J220" s="5" t="s">
        <v>5</v>
      </c>
      <c r="K220" s="5" t="s">
        <v>5</v>
      </c>
      <c r="L220" s="5" t="s">
        <v>5</v>
      </c>
      <c r="M220" s="5" t="s">
        <v>5</v>
      </c>
      <c r="N220" s="5" t="s">
        <v>5</v>
      </c>
      <c r="O220" s="5" t="s">
        <v>5</v>
      </c>
      <c r="P220" s="5" t="s">
        <v>5</v>
      </c>
      <c r="Q220" s="5" t="s">
        <v>5</v>
      </c>
      <c r="R220" s="5" t="s">
        <v>5</v>
      </c>
      <c r="S220" s="5" t="s">
        <v>5</v>
      </c>
      <c r="T220" s="5" t="s">
        <v>5</v>
      </c>
      <c r="U220" s="5" t="s">
        <v>5</v>
      </c>
      <c r="V220" s="5" t="s">
        <v>5</v>
      </c>
      <c r="W220" s="13" t="s">
        <v>5</v>
      </c>
    </row>
    <row r="221" spans="1:23">
      <c r="A221" s="2">
        <v>45427</v>
      </c>
      <c r="B221" s="9">
        <f t="shared" si="8"/>
        <v>866</v>
      </c>
      <c r="C221" s="3" t="s">
        <v>80</v>
      </c>
      <c r="D221" s="3" t="s">
        <v>33</v>
      </c>
      <c r="E221" s="13" t="s">
        <v>102</v>
      </c>
      <c r="F221" s="5">
        <v>4.5</v>
      </c>
      <c r="G221" s="5" t="s">
        <v>5</v>
      </c>
      <c r="H221" s="5" t="s">
        <v>5</v>
      </c>
      <c r="I221" s="5" t="s">
        <v>5</v>
      </c>
      <c r="J221" s="5" t="s">
        <v>5</v>
      </c>
      <c r="K221" s="5" t="s">
        <v>5</v>
      </c>
      <c r="L221" s="5" t="s">
        <v>5</v>
      </c>
      <c r="M221" s="5" t="s">
        <v>5</v>
      </c>
      <c r="N221" s="5" t="s">
        <v>5</v>
      </c>
      <c r="O221" s="5" t="s">
        <v>5</v>
      </c>
      <c r="P221" s="5" t="s">
        <v>5</v>
      </c>
      <c r="Q221" s="5" t="s">
        <v>5</v>
      </c>
      <c r="R221" s="5" t="s">
        <v>5</v>
      </c>
      <c r="S221" s="5" t="s">
        <v>5</v>
      </c>
      <c r="T221" s="5" t="s">
        <v>5</v>
      </c>
      <c r="U221" s="5" t="s">
        <v>5</v>
      </c>
      <c r="V221" s="5" t="s">
        <v>5</v>
      </c>
      <c r="W221" s="13" t="s">
        <v>170</v>
      </c>
    </row>
    <row r="222" spans="1:23">
      <c r="A222" s="2">
        <v>45427</v>
      </c>
      <c r="B222" s="9">
        <f t="shared" si="8"/>
        <v>866</v>
      </c>
      <c r="C222" s="3" t="s">
        <v>80</v>
      </c>
      <c r="D222" s="3" t="s">
        <v>4</v>
      </c>
      <c r="E222" s="13" t="s">
        <v>104</v>
      </c>
      <c r="F222" s="5" t="s">
        <v>5</v>
      </c>
      <c r="G222" s="3">
        <v>1015</v>
      </c>
      <c r="H222" s="5">
        <v>18</v>
      </c>
      <c r="I222" s="9">
        <v>183.1</v>
      </c>
      <c r="J222" s="7">
        <v>9.1270000000000007</v>
      </c>
      <c r="K222" s="7">
        <v>8.7100000000000009</v>
      </c>
      <c r="L222" s="5">
        <v>98.3</v>
      </c>
      <c r="M222" s="7">
        <v>8.0399999999999991</v>
      </c>
      <c r="N222" s="3">
        <v>61</v>
      </c>
      <c r="O222" s="3">
        <v>74</v>
      </c>
      <c r="P222" s="3">
        <v>41</v>
      </c>
      <c r="Q222" s="3">
        <v>0</v>
      </c>
      <c r="R222" s="3">
        <v>0</v>
      </c>
      <c r="S222" s="9">
        <v>146</v>
      </c>
      <c r="T222" s="3">
        <f>O222-N222</f>
        <v>13</v>
      </c>
      <c r="U222" s="9">
        <f>(T222/O222)*100</f>
        <v>17.567567567567568</v>
      </c>
      <c r="V222" s="9">
        <f>S222/O222</f>
        <v>1.972972972972973</v>
      </c>
      <c r="W222" s="13" t="s">
        <v>161</v>
      </c>
    </row>
    <row r="223" spans="1:23">
      <c r="A223" s="2">
        <v>45427</v>
      </c>
      <c r="B223" s="9">
        <f t="shared" si="8"/>
        <v>866</v>
      </c>
      <c r="C223" s="3" t="s">
        <v>80</v>
      </c>
      <c r="D223" s="3" t="s">
        <v>21</v>
      </c>
      <c r="E223" s="13" t="s">
        <v>102</v>
      </c>
      <c r="F223" s="5">
        <v>3.5</v>
      </c>
      <c r="G223" s="5" t="s">
        <v>5</v>
      </c>
      <c r="H223" s="5" t="s">
        <v>5</v>
      </c>
      <c r="I223" s="5" t="s">
        <v>5</v>
      </c>
      <c r="J223" s="5" t="s">
        <v>5</v>
      </c>
      <c r="K223" s="5" t="s">
        <v>5</v>
      </c>
      <c r="L223" s="5" t="s">
        <v>5</v>
      </c>
      <c r="M223" s="5" t="s">
        <v>5</v>
      </c>
      <c r="N223" s="5" t="s">
        <v>5</v>
      </c>
      <c r="O223" s="5" t="s">
        <v>5</v>
      </c>
      <c r="P223" s="5" t="s">
        <v>5</v>
      </c>
      <c r="Q223" s="5" t="s">
        <v>5</v>
      </c>
      <c r="R223" s="5" t="s">
        <v>5</v>
      </c>
      <c r="S223" s="5" t="s">
        <v>5</v>
      </c>
      <c r="T223" s="5" t="s">
        <v>5</v>
      </c>
      <c r="U223" s="5" t="s">
        <v>5</v>
      </c>
      <c r="V223" s="5" t="s">
        <v>5</v>
      </c>
      <c r="W223" s="13" t="s">
        <v>5</v>
      </c>
    </row>
    <row r="224" spans="1:23">
      <c r="A224" s="2">
        <v>45427</v>
      </c>
      <c r="B224" s="9">
        <f t="shared" si="8"/>
        <v>866</v>
      </c>
      <c r="C224" s="3" t="s">
        <v>80</v>
      </c>
      <c r="D224" s="3" t="s">
        <v>6</v>
      </c>
      <c r="E224" s="13" t="s">
        <v>104</v>
      </c>
      <c r="F224" s="5" t="s">
        <v>5</v>
      </c>
      <c r="G224" s="3">
        <v>1022</v>
      </c>
      <c r="H224" s="5">
        <v>18.2</v>
      </c>
      <c r="I224" s="9">
        <v>192.6</v>
      </c>
      <c r="J224" s="7">
        <v>9.157</v>
      </c>
      <c r="K224" s="7">
        <v>8.67</v>
      </c>
      <c r="L224" s="5">
        <v>99.6</v>
      </c>
      <c r="M224" s="7">
        <v>8.1199999999999992</v>
      </c>
      <c r="N224" s="3">
        <v>52</v>
      </c>
      <c r="O224" s="3">
        <v>73</v>
      </c>
      <c r="P224" s="3">
        <v>32</v>
      </c>
      <c r="Q224" s="3">
        <v>0</v>
      </c>
      <c r="R224" s="3">
        <v>0</v>
      </c>
      <c r="S224" s="9">
        <v>307</v>
      </c>
      <c r="T224" s="3">
        <f>O224-N224</f>
        <v>21</v>
      </c>
      <c r="U224" s="9">
        <f>(T224/O224)*100</f>
        <v>28.767123287671232</v>
      </c>
      <c r="V224" s="9">
        <f>S224/O224</f>
        <v>4.2054794520547949</v>
      </c>
      <c r="W224" s="13" t="s">
        <v>168</v>
      </c>
    </row>
    <row r="225" spans="1:23">
      <c r="A225" s="2">
        <v>45427</v>
      </c>
      <c r="B225" s="9">
        <f t="shared" si="8"/>
        <v>866</v>
      </c>
      <c r="C225" s="3" t="s">
        <v>80</v>
      </c>
      <c r="D225" s="3" t="s">
        <v>7</v>
      </c>
      <c r="E225" s="13" t="s">
        <v>104</v>
      </c>
      <c r="F225" s="5" t="s">
        <v>5</v>
      </c>
      <c r="G225" s="3">
        <v>1051</v>
      </c>
      <c r="H225" s="5">
        <v>18.7</v>
      </c>
      <c r="I225" s="9">
        <v>345.2</v>
      </c>
      <c r="J225" s="7">
        <v>9.0709999999999997</v>
      </c>
      <c r="K225" s="7">
        <v>8.5399999999999991</v>
      </c>
      <c r="L225" s="5">
        <v>102.3</v>
      </c>
      <c r="M225" s="7">
        <v>8.2799999999999994</v>
      </c>
      <c r="N225" s="3">
        <v>157</v>
      </c>
      <c r="O225" s="3">
        <v>197</v>
      </c>
      <c r="P225" s="3">
        <v>125</v>
      </c>
      <c r="Q225" s="3">
        <v>18</v>
      </c>
      <c r="R225" s="3">
        <v>0</v>
      </c>
      <c r="S225" s="9">
        <v>1360</v>
      </c>
      <c r="T225" s="3">
        <f>O225-N225</f>
        <v>40</v>
      </c>
      <c r="U225" s="9">
        <f>(T225/O225)*100</f>
        <v>20.304568527918782</v>
      </c>
      <c r="V225" s="9">
        <f>S225/O225</f>
        <v>6.9035532994923861</v>
      </c>
      <c r="W225" s="13" t="s">
        <v>5</v>
      </c>
    </row>
    <row r="226" spans="1:23">
      <c r="A226" s="2">
        <v>45427</v>
      </c>
      <c r="B226" s="9">
        <f t="shared" si="8"/>
        <v>866</v>
      </c>
      <c r="C226" s="3" t="s">
        <v>80</v>
      </c>
      <c r="D226" s="3" t="s">
        <v>35</v>
      </c>
      <c r="E226" s="13" t="s">
        <v>103</v>
      </c>
      <c r="F226" s="5" t="s">
        <v>5</v>
      </c>
      <c r="G226" s="5" t="s">
        <v>5</v>
      </c>
      <c r="H226" s="5" t="s">
        <v>5</v>
      </c>
      <c r="I226" s="5" t="s">
        <v>5</v>
      </c>
      <c r="J226" s="5" t="s">
        <v>5</v>
      </c>
      <c r="K226" s="5" t="s">
        <v>5</v>
      </c>
      <c r="L226" s="5" t="s">
        <v>5</v>
      </c>
      <c r="M226" s="5" t="s">
        <v>5</v>
      </c>
      <c r="N226" s="3">
        <v>148</v>
      </c>
      <c r="O226" s="3">
        <v>200</v>
      </c>
      <c r="P226" s="3">
        <v>122</v>
      </c>
      <c r="Q226" s="3">
        <v>17</v>
      </c>
      <c r="R226" s="3">
        <v>0</v>
      </c>
      <c r="S226" s="9">
        <v>1330</v>
      </c>
      <c r="T226" s="3">
        <f>O226-N226</f>
        <v>52</v>
      </c>
      <c r="U226" s="9">
        <f>(T226/O226)*100</f>
        <v>26</v>
      </c>
      <c r="V226" s="9">
        <f>S226/O226</f>
        <v>6.65</v>
      </c>
      <c r="W226" s="13" t="s">
        <v>130</v>
      </c>
    </row>
    <row r="227" spans="1:23">
      <c r="A227" s="2">
        <v>45427</v>
      </c>
      <c r="B227" s="9">
        <f t="shared" si="8"/>
        <v>866</v>
      </c>
      <c r="C227" s="3" t="s">
        <v>80</v>
      </c>
      <c r="D227" s="3" t="s">
        <v>8</v>
      </c>
      <c r="E227" s="13" t="s">
        <v>104</v>
      </c>
      <c r="F227" s="5">
        <v>3.26</v>
      </c>
      <c r="G227" s="3">
        <v>1035</v>
      </c>
      <c r="H227" s="5">
        <v>17.8</v>
      </c>
      <c r="I227" s="9">
        <v>425.8</v>
      </c>
      <c r="J227" s="7">
        <v>9.0559999999999992</v>
      </c>
      <c r="K227" s="7">
        <v>8.61</v>
      </c>
      <c r="L227" s="5">
        <v>103.1</v>
      </c>
      <c r="M227" s="7">
        <v>8.4700000000000006</v>
      </c>
      <c r="N227" s="3">
        <v>227</v>
      </c>
      <c r="O227" s="3">
        <v>264</v>
      </c>
      <c r="P227" s="3">
        <v>162</v>
      </c>
      <c r="Q227" s="3">
        <v>19</v>
      </c>
      <c r="R227" s="3">
        <v>0</v>
      </c>
      <c r="S227" s="9">
        <v>1860</v>
      </c>
      <c r="T227" s="3">
        <f>O227-N227</f>
        <v>37</v>
      </c>
      <c r="U227" s="9">
        <f>(T227/O227)*100</f>
        <v>14.015151515151514</v>
      </c>
      <c r="V227" s="9">
        <f>S227/O227</f>
        <v>7.0454545454545459</v>
      </c>
      <c r="W227" s="13" t="s">
        <v>169</v>
      </c>
    </row>
    <row r="228" spans="1:23">
      <c r="A228" s="2">
        <v>45427</v>
      </c>
      <c r="B228" s="9">
        <f t="shared" si="8"/>
        <v>866</v>
      </c>
      <c r="C228" s="3" t="s">
        <v>80</v>
      </c>
      <c r="D228" s="3" t="s">
        <v>20</v>
      </c>
      <c r="E228" s="13" t="s">
        <v>102</v>
      </c>
      <c r="F228" s="5">
        <v>3.3</v>
      </c>
      <c r="G228" s="5" t="s">
        <v>5</v>
      </c>
      <c r="H228" s="5" t="s">
        <v>5</v>
      </c>
      <c r="I228" s="5" t="s">
        <v>5</v>
      </c>
      <c r="J228" s="5" t="s">
        <v>5</v>
      </c>
      <c r="K228" s="5" t="s">
        <v>5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  <c r="Q228" s="5" t="s">
        <v>5</v>
      </c>
      <c r="R228" s="5" t="s">
        <v>5</v>
      </c>
      <c r="S228" s="5" t="s">
        <v>5</v>
      </c>
      <c r="T228" s="5" t="s">
        <v>5</v>
      </c>
      <c r="U228" s="5" t="s">
        <v>5</v>
      </c>
      <c r="V228" s="5" t="s">
        <v>5</v>
      </c>
      <c r="W228" s="13" t="s">
        <v>156</v>
      </c>
    </row>
    <row r="229" spans="1:23">
      <c r="A229" s="2">
        <v>45461</v>
      </c>
      <c r="B229" s="9">
        <f t="shared" si="8"/>
        <v>900</v>
      </c>
      <c r="C229" s="3" t="s">
        <v>80</v>
      </c>
      <c r="D229" s="3" t="s">
        <v>9</v>
      </c>
      <c r="E229" s="13" t="s">
        <v>104</v>
      </c>
      <c r="F229" s="5" t="s">
        <v>5</v>
      </c>
      <c r="G229" s="3">
        <v>904</v>
      </c>
      <c r="H229" s="5">
        <v>13.2</v>
      </c>
      <c r="I229" s="9">
        <v>310.39999999999998</v>
      </c>
      <c r="J229" s="7">
        <v>9.1340000000000003</v>
      </c>
      <c r="K229" s="7">
        <v>10.36</v>
      </c>
      <c r="L229" s="5">
        <v>107.7</v>
      </c>
      <c r="M229" s="7">
        <v>9.6999999999999993</v>
      </c>
      <c r="N229" s="3">
        <v>170</v>
      </c>
      <c r="O229" s="3">
        <v>187</v>
      </c>
      <c r="P229" s="3">
        <v>126</v>
      </c>
      <c r="Q229" s="3">
        <v>30</v>
      </c>
      <c r="R229" s="3">
        <v>30</v>
      </c>
      <c r="S229" s="9">
        <v>1520</v>
      </c>
      <c r="T229" s="3">
        <f>O229-N229</f>
        <v>17</v>
      </c>
      <c r="U229" s="9">
        <f>(T229/O229)*100</f>
        <v>9.0909090909090917</v>
      </c>
      <c r="V229" s="9">
        <f>S229/O229</f>
        <v>8.1283422459893053</v>
      </c>
      <c r="W229" s="13" t="s">
        <v>175</v>
      </c>
    </row>
    <row r="230" spans="1:23">
      <c r="A230" s="2">
        <v>45461</v>
      </c>
      <c r="B230" s="9">
        <f t="shared" si="8"/>
        <v>900</v>
      </c>
      <c r="C230" s="3" t="s">
        <v>80</v>
      </c>
      <c r="D230" s="3" t="s">
        <v>33</v>
      </c>
      <c r="E230" s="13" t="s">
        <v>102</v>
      </c>
      <c r="F230" s="5">
        <v>4</v>
      </c>
      <c r="G230" s="9" t="s">
        <v>5</v>
      </c>
      <c r="H230" s="9" t="s">
        <v>5</v>
      </c>
      <c r="I230" s="9" t="s">
        <v>5</v>
      </c>
      <c r="J230" s="9" t="s">
        <v>5</v>
      </c>
      <c r="K230" s="9" t="s">
        <v>5</v>
      </c>
      <c r="L230" s="9" t="s">
        <v>5</v>
      </c>
      <c r="M230" s="9" t="s">
        <v>5</v>
      </c>
      <c r="N230" s="9" t="s">
        <v>5</v>
      </c>
      <c r="O230" s="9" t="s">
        <v>5</v>
      </c>
      <c r="P230" s="9" t="s">
        <v>5</v>
      </c>
      <c r="Q230" s="9" t="s">
        <v>5</v>
      </c>
      <c r="R230" s="9" t="s">
        <v>5</v>
      </c>
      <c r="S230" s="9" t="s">
        <v>5</v>
      </c>
      <c r="T230" s="9" t="s">
        <v>5</v>
      </c>
      <c r="U230" s="9" t="s">
        <v>5</v>
      </c>
      <c r="V230" s="9" t="s">
        <v>5</v>
      </c>
      <c r="W230" s="13" t="s">
        <v>176</v>
      </c>
    </row>
    <row r="231" spans="1:23">
      <c r="A231" s="2">
        <v>45461</v>
      </c>
      <c r="B231" s="9">
        <f t="shared" si="8"/>
        <v>900</v>
      </c>
      <c r="C231" s="3" t="s">
        <v>80</v>
      </c>
      <c r="D231" s="3" t="s">
        <v>4</v>
      </c>
      <c r="E231" s="13" t="s">
        <v>104</v>
      </c>
      <c r="F231" s="5" t="s">
        <v>5</v>
      </c>
      <c r="G231" s="3">
        <v>834</v>
      </c>
      <c r="H231" s="5">
        <v>15.4</v>
      </c>
      <c r="I231" s="9">
        <v>177.9</v>
      </c>
      <c r="J231" s="7">
        <v>9.1950000000000003</v>
      </c>
      <c r="K231" s="7">
        <v>9.11</v>
      </c>
      <c r="L231" s="5">
        <v>90.9</v>
      </c>
      <c r="M231" s="7">
        <v>7.82</v>
      </c>
      <c r="N231" s="3">
        <v>37</v>
      </c>
      <c r="O231" s="3">
        <v>47</v>
      </c>
      <c r="P231" s="3">
        <v>23</v>
      </c>
      <c r="Q231" s="3">
        <v>0</v>
      </c>
      <c r="R231" s="3">
        <v>23</v>
      </c>
      <c r="S231" s="9">
        <v>129</v>
      </c>
      <c r="T231" s="3">
        <f>O231-N231</f>
        <v>10</v>
      </c>
      <c r="U231" s="9">
        <f>(T231/O231)*100</f>
        <v>21.276595744680851</v>
      </c>
      <c r="V231" s="9">
        <f>S231/O231</f>
        <v>2.7446808510638299</v>
      </c>
      <c r="W231" s="13" t="s">
        <v>172</v>
      </c>
    </row>
    <row r="232" spans="1:23">
      <c r="A232" s="2">
        <v>45461</v>
      </c>
      <c r="B232" s="9">
        <f t="shared" si="8"/>
        <v>900</v>
      </c>
      <c r="C232" s="3" t="s">
        <v>80</v>
      </c>
      <c r="D232" s="3" t="s">
        <v>21</v>
      </c>
      <c r="E232" s="13" t="s">
        <v>102</v>
      </c>
      <c r="F232" s="5">
        <v>3.48</v>
      </c>
      <c r="G232" s="3" t="s">
        <v>5</v>
      </c>
      <c r="H232" s="3" t="s">
        <v>5</v>
      </c>
      <c r="I232" s="3" t="s">
        <v>5</v>
      </c>
      <c r="J232" s="3" t="s">
        <v>5</v>
      </c>
      <c r="K232" s="3" t="s">
        <v>5</v>
      </c>
      <c r="L232" s="3" t="s">
        <v>5</v>
      </c>
      <c r="M232" s="3" t="s">
        <v>5</v>
      </c>
      <c r="N232" s="3" t="s">
        <v>5</v>
      </c>
      <c r="O232" s="3" t="s">
        <v>5</v>
      </c>
      <c r="P232" s="3" t="s">
        <v>5</v>
      </c>
      <c r="Q232" s="3" t="s">
        <v>5</v>
      </c>
      <c r="R232" s="3" t="s">
        <v>5</v>
      </c>
      <c r="S232" s="3" t="s">
        <v>5</v>
      </c>
      <c r="T232" s="3" t="s">
        <v>5</v>
      </c>
      <c r="U232" s="3" t="s">
        <v>5</v>
      </c>
      <c r="V232" s="3" t="s">
        <v>5</v>
      </c>
      <c r="W232" s="13" t="s">
        <v>5</v>
      </c>
    </row>
    <row r="233" spans="1:23">
      <c r="A233" s="2">
        <v>45461</v>
      </c>
      <c r="B233" s="9">
        <f t="shared" si="8"/>
        <v>900</v>
      </c>
      <c r="C233" s="3" t="s">
        <v>80</v>
      </c>
      <c r="D233" s="3" t="s">
        <v>6</v>
      </c>
      <c r="E233" s="13" t="s">
        <v>104</v>
      </c>
      <c r="F233" s="5" t="s">
        <v>5</v>
      </c>
      <c r="G233" s="3">
        <v>842</v>
      </c>
      <c r="H233" s="5">
        <v>12.7</v>
      </c>
      <c r="I233" s="9">
        <v>187.5</v>
      </c>
      <c r="J233" s="7">
        <v>9.07</v>
      </c>
      <c r="K233" s="7">
        <v>10.52</v>
      </c>
      <c r="L233" s="5">
        <v>98.3</v>
      </c>
      <c r="M233" s="7">
        <v>8.99</v>
      </c>
      <c r="N233" s="3">
        <v>34</v>
      </c>
      <c r="O233" s="3">
        <v>47</v>
      </c>
      <c r="P233" s="3">
        <v>17</v>
      </c>
      <c r="Q233" s="3">
        <v>0</v>
      </c>
      <c r="R233" s="3">
        <v>0</v>
      </c>
      <c r="S233" s="9">
        <v>430</v>
      </c>
      <c r="T233" s="3">
        <f>O233-N233</f>
        <v>13</v>
      </c>
      <c r="U233" s="9">
        <f>(T233/O233)*100</f>
        <v>27.659574468085108</v>
      </c>
      <c r="V233" s="9">
        <f>S233/O233</f>
        <v>9.1489361702127656</v>
      </c>
      <c r="W233" s="13" t="s">
        <v>173</v>
      </c>
    </row>
    <row r="234" spans="1:23">
      <c r="A234" s="2">
        <v>45461</v>
      </c>
      <c r="B234" s="9">
        <f t="shared" si="8"/>
        <v>900</v>
      </c>
      <c r="C234" s="3" t="s">
        <v>80</v>
      </c>
      <c r="D234" s="3" t="s">
        <v>7</v>
      </c>
      <c r="E234" s="13" t="s">
        <v>104</v>
      </c>
      <c r="F234" s="5" t="s">
        <v>5</v>
      </c>
      <c r="G234" s="3">
        <v>917</v>
      </c>
      <c r="H234" s="5">
        <v>14</v>
      </c>
      <c r="I234" s="9">
        <v>221.4</v>
      </c>
      <c r="J234" s="7">
        <v>8.9830000000000005</v>
      </c>
      <c r="K234" s="7">
        <v>10.73</v>
      </c>
      <c r="L234" s="5">
        <v>132.19999999999999</v>
      </c>
      <c r="M234" s="7">
        <v>11.71</v>
      </c>
      <c r="N234" s="3">
        <v>138</v>
      </c>
      <c r="O234" s="3">
        <v>173</v>
      </c>
      <c r="P234" s="3">
        <v>93</v>
      </c>
      <c r="Q234" s="3">
        <v>19</v>
      </c>
      <c r="R234" s="3">
        <v>17</v>
      </c>
      <c r="S234" s="9">
        <v>1360</v>
      </c>
      <c r="T234" s="3">
        <f>O234-N234</f>
        <v>35</v>
      </c>
      <c r="U234" s="9">
        <f>(T234/O234)*100</f>
        <v>20.23121387283237</v>
      </c>
      <c r="V234" s="9">
        <f>S234/O234</f>
        <v>7.8612716763005777</v>
      </c>
      <c r="W234" s="13" t="s">
        <v>174</v>
      </c>
    </row>
    <row r="235" spans="1:23">
      <c r="A235" s="2">
        <v>45461</v>
      </c>
      <c r="B235" s="9">
        <f t="shared" si="8"/>
        <v>900</v>
      </c>
      <c r="C235" s="3" t="s">
        <v>80</v>
      </c>
      <c r="D235" s="3" t="s">
        <v>72</v>
      </c>
      <c r="E235" s="13" t="s">
        <v>103</v>
      </c>
      <c r="F235" s="5" t="s">
        <v>5</v>
      </c>
      <c r="G235" s="5" t="s">
        <v>5</v>
      </c>
      <c r="H235" s="5" t="s">
        <v>5</v>
      </c>
      <c r="I235" s="5" t="s">
        <v>5</v>
      </c>
      <c r="J235" s="5" t="s">
        <v>5</v>
      </c>
      <c r="K235" s="5" t="s">
        <v>5</v>
      </c>
      <c r="L235" s="5" t="s">
        <v>5</v>
      </c>
      <c r="M235" s="5" t="s">
        <v>5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9">
        <v>0</v>
      </c>
      <c r="T235" s="3">
        <v>0</v>
      </c>
      <c r="U235" s="9">
        <v>0</v>
      </c>
      <c r="V235" s="9">
        <v>0</v>
      </c>
      <c r="W235" s="13" t="s">
        <v>177</v>
      </c>
    </row>
    <row r="236" spans="1:23">
      <c r="A236" s="2">
        <v>45461</v>
      </c>
      <c r="B236" s="9">
        <f t="shared" si="8"/>
        <v>900</v>
      </c>
      <c r="C236" s="3" t="s">
        <v>80</v>
      </c>
      <c r="D236" s="3" t="s">
        <v>8</v>
      </c>
      <c r="E236" s="13" t="s">
        <v>104</v>
      </c>
      <c r="F236" s="5">
        <v>2.5</v>
      </c>
      <c r="G236" s="3">
        <v>857</v>
      </c>
      <c r="H236" s="5">
        <v>12.5</v>
      </c>
      <c r="I236" s="9">
        <v>355.3</v>
      </c>
      <c r="J236" s="7">
        <v>9.1010000000000009</v>
      </c>
      <c r="K236" s="7">
        <v>10.7</v>
      </c>
      <c r="L236" s="5">
        <v>90.8</v>
      </c>
      <c r="M236" s="7">
        <v>8.33</v>
      </c>
      <c r="N236" s="3">
        <v>232</v>
      </c>
      <c r="O236" s="3">
        <v>265</v>
      </c>
      <c r="P236" s="3">
        <v>177</v>
      </c>
      <c r="Q236" s="3">
        <v>17</v>
      </c>
      <c r="R236" s="3">
        <v>0</v>
      </c>
      <c r="S236" s="3">
        <v>1760</v>
      </c>
      <c r="T236" s="3">
        <f>O236-N236</f>
        <v>33</v>
      </c>
      <c r="U236" s="9">
        <f>(T236/O236)*100</f>
        <v>12.452830188679245</v>
      </c>
      <c r="V236" s="9">
        <f>S236/O236</f>
        <v>6.6415094339622645</v>
      </c>
      <c r="W236" s="13" t="s">
        <v>174</v>
      </c>
    </row>
    <row r="237" spans="1:23">
      <c r="A237" s="2">
        <v>45461</v>
      </c>
      <c r="B237" s="9">
        <f t="shared" si="8"/>
        <v>900</v>
      </c>
      <c r="C237" s="3" t="s">
        <v>80</v>
      </c>
      <c r="D237" s="3" t="s">
        <v>20</v>
      </c>
      <c r="E237" s="13" t="s">
        <v>102</v>
      </c>
      <c r="F237" s="5">
        <v>2.58</v>
      </c>
      <c r="G237" s="3" t="s">
        <v>5</v>
      </c>
      <c r="H237" s="3" t="s">
        <v>5</v>
      </c>
      <c r="I237" s="3" t="s">
        <v>5</v>
      </c>
      <c r="J237" s="3" t="s">
        <v>5</v>
      </c>
      <c r="K237" s="3" t="s">
        <v>5</v>
      </c>
      <c r="L237" s="3" t="s">
        <v>5</v>
      </c>
      <c r="M237" s="3" t="s">
        <v>5</v>
      </c>
      <c r="N237" s="3" t="s">
        <v>5</v>
      </c>
      <c r="O237" s="3" t="s">
        <v>5</v>
      </c>
      <c r="P237" s="3" t="s">
        <v>5</v>
      </c>
      <c r="Q237" s="3" t="s">
        <v>5</v>
      </c>
      <c r="R237" s="3" t="s">
        <v>5</v>
      </c>
      <c r="S237" s="3" t="s">
        <v>5</v>
      </c>
      <c r="T237" s="3" t="s">
        <v>5</v>
      </c>
      <c r="U237" s="3" t="s">
        <v>5</v>
      </c>
      <c r="V237" s="3" t="s">
        <v>5</v>
      </c>
      <c r="W237" s="13" t="s">
        <v>5</v>
      </c>
    </row>
    <row r="238" spans="1:23">
      <c r="A238" s="2">
        <v>45489</v>
      </c>
      <c r="B238" s="9">
        <f t="shared" si="8"/>
        <v>928</v>
      </c>
      <c r="C238" s="3" t="s">
        <v>80</v>
      </c>
      <c r="D238" s="3" t="s">
        <v>33</v>
      </c>
      <c r="E238" s="13" t="s">
        <v>102</v>
      </c>
      <c r="F238" s="5">
        <v>3.85</v>
      </c>
      <c r="G238" s="5" t="s">
        <v>5</v>
      </c>
      <c r="H238" s="5" t="s">
        <v>5</v>
      </c>
      <c r="I238" s="5" t="s">
        <v>5</v>
      </c>
      <c r="J238" s="5" t="s">
        <v>5</v>
      </c>
      <c r="K238" s="5" t="s">
        <v>5</v>
      </c>
      <c r="L238" s="5" t="s">
        <v>5</v>
      </c>
      <c r="M238" s="5" t="s">
        <v>5</v>
      </c>
      <c r="N238" s="5" t="s">
        <v>5</v>
      </c>
      <c r="O238" s="5" t="s">
        <v>5</v>
      </c>
      <c r="P238" s="5" t="s">
        <v>5</v>
      </c>
      <c r="Q238" s="5" t="s">
        <v>5</v>
      </c>
      <c r="R238" s="5" t="s">
        <v>5</v>
      </c>
      <c r="S238" s="5" t="s">
        <v>5</v>
      </c>
      <c r="T238" s="5" t="s">
        <v>5</v>
      </c>
      <c r="U238" s="5" t="s">
        <v>5</v>
      </c>
      <c r="V238" s="5" t="s">
        <v>5</v>
      </c>
      <c r="W238" s="13" t="s">
        <v>178</v>
      </c>
    </row>
    <row r="239" spans="1:23">
      <c r="A239" s="2">
        <v>45489</v>
      </c>
      <c r="B239" s="9">
        <f t="shared" si="8"/>
        <v>928</v>
      </c>
      <c r="C239" s="3" t="s">
        <v>80</v>
      </c>
      <c r="D239" s="3" t="s">
        <v>4</v>
      </c>
      <c r="E239" s="13" t="s">
        <v>104</v>
      </c>
      <c r="F239" s="5" t="s">
        <v>5</v>
      </c>
      <c r="G239" s="3">
        <v>836</v>
      </c>
      <c r="H239" s="5">
        <v>20.6</v>
      </c>
      <c r="I239" s="9">
        <v>180.5</v>
      </c>
      <c r="J239" s="7">
        <v>9.0229999999999997</v>
      </c>
      <c r="K239" s="7">
        <v>8.75</v>
      </c>
      <c r="L239" s="5">
        <v>43.7</v>
      </c>
      <c r="M239" s="7">
        <v>3.4</v>
      </c>
      <c r="N239" s="3">
        <v>54</v>
      </c>
      <c r="O239" s="3">
        <v>71</v>
      </c>
      <c r="P239" s="3">
        <v>30</v>
      </c>
      <c r="Q239" s="3">
        <v>22</v>
      </c>
      <c r="R239" s="3">
        <v>24</v>
      </c>
      <c r="S239" s="9">
        <v>281</v>
      </c>
      <c r="T239" s="3">
        <f>O239-N239</f>
        <v>17</v>
      </c>
      <c r="U239" s="9">
        <f>(T239/O239)*100</f>
        <v>23.943661971830984</v>
      </c>
      <c r="V239" s="9">
        <f>S239/O239</f>
        <v>3.9577464788732395</v>
      </c>
      <c r="W239" s="13" t="s">
        <v>179</v>
      </c>
    </row>
    <row r="240" spans="1:23">
      <c r="A240" s="2">
        <v>45489</v>
      </c>
      <c r="B240" s="9">
        <f t="shared" si="8"/>
        <v>928</v>
      </c>
      <c r="C240" s="3" t="s">
        <v>80</v>
      </c>
      <c r="D240" s="3" t="s">
        <v>21</v>
      </c>
      <c r="E240" s="13" t="s">
        <v>102</v>
      </c>
      <c r="F240" s="5">
        <v>3.4</v>
      </c>
      <c r="G240" s="5" t="s">
        <v>5</v>
      </c>
      <c r="H240" s="5" t="s">
        <v>5</v>
      </c>
      <c r="I240" s="5" t="s">
        <v>5</v>
      </c>
      <c r="J240" s="5" t="s">
        <v>5</v>
      </c>
      <c r="K240" s="5" t="s">
        <v>5</v>
      </c>
      <c r="L240" s="5" t="s">
        <v>5</v>
      </c>
      <c r="M240" s="5" t="s">
        <v>5</v>
      </c>
      <c r="N240" s="5" t="s">
        <v>5</v>
      </c>
      <c r="O240" s="5" t="s">
        <v>5</v>
      </c>
      <c r="P240" s="5" t="s">
        <v>5</v>
      </c>
      <c r="Q240" s="5" t="s">
        <v>5</v>
      </c>
      <c r="R240" s="5" t="s">
        <v>5</v>
      </c>
      <c r="S240" s="5" t="s">
        <v>5</v>
      </c>
      <c r="T240" s="5" t="s">
        <v>5</v>
      </c>
      <c r="U240" s="5" t="s">
        <v>5</v>
      </c>
      <c r="V240" s="5" t="s">
        <v>5</v>
      </c>
      <c r="W240" s="13" t="s">
        <v>178</v>
      </c>
    </row>
    <row r="241" spans="1:23">
      <c r="A241" s="2">
        <v>45489</v>
      </c>
      <c r="B241" s="9">
        <f t="shared" si="8"/>
        <v>928</v>
      </c>
      <c r="C241" s="3" t="s">
        <v>80</v>
      </c>
      <c r="D241" s="3" t="s">
        <v>6</v>
      </c>
      <c r="E241" s="13" t="s">
        <v>104</v>
      </c>
      <c r="F241" s="5" t="s">
        <v>5</v>
      </c>
      <c r="G241" s="3">
        <v>853</v>
      </c>
      <c r="H241" s="5">
        <v>21.9</v>
      </c>
      <c r="I241" s="9">
        <v>199.4</v>
      </c>
      <c r="J241" s="7">
        <v>9.1110000000000007</v>
      </c>
      <c r="K241" s="7">
        <v>10.17</v>
      </c>
      <c r="L241" s="5">
        <v>41.2</v>
      </c>
      <c r="M241" s="7">
        <v>3.12</v>
      </c>
      <c r="N241" s="3">
        <v>42</v>
      </c>
      <c r="O241" s="3">
        <v>48</v>
      </c>
      <c r="P241" s="3">
        <v>12</v>
      </c>
      <c r="Q241" s="3">
        <v>17</v>
      </c>
      <c r="R241" s="3">
        <v>0</v>
      </c>
      <c r="S241" s="9">
        <v>563</v>
      </c>
      <c r="T241" s="3">
        <f>O241-N241</f>
        <v>6</v>
      </c>
      <c r="U241" s="9">
        <f>(T241/O241)*100</f>
        <v>12.5</v>
      </c>
      <c r="V241" s="9">
        <f>S241/O241</f>
        <v>11.729166666666666</v>
      </c>
      <c r="W241" s="13" t="s">
        <v>180</v>
      </c>
    </row>
    <row r="242" spans="1:23">
      <c r="A242" s="2">
        <v>45489</v>
      </c>
      <c r="B242" s="9">
        <f t="shared" si="8"/>
        <v>928</v>
      </c>
      <c r="C242" s="3" t="s">
        <v>80</v>
      </c>
      <c r="D242" s="3" t="s">
        <v>7</v>
      </c>
      <c r="E242" s="13" t="s">
        <v>104</v>
      </c>
      <c r="F242" s="5" t="s">
        <v>5</v>
      </c>
      <c r="G242" s="3">
        <v>954</v>
      </c>
      <c r="H242" s="5">
        <v>18.8</v>
      </c>
      <c r="I242" s="9">
        <v>204.8</v>
      </c>
      <c r="J242" s="7">
        <v>9.0440000000000005</v>
      </c>
      <c r="K242" s="7">
        <v>9.82</v>
      </c>
      <c r="L242" s="5">
        <v>11</v>
      </c>
      <c r="M242" s="7">
        <v>0.89</v>
      </c>
      <c r="N242" s="3">
        <v>163</v>
      </c>
      <c r="O242" s="3">
        <v>183</v>
      </c>
      <c r="P242" s="3">
        <v>115</v>
      </c>
      <c r="Q242" s="3">
        <v>38</v>
      </c>
      <c r="R242" s="3">
        <v>0</v>
      </c>
      <c r="S242" s="9">
        <v>1160</v>
      </c>
      <c r="T242" s="3">
        <f>O242-N242</f>
        <v>20</v>
      </c>
      <c r="U242" s="9">
        <f>(T242/O242)*100</f>
        <v>10.928961748633879</v>
      </c>
      <c r="V242" s="9">
        <f>S242/O242</f>
        <v>6.3387978142076502</v>
      </c>
      <c r="W242" s="13" t="s">
        <v>5</v>
      </c>
    </row>
    <row r="243" spans="1:23">
      <c r="A243" s="2">
        <v>45489</v>
      </c>
      <c r="B243" s="9">
        <f t="shared" si="8"/>
        <v>928</v>
      </c>
      <c r="C243" s="3" t="s">
        <v>80</v>
      </c>
      <c r="D243" s="3" t="s">
        <v>35</v>
      </c>
      <c r="E243" s="13" t="s">
        <v>103</v>
      </c>
      <c r="F243" s="5" t="s">
        <v>5</v>
      </c>
      <c r="G243" s="5" t="s">
        <v>5</v>
      </c>
      <c r="H243" s="5" t="s">
        <v>5</v>
      </c>
      <c r="I243" s="5" t="s">
        <v>5</v>
      </c>
      <c r="J243" s="5" t="s">
        <v>5</v>
      </c>
      <c r="K243" s="5" t="s">
        <v>5</v>
      </c>
      <c r="L243" s="5" t="s">
        <v>5</v>
      </c>
      <c r="M243" s="5" t="s">
        <v>5</v>
      </c>
      <c r="N243" s="3">
        <v>167</v>
      </c>
      <c r="O243" s="3">
        <v>194</v>
      </c>
      <c r="P243" s="3">
        <v>117</v>
      </c>
      <c r="Q243" s="3">
        <v>41</v>
      </c>
      <c r="R243" s="3">
        <v>0</v>
      </c>
      <c r="S243" s="9">
        <v>1150</v>
      </c>
      <c r="T243" s="3">
        <f>O243-N243</f>
        <v>27</v>
      </c>
      <c r="U243" s="9">
        <f>(T243/O243)*100</f>
        <v>13.917525773195877</v>
      </c>
      <c r="V243" s="9">
        <f>S243/O243</f>
        <v>5.927835051546392</v>
      </c>
      <c r="W243" s="13" t="s">
        <v>5</v>
      </c>
    </row>
    <row r="244" spans="1:23">
      <c r="A244" s="2">
        <v>45489</v>
      </c>
      <c r="B244" s="9">
        <f t="shared" si="8"/>
        <v>928</v>
      </c>
      <c r="C244" s="3" t="s">
        <v>80</v>
      </c>
      <c r="D244" s="3" t="s">
        <v>8</v>
      </c>
      <c r="E244" s="13" t="s">
        <v>104</v>
      </c>
      <c r="F244" s="5">
        <v>0.9</v>
      </c>
      <c r="G244" s="3">
        <v>925</v>
      </c>
      <c r="H244" s="5">
        <v>18.5</v>
      </c>
      <c r="I244" s="9">
        <v>306.89999999999998</v>
      </c>
      <c r="J244" s="7">
        <v>9.1790000000000003</v>
      </c>
      <c r="K244" s="7">
        <v>8.26</v>
      </c>
      <c r="L244" s="5">
        <v>2.8</v>
      </c>
      <c r="M244" s="7">
        <v>0.23</v>
      </c>
      <c r="N244" s="3">
        <v>153</v>
      </c>
      <c r="O244" s="3">
        <v>193</v>
      </c>
      <c r="P244" s="3">
        <v>83</v>
      </c>
      <c r="Q244" s="3">
        <v>18</v>
      </c>
      <c r="R244" s="3">
        <v>33</v>
      </c>
      <c r="S244" s="9">
        <v>2080</v>
      </c>
      <c r="T244" s="3">
        <f>O244-N244</f>
        <v>40</v>
      </c>
      <c r="U244" s="9">
        <f>(T244/O244)*100</f>
        <v>20.725388601036268</v>
      </c>
      <c r="V244" s="9">
        <f>S244/O244</f>
        <v>10.777202072538859</v>
      </c>
      <c r="W244" s="13" t="s">
        <v>5</v>
      </c>
    </row>
    <row r="245" spans="1:23">
      <c r="A245" s="2">
        <v>45489</v>
      </c>
      <c r="B245" s="9">
        <f t="shared" si="8"/>
        <v>928</v>
      </c>
      <c r="C245" s="3" t="s">
        <v>80</v>
      </c>
      <c r="D245" s="3" t="s">
        <v>20</v>
      </c>
      <c r="E245" s="13" t="s">
        <v>102</v>
      </c>
      <c r="F245" s="5">
        <v>1</v>
      </c>
      <c r="G245" s="5" t="s">
        <v>5</v>
      </c>
      <c r="H245" s="5" t="s">
        <v>5</v>
      </c>
      <c r="I245" s="5" t="s">
        <v>5</v>
      </c>
      <c r="J245" s="5" t="s">
        <v>5</v>
      </c>
      <c r="K245" s="5" t="s">
        <v>5</v>
      </c>
      <c r="L245" s="5" t="s">
        <v>5</v>
      </c>
      <c r="M245" s="5" t="s">
        <v>5</v>
      </c>
      <c r="N245" s="5" t="s">
        <v>5</v>
      </c>
      <c r="O245" s="5" t="s">
        <v>5</v>
      </c>
      <c r="P245" s="5" t="s">
        <v>5</v>
      </c>
      <c r="Q245" s="5" t="s">
        <v>5</v>
      </c>
      <c r="R245" s="5" t="s">
        <v>5</v>
      </c>
      <c r="S245" s="5" t="s">
        <v>5</v>
      </c>
      <c r="T245" s="5" t="s">
        <v>5</v>
      </c>
      <c r="U245" s="5" t="s">
        <v>5</v>
      </c>
      <c r="V245" s="5" t="s">
        <v>5</v>
      </c>
      <c r="W245" s="13" t="s">
        <v>178</v>
      </c>
    </row>
    <row r="246" spans="1:23">
      <c r="A246" s="2">
        <v>45524</v>
      </c>
      <c r="B246" s="9">
        <f t="shared" si="8"/>
        <v>963</v>
      </c>
      <c r="C246" s="3" t="s">
        <v>80</v>
      </c>
      <c r="D246" s="3" t="s">
        <v>33</v>
      </c>
      <c r="E246" s="13" t="s">
        <v>102</v>
      </c>
      <c r="F246" s="5">
        <v>3.68</v>
      </c>
      <c r="G246" s="5" t="s">
        <v>5</v>
      </c>
      <c r="H246" s="5" t="s">
        <v>5</v>
      </c>
      <c r="I246" s="5" t="s">
        <v>5</v>
      </c>
      <c r="J246" s="5" t="s">
        <v>5</v>
      </c>
      <c r="K246" s="5" t="s">
        <v>5</v>
      </c>
      <c r="L246" s="5" t="s">
        <v>5</v>
      </c>
      <c r="M246" s="5" t="s">
        <v>5</v>
      </c>
      <c r="N246" s="3" t="s">
        <v>5</v>
      </c>
      <c r="O246" s="3" t="s">
        <v>5</v>
      </c>
      <c r="P246" s="3" t="s">
        <v>5</v>
      </c>
      <c r="Q246" s="3" t="s">
        <v>5</v>
      </c>
      <c r="R246" s="3" t="s">
        <v>5</v>
      </c>
      <c r="S246" s="3" t="s">
        <v>5</v>
      </c>
      <c r="T246" s="3" t="s">
        <v>5</v>
      </c>
      <c r="U246" s="3" t="s">
        <v>5</v>
      </c>
      <c r="V246" s="3" t="s">
        <v>5</v>
      </c>
      <c r="W246" s="13" t="s">
        <v>5</v>
      </c>
    </row>
    <row r="247" spans="1:23">
      <c r="A247" s="2">
        <v>45524</v>
      </c>
      <c r="B247" s="9">
        <f t="shared" si="8"/>
        <v>963</v>
      </c>
      <c r="C247" s="3" t="s">
        <v>80</v>
      </c>
      <c r="D247" s="3" t="s">
        <v>4</v>
      </c>
      <c r="E247" s="13" t="s">
        <v>104</v>
      </c>
      <c r="F247" s="5" t="s">
        <v>5</v>
      </c>
      <c r="G247" s="3">
        <v>1041</v>
      </c>
      <c r="H247" s="5">
        <v>18.5</v>
      </c>
      <c r="I247" s="9">
        <v>179.5</v>
      </c>
      <c r="J247" s="7">
        <v>9.1329999999999991</v>
      </c>
      <c r="K247" s="7">
        <v>10.199999999999999</v>
      </c>
      <c r="L247" s="5">
        <v>51.9</v>
      </c>
      <c r="M247" s="7">
        <v>4.22</v>
      </c>
      <c r="N247" s="3">
        <v>19</v>
      </c>
      <c r="O247" s="3">
        <v>45</v>
      </c>
      <c r="P247" s="3">
        <v>7</v>
      </c>
      <c r="Q247" s="3">
        <v>0</v>
      </c>
      <c r="R247" s="3">
        <v>40</v>
      </c>
      <c r="S247" s="9">
        <v>471</v>
      </c>
      <c r="T247" s="3">
        <f>O247-N247</f>
        <v>26</v>
      </c>
      <c r="U247" s="9">
        <f>(T247/O247)*100</f>
        <v>57.777777777777771</v>
      </c>
      <c r="V247" s="9">
        <f>S247/O247</f>
        <v>10.466666666666667</v>
      </c>
      <c r="W247" s="13" t="s">
        <v>5</v>
      </c>
    </row>
    <row r="248" spans="1:23">
      <c r="A248" s="2">
        <v>45524</v>
      </c>
      <c r="B248" s="9">
        <f t="shared" si="8"/>
        <v>963</v>
      </c>
      <c r="C248" s="3" t="s">
        <v>80</v>
      </c>
      <c r="D248" s="3" t="s">
        <v>21</v>
      </c>
      <c r="E248" s="13" t="s">
        <v>102</v>
      </c>
      <c r="F248" s="5">
        <v>3.25</v>
      </c>
      <c r="G248" s="5" t="s">
        <v>5</v>
      </c>
      <c r="H248" s="5" t="s">
        <v>5</v>
      </c>
      <c r="I248" s="5" t="s">
        <v>5</v>
      </c>
      <c r="J248" s="5" t="s">
        <v>5</v>
      </c>
      <c r="K248" s="5" t="s">
        <v>5</v>
      </c>
      <c r="L248" s="5" t="s">
        <v>5</v>
      </c>
      <c r="M248" s="5" t="s">
        <v>5</v>
      </c>
      <c r="N248" s="3" t="s">
        <v>5</v>
      </c>
      <c r="O248" s="3" t="s">
        <v>5</v>
      </c>
      <c r="P248" s="3" t="s">
        <v>5</v>
      </c>
      <c r="Q248" s="3" t="s">
        <v>5</v>
      </c>
      <c r="R248" s="3" t="s">
        <v>5</v>
      </c>
      <c r="S248" s="3" t="s">
        <v>5</v>
      </c>
      <c r="T248" s="3" t="s">
        <v>5</v>
      </c>
      <c r="U248" s="3" t="s">
        <v>5</v>
      </c>
      <c r="V248" s="3" t="s">
        <v>5</v>
      </c>
      <c r="W248" s="13" t="s">
        <v>5</v>
      </c>
    </row>
    <row r="249" spans="1:23">
      <c r="A249" s="2">
        <v>45524</v>
      </c>
      <c r="B249" s="9">
        <f t="shared" si="8"/>
        <v>963</v>
      </c>
      <c r="C249" s="3" t="s">
        <v>80</v>
      </c>
      <c r="D249" s="3" t="s">
        <v>6</v>
      </c>
      <c r="E249" s="13" t="s">
        <v>104</v>
      </c>
      <c r="F249" s="5" t="s">
        <v>5</v>
      </c>
      <c r="G249" s="3">
        <v>1053</v>
      </c>
      <c r="H249" s="5">
        <v>19.5</v>
      </c>
      <c r="I249" s="9">
        <v>198.6</v>
      </c>
      <c r="J249" s="7">
        <v>8.9760000000000009</v>
      </c>
      <c r="K249" s="7">
        <v>9.7799999999999994</v>
      </c>
      <c r="L249" s="5">
        <v>88.6</v>
      </c>
      <c r="M249" s="7">
        <v>7.04</v>
      </c>
      <c r="N249" s="3">
        <v>26</v>
      </c>
      <c r="O249" s="3">
        <v>290</v>
      </c>
      <c r="P249" s="3">
        <v>13</v>
      </c>
      <c r="Q249" s="3">
        <v>48</v>
      </c>
      <c r="R249" s="3">
        <v>33</v>
      </c>
      <c r="S249" s="9">
        <v>2060</v>
      </c>
      <c r="T249" s="3">
        <f>O249-N249</f>
        <v>264</v>
      </c>
      <c r="U249" s="9">
        <f>(T249/O249)*100</f>
        <v>91.034482758620697</v>
      </c>
      <c r="V249" s="9">
        <f>S249/O249</f>
        <v>7.1034482758620694</v>
      </c>
      <c r="W249" s="13" t="s">
        <v>183</v>
      </c>
    </row>
    <row r="250" spans="1:23">
      <c r="A250" s="2">
        <v>45524</v>
      </c>
      <c r="B250" s="9">
        <f t="shared" ref="B250:B281" si="9">TEXT((A250-DATEVALUE("1/1/"&amp;TEXT(A250,"yy"))+1),"000")+365+365</f>
        <v>963</v>
      </c>
      <c r="C250" s="3" t="s">
        <v>80</v>
      </c>
      <c r="D250" s="3" t="s">
        <v>7</v>
      </c>
      <c r="E250" s="13" t="s">
        <v>104</v>
      </c>
      <c r="F250" s="5" t="s">
        <v>5</v>
      </c>
      <c r="G250" s="3">
        <v>1144</v>
      </c>
      <c r="H250" s="5">
        <v>19.5</v>
      </c>
      <c r="I250" s="9">
        <v>246.5</v>
      </c>
      <c r="J250" s="7">
        <v>8.9939999999999998</v>
      </c>
      <c r="K250" s="7">
        <v>8.2100000000000009</v>
      </c>
      <c r="L250" s="5">
        <v>64.2</v>
      </c>
      <c r="M250" s="7">
        <v>5.0999999999999996</v>
      </c>
      <c r="N250" s="3">
        <v>112</v>
      </c>
      <c r="O250" s="3">
        <v>426</v>
      </c>
      <c r="P250" s="3">
        <v>74</v>
      </c>
      <c r="Q250" s="3">
        <v>78</v>
      </c>
      <c r="R250" s="3">
        <v>37</v>
      </c>
      <c r="S250" s="9">
        <v>3560</v>
      </c>
      <c r="T250" s="3">
        <f>O250-N250</f>
        <v>314</v>
      </c>
      <c r="U250" s="9">
        <f>(T250/O250)*100</f>
        <v>73.708920187793424</v>
      </c>
      <c r="V250" s="9">
        <f>S250/O250</f>
        <v>8.3568075117370899</v>
      </c>
      <c r="W250" s="13" t="s">
        <v>182</v>
      </c>
    </row>
    <row r="251" spans="1:23">
      <c r="A251" s="2">
        <v>45524</v>
      </c>
      <c r="B251" s="9">
        <f t="shared" si="9"/>
        <v>963</v>
      </c>
      <c r="C251" s="3" t="s">
        <v>80</v>
      </c>
      <c r="D251" s="3" t="s">
        <v>72</v>
      </c>
      <c r="E251" s="13" t="s">
        <v>103</v>
      </c>
      <c r="F251" s="5" t="s">
        <v>5</v>
      </c>
      <c r="G251" s="5" t="s">
        <v>5</v>
      </c>
      <c r="H251" s="5" t="s">
        <v>5</v>
      </c>
      <c r="I251" s="5" t="s">
        <v>5</v>
      </c>
      <c r="J251" s="5" t="s">
        <v>5</v>
      </c>
      <c r="K251" s="5" t="s">
        <v>5</v>
      </c>
      <c r="L251" s="5" t="s">
        <v>5</v>
      </c>
      <c r="M251" s="5" t="s">
        <v>5</v>
      </c>
      <c r="N251" s="3">
        <v>0</v>
      </c>
      <c r="O251" s="3">
        <v>0</v>
      </c>
      <c r="P251" s="3">
        <v>0</v>
      </c>
      <c r="Q251" s="3">
        <v>0</v>
      </c>
      <c r="R251" s="10">
        <v>15</v>
      </c>
      <c r="S251" s="9">
        <v>0</v>
      </c>
      <c r="T251" s="3">
        <f>O251-N251</f>
        <v>0</v>
      </c>
      <c r="U251" s="9">
        <v>0</v>
      </c>
      <c r="V251" s="9">
        <v>0</v>
      </c>
      <c r="W251" s="13" t="s">
        <v>147</v>
      </c>
    </row>
    <row r="252" spans="1:23">
      <c r="A252" s="2">
        <v>45524</v>
      </c>
      <c r="B252" s="9">
        <f t="shared" si="9"/>
        <v>963</v>
      </c>
      <c r="C252" s="3" t="s">
        <v>80</v>
      </c>
      <c r="D252" s="3" t="s">
        <v>8</v>
      </c>
      <c r="E252" s="13" t="s">
        <v>104</v>
      </c>
      <c r="F252" s="5">
        <v>0.9</v>
      </c>
      <c r="G252" s="3">
        <v>1119</v>
      </c>
      <c r="H252" s="5">
        <v>16.5</v>
      </c>
      <c r="I252" s="9">
        <v>357.7</v>
      </c>
      <c r="J252" s="7">
        <v>9.1159999999999997</v>
      </c>
      <c r="K252" s="7">
        <v>7.92</v>
      </c>
      <c r="L252" s="5">
        <v>4.9000000000000004</v>
      </c>
      <c r="M252" s="7">
        <v>0.41</v>
      </c>
      <c r="N252" s="3">
        <v>81</v>
      </c>
      <c r="O252" s="3">
        <v>116</v>
      </c>
      <c r="P252" s="3">
        <v>31</v>
      </c>
      <c r="Q252" s="3">
        <v>29</v>
      </c>
      <c r="R252" s="3">
        <v>16</v>
      </c>
      <c r="S252" s="9">
        <v>2150</v>
      </c>
      <c r="T252" s="3">
        <f>O252-N252</f>
        <v>35</v>
      </c>
      <c r="U252" s="9">
        <f>(T252/O252)*100</f>
        <v>30.172413793103448</v>
      </c>
      <c r="V252" s="9">
        <f>S252/O252</f>
        <v>18.53448275862069</v>
      </c>
      <c r="W252" s="13" t="s">
        <v>5</v>
      </c>
    </row>
    <row r="253" spans="1:23">
      <c r="A253" s="2">
        <v>45524</v>
      </c>
      <c r="B253" s="9">
        <f t="shared" si="9"/>
        <v>963</v>
      </c>
      <c r="C253" s="3" t="s">
        <v>80</v>
      </c>
      <c r="D253" s="3" t="s">
        <v>20</v>
      </c>
      <c r="E253" s="13" t="s">
        <v>102</v>
      </c>
      <c r="F253" s="5">
        <v>0.95</v>
      </c>
      <c r="G253" s="5" t="s">
        <v>5</v>
      </c>
      <c r="H253" s="5" t="s">
        <v>5</v>
      </c>
      <c r="I253" s="5" t="s">
        <v>5</v>
      </c>
      <c r="J253" s="5" t="s">
        <v>5</v>
      </c>
      <c r="K253" s="5" t="s">
        <v>5</v>
      </c>
      <c r="L253" s="5" t="s">
        <v>5</v>
      </c>
      <c r="M253" s="5" t="s">
        <v>5</v>
      </c>
      <c r="N253" s="3" t="s">
        <v>5</v>
      </c>
      <c r="O253" s="3" t="s">
        <v>5</v>
      </c>
      <c r="P253" s="3" t="s">
        <v>5</v>
      </c>
      <c r="Q253" s="3" t="s">
        <v>5</v>
      </c>
      <c r="R253" s="3" t="s">
        <v>5</v>
      </c>
      <c r="S253" s="3" t="s">
        <v>5</v>
      </c>
      <c r="T253" s="3" t="s">
        <v>5</v>
      </c>
      <c r="U253" s="3" t="s">
        <v>5</v>
      </c>
      <c r="V253" s="3" t="s">
        <v>5</v>
      </c>
      <c r="W253" s="13" t="s">
        <v>5</v>
      </c>
    </row>
    <row r="254" spans="1:23">
      <c r="A254" s="2">
        <v>45552</v>
      </c>
      <c r="B254" s="9">
        <f t="shared" si="9"/>
        <v>991</v>
      </c>
      <c r="C254" s="3" t="s">
        <v>80</v>
      </c>
      <c r="D254" s="3" t="s">
        <v>33</v>
      </c>
      <c r="E254" s="13" t="s">
        <v>102</v>
      </c>
      <c r="F254" s="5">
        <v>3.49</v>
      </c>
      <c r="G254" s="5" t="s">
        <v>5</v>
      </c>
      <c r="H254" s="5" t="s">
        <v>5</v>
      </c>
      <c r="I254" s="5" t="s">
        <v>5</v>
      </c>
      <c r="J254" s="5" t="s">
        <v>5</v>
      </c>
      <c r="K254" s="5" t="s">
        <v>5</v>
      </c>
      <c r="L254" s="5" t="s">
        <v>5</v>
      </c>
      <c r="M254" s="5" t="s">
        <v>5</v>
      </c>
      <c r="N254" s="3" t="s">
        <v>5</v>
      </c>
      <c r="O254" s="3" t="s">
        <v>5</v>
      </c>
      <c r="P254" s="3" t="s">
        <v>5</v>
      </c>
      <c r="Q254" s="3" t="s">
        <v>5</v>
      </c>
      <c r="R254" s="3" t="s">
        <v>5</v>
      </c>
      <c r="S254" s="3" t="s">
        <v>5</v>
      </c>
      <c r="T254" s="3" t="s">
        <v>5</v>
      </c>
      <c r="U254" s="3" t="s">
        <v>5</v>
      </c>
      <c r="V254" s="3" t="s">
        <v>5</v>
      </c>
      <c r="W254" s="13" t="s">
        <v>5</v>
      </c>
    </row>
    <row r="255" spans="1:23">
      <c r="A255" s="2">
        <v>45552</v>
      </c>
      <c r="B255" s="9">
        <f t="shared" si="9"/>
        <v>991</v>
      </c>
      <c r="C255" s="3" t="s">
        <v>80</v>
      </c>
      <c r="D255" s="3" t="s">
        <v>4</v>
      </c>
      <c r="E255" s="13" t="s">
        <v>104</v>
      </c>
      <c r="F255" s="5" t="s">
        <v>5</v>
      </c>
      <c r="G255" s="3">
        <v>1014</v>
      </c>
      <c r="H255" s="5">
        <v>13.4</v>
      </c>
      <c r="I255" s="9">
        <v>188.6</v>
      </c>
      <c r="J255" s="7">
        <v>8.923</v>
      </c>
      <c r="K255" s="7">
        <v>8.56</v>
      </c>
      <c r="L255" s="5">
        <v>53.3</v>
      </c>
      <c r="M255" s="7">
        <v>4.79</v>
      </c>
      <c r="N255" s="3">
        <v>20</v>
      </c>
      <c r="O255" s="3">
        <v>31</v>
      </c>
      <c r="P255" s="3">
        <v>10</v>
      </c>
      <c r="Q255" s="3">
        <v>16</v>
      </c>
      <c r="R255" s="3">
        <v>35</v>
      </c>
      <c r="S255" s="9">
        <v>272</v>
      </c>
      <c r="T255" s="3">
        <f>O255-N255</f>
        <v>11</v>
      </c>
      <c r="U255" s="9">
        <f>(T255/O255)*100</f>
        <v>35.483870967741936</v>
      </c>
      <c r="V255" s="9">
        <f>S255/O255</f>
        <v>8.7741935483870961</v>
      </c>
      <c r="W255" s="13" t="s">
        <v>5</v>
      </c>
    </row>
    <row r="256" spans="1:23">
      <c r="A256" s="2">
        <v>45552</v>
      </c>
      <c r="B256" s="9">
        <f t="shared" si="9"/>
        <v>991</v>
      </c>
      <c r="C256" s="3" t="s">
        <v>80</v>
      </c>
      <c r="D256" s="3" t="s">
        <v>21</v>
      </c>
      <c r="E256" s="13" t="s">
        <v>102</v>
      </c>
      <c r="F256" s="5">
        <v>3</v>
      </c>
      <c r="G256" s="5" t="s">
        <v>5</v>
      </c>
      <c r="H256" s="5" t="s">
        <v>5</v>
      </c>
      <c r="I256" s="5" t="s">
        <v>5</v>
      </c>
      <c r="J256" s="5" t="s">
        <v>5</v>
      </c>
      <c r="K256" s="5" t="s">
        <v>5</v>
      </c>
      <c r="L256" s="5" t="s">
        <v>5</v>
      </c>
      <c r="M256" s="5" t="s">
        <v>5</v>
      </c>
      <c r="N256" s="3" t="s">
        <v>5</v>
      </c>
      <c r="O256" s="3" t="s">
        <v>5</v>
      </c>
      <c r="P256" s="3" t="s">
        <v>5</v>
      </c>
      <c r="Q256" s="3" t="s">
        <v>5</v>
      </c>
      <c r="R256" s="3" t="s">
        <v>5</v>
      </c>
      <c r="S256" s="3" t="s">
        <v>5</v>
      </c>
      <c r="T256" s="3" t="s">
        <v>5</v>
      </c>
      <c r="U256" s="3" t="s">
        <v>5</v>
      </c>
      <c r="V256" s="3" t="s">
        <v>5</v>
      </c>
      <c r="W256" s="13" t="s">
        <v>5</v>
      </c>
    </row>
    <row r="257" spans="1:23">
      <c r="A257" s="2">
        <v>45552</v>
      </c>
      <c r="B257" s="9">
        <f t="shared" si="9"/>
        <v>991</v>
      </c>
      <c r="C257" s="3" t="s">
        <v>80</v>
      </c>
      <c r="D257" s="3" t="s">
        <v>6</v>
      </c>
      <c r="E257" s="13" t="s">
        <v>104</v>
      </c>
      <c r="F257" s="5" t="s">
        <v>5</v>
      </c>
      <c r="G257" s="3">
        <v>1101</v>
      </c>
      <c r="H257" s="5">
        <v>14.4</v>
      </c>
      <c r="I257" s="9">
        <v>203</v>
      </c>
      <c r="J257" s="7">
        <v>9.0510000000000002</v>
      </c>
      <c r="K257" s="7">
        <v>8.51</v>
      </c>
      <c r="L257" s="5">
        <v>90.1</v>
      </c>
      <c r="M257" s="7">
        <v>7.92</v>
      </c>
      <c r="N257" s="3">
        <v>0</v>
      </c>
      <c r="O257" s="3">
        <v>28</v>
      </c>
      <c r="P257" s="3">
        <v>4</v>
      </c>
      <c r="Q257" s="3">
        <v>33</v>
      </c>
      <c r="R257" s="3">
        <v>20</v>
      </c>
      <c r="S257" s="9">
        <v>596</v>
      </c>
      <c r="T257" s="3">
        <f>O257-N257</f>
        <v>28</v>
      </c>
      <c r="U257" s="9">
        <f>(T257/O257)*100</f>
        <v>100</v>
      </c>
      <c r="V257" s="9">
        <f>S257/O257</f>
        <v>21.285714285714285</v>
      </c>
      <c r="W257" s="13" t="s">
        <v>173</v>
      </c>
    </row>
    <row r="258" spans="1:23">
      <c r="A258" s="2">
        <v>45552</v>
      </c>
      <c r="B258" s="9">
        <f t="shared" si="9"/>
        <v>991</v>
      </c>
      <c r="C258" s="3" t="s">
        <v>80</v>
      </c>
      <c r="D258" s="3" t="s">
        <v>7</v>
      </c>
      <c r="E258" s="13" t="s">
        <v>104</v>
      </c>
      <c r="F258" s="5" t="s">
        <v>5</v>
      </c>
      <c r="G258" s="3">
        <v>1142</v>
      </c>
      <c r="H258" s="5">
        <v>12.8</v>
      </c>
      <c r="I258" s="9">
        <v>217.4</v>
      </c>
      <c r="J258" s="7">
        <v>9.09</v>
      </c>
      <c r="K258" s="7">
        <v>7.25</v>
      </c>
      <c r="L258" s="5">
        <v>39.1</v>
      </c>
      <c r="M258" s="7">
        <v>3.56</v>
      </c>
      <c r="N258" s="3">
        <v>68</v>
      </c>
      <c r="O258" s="3">
        <v>91</v>
      </c>
      <c r="P258" s="3">
        <v>51</v>
      </c>
      <c r="Q258" s="3">
        <v>75</v>
      </c>
      <c r="R258" s="3">
        <v>0</v>
      </c>
      <c r="S258" s="9">
        <v>1110</v>
      </c>
      <c r="T258" s="3">
        <f>O258-N258</f>
        <v>23</v>
      </c>
      <c r="U258" s="9">
        <f>(T258/O258)*100</f>
        <v>25.274725274725274</v>
      </c>
      <c r="V258" s="9">
        <f>S258/O258</f>
        <v>12.197802197802197</v>
      </c>
      <c r="W258" s="13" t="s">
        <v>181</v>
      </c>
    </row>
    <row r="259" spans="1:23">
      <c r="A259" s="2">
        <v>45552</v>
      </c>
      <c r="B259" s="9">
        <f t="shared" si="9"/>
        <v>991</v>
      </c>
      <c r="C259" s="3" t="s">
        <v>80</v>
      </c>
      <c r="D259" s="3" t="s">
        <v>35</v>
      </c>
      <c r="E259" s="13" t="s">
        <v>103</v>
      </c>
      <c r="F259" s="5" t="s">
        <v>5</v>
      </c>
      <c r="G259" s="5" t="s">
        <v>5</v>
      </c>
      <c r="H259" s="5" t="s">
        <v>5</v>
      </c>
      <c r="I259" s="5" t="s">
        <v>5</v>
      </c>
      <c r="J259" s="5" t="s">
        <v>5</v>
      </c>
      <c r="K259" s="5" t="s">
        <v>5</v>
      </c>
      <c r="L259" s="5" t="s">
        <v>5</v>
      </c>
      <c r="M259" s="5" t="s">
        <v>5</v>
      </c>
      <c r="N259" s="3">
        <v>68</v>
      </c>
      <c r="O259" s="3">
        <v>89</v>
      </c>
      <c r="P259" s="3">
        <v>49</v>
      </c>
      <c r="Q259" s="3">
        <v>69</v>
      </c>
      <c r="R259" s="3">
        <v>0</v>
      </c>
      <c r="S259" s="9">
        <v>1040</v>
      </c>
      <c r="T259" s="3">
        <f>O259-N259</f>
        <v>21</v>
      </c>
      <c r="U259" s="9">
        <f>(T259/O259)*100</f>
        <v>23.595505617977526</v>
      </c>
      <c r="V259" s="9">
        <f>S259/O259</f>
        <v>11.685393258426966</v>
      </c>
      <c r="W259" s="13" t="s">
        <v>5</v>
      </c>
    </row>
    <row r="260" spans="1:23">
      <c r="A260" s="2">
        <v>45552</v>
      </c>
      <c r="B260" s="9">
        <f t="shared" si="9"/>
        <v>991</v>
      </c>
      <c r="C260" s="3" t="s">
        <v>80</v>
      </c>
      <c r="D260" s="3" t="s">
        <v>8</v>
      </c>
      <c r="E260" s="13" t="s">
        <v>104</v>
      </c>
      <c r="F260" s="5">
        <v>0.9</v>
      </c>
      <c r="G260" s="3">
        <v>1115</v>
      </c>
      <c r="H260" s="5">
        <v>12</v>
      </c>
      <c r="I260" s="9">
        <v>365.6</v>
      </c>
      <c r="J260" s="7">
        <v>9.02</v>
      </c>
      <c r="K260" s="7">
        <v>9.6</v>
      </c>
      <c r="L260" s="5">
        <v>54.5</v>
      </c>
      <c r="M260" s="7">
        <v>5.05</v>
      </c>
      <c r="N260" s="3">
        <v>119</v>
      </c>
      <c r="O260" s="3">
        <v>156</v>
      </c>
      <c r="P260" s="3">
        <v>72</v>
      </c>
      <c r="Q260" s="3">
        <v>65</v>
      </c>
      <c r="R260" s="3">
        <v>19</v>
      </c>
      <c r="S260" s="9">
        <v>3160</v>
      </c>
      <c r="T260" s="3">
        <f>O260-N260</f>
        <v>37</v>
      </c>
      <c r="U260" s="9">
        <f>(T260/O260)*100</f>
        <v>23.717948717948715</v>
      </c>
      <c r="V260" s="9">
        <f>S260/O260</f>
        <v>20.256410256410255</v>
      </c>
      <c r="W260" s="13" t="s">
        <v>5</v>
      </c>
    </row>
    <row r="261" spans="1:23">
      <c r="A261" s="2">
        <v>45552</v>
      </c>
      <c r="B261" s="9">
        <f t="shared" si="9"/>
        <v>991</v>
      </c>
      <c r="C261" s="3" t="s">
        <v>80</v>
      </c>
      <c r="D261" s="3" t="s">
        <v>20</v>
      </c>
      <c r="E261" s="13" t="s">
        <v>102</v>
      </c>
      <c r="F261" s="5">
        <v>1</v>
      </c>
      <c r="G261" s="5" t="s">
        <v>5</v>
      </c>
      <c r="H261" s="5" t="s">
        <v>5</v>
      </c>
      <c r="I261" s="5" t="s">
        <v>5</v>
      </c>
      <c r="J261" s="5" t="s">
        <v>5</v>
      </c>
      <c r="K261" s="5" t="s">
        <v>5</v>
      </c>
      <c r="L261" s="5" t="s">
        <v>5</v>
      </c>
      <c r="M261" s="5" t="s">
        <v>5</v>
      </c>
      <c r="N261" s="3" t="s">
        <v>5</v>
      </c>
      <c r="O261" s="3" t="s">
        <v>5</v>
      </c>
      <c r="P261" s="3" t="s">
        <v>5</v>
      </c>
      <c r="Q261" s="3" t="s">
        <v>5</v>
      </c>
      <c r="R261" s="3" t="s">
        <v>5</v>
      </c>
      <c r="S261" s="3" t="s">
        <v>5</v>
      </c>
      <c r="T261" s="3" t="s">
        <v>5</v>
      </c>
      <c r="U261" s="3" t="s">
        <v>5</v>
      </c>
      <c r="V261" s="3" t="s">
        <v>5</v>
      </c>
      <c r="W261" s="13" t="s">
        <v>5</v>
      </c>
    </row>
    <row r="262" spans="1:23">
      <c r="A262" s="2">
        <v>45572</v>
      </c>
      <c r="B262" s="9">
        <f t="shared" si="9"/>
        <v>1011</v>
      </c>
      <c r="C262" s="3" t="s">
        <v>80</v>
      </c>
      <c r="D262" s="3" t="s">
        <v>33</v>
      </c>
      <c r="E262" s="13" t="s">
        <v>102</v>
      </c>
      <c r="F262" s="5">
        <v>3.4</v>
      </c>
      <c r="G262" s="5" t="s">
        <v>5</v>
      </c>
      <c r="H262" s="5" t="s">
        <v>5</v>
      </c>
      <c r="I262" s="5" t="s">
        <v>5</v>
      </c>
      <c r="J262" s="5" t="s">
        <v>5</v>
      </c>
      <c r="K262" s="5" t="s">
        <v>5</v>
      </c>
      <c r="L262" s="5" t="s">
        <v>5</v>
      </c>
      <c r="M262" s="5" t="s">
        <v>5</v>
      </c>
      <c r="N262" s="5" t="s">
        <v>5</v>
      </c>
      <c r="O262" s="5" t="s">
        <v>5</v>
      </c>
      <c r="P262" s="5" t="s">
        <v>5</v>
      </c>
      <c r="Q262" s="5" t="s">
        <v>5</v>
      </c>
      <c r="R262" s="5" t="s">
        <v>5</v>
      </c>
      <c r="S262" s="5" t="s">
        <v>5</v>
      </c>
      <c r="T262" s="5" t="s">
        <v>5</v>
      </c>
      <c r="U262" s="5" t="s">
        <v>5</v>
      </c>
      <c r="V262" s="5" t="s">
        <v>5</v>
      </c>
      <c r="W262" s="13" t="s">
        <v>5</v>
      </c>
    </row>
    <row r="263" spans="1:23">
      <c r="A263" s="2">
        <v>45572</v>
      </c>
      <c r="B263" s="9">
        <f t="shared" si="9"/>
        <v>1011</v>
      </c>
      <c r="C263" s="3" t="s">
        <v>80</v>
      </c>
      <c r="D263" s="3" t="s">
        <v>4</v>
      </c>
      <c r="E263" s="13" t="s">
        <v>104</v>
      </c>
      <c r="F263" s="5" t="s">
        <v>5</v>
      </c>
      <c r="G263" s="3">
        <v>839</v>
      </c>
      <c r="H263" s="5">
        <v>13.9</v>
      </c>
      <c r="I263" s="9">
        <v>183.7</v>
      </c>
      <c r="J263" s="7">
        <v>9.2149999999999999</v>
      </c>
      <c r="K263" s="7">
        <v>9.57</v>
      </c>
      <c r="L263" s="5">
        <v>59.8</v>
      </c>
      <c r="M263" s="7">
        <v>5.35</v>
      </c>
      <c r="N263" s="3">
        <v>33</v>
      </c>
      <c r="O263" s="3">
        <v>53</v>
      </c>
      <c r="P263" s="3">
        <v>14</v>
      </c>
      <c r="Q263" s="3">
        <v>0</v>
      </c>
      <c r="R263" s="3">
        <v>40</v>
      </c>
      <c r="S263" s="9">
        <v>338</v>
      </c>
      <c r="T263" s="3">
        <f>O263-N263</f>
        <v>20</v>
      </c>
      <c r="U263" s="9">
        <f>(T263/O263)*100</f>
        <v>37.735849056603776</v>
      </c>
      <c r="V263" s="9">
        <f>S263/O263</f>
        <v>6.3773584905660377</v>
      </c>
      <c r="W263" s="13" t="s">
        <v>5</v>
      </c>
    </row>
    <row r="264" spans="1:23">
      <c r="A264" s="2">
        <v>45572</v>
      </c>
      <c r="B264" s="9">
        <f t="shared" si="9"/>
        <v>1011</v>
      </c>
      <c r="C264" s="3" t="s">
        <v>80</v>
      </c>
      <c r="D264" s="3" t="s">
        <v>21</v>
      </c>
      <c r="E264" s="13" t="s">
        <v>102</v>
      </c>
      <c r="F264" s="5">
        <v>2.98</v>
      </c>
      <c r="G264" s="5" t="s">
        <v>5</v>
      </c>
      <c r="H264" s="5" t="s">
        <v>5</v>
      </c>
      <c r="I264" s="5" t="s">
        <v>5</v>
      </c>
      <c r="J264" s="5" t="s">
        <v>5</v>
      </c>
      <c r="K264" s="5" t="s">
        <v>5</v>
      </c>
      <c r="L264" s="5" t="s">
        <v>5</v>
      </c>
      <c r="M264" s="5" t="s">
        <v>5</v>
      </c>
      <c r="N264" s="5" t="s">
        <v>5</v>
      </c>
      <c r="O264" s="5" t="s">
        <v>5</v>
      </c>
      <c r="P264" s="5" t="s">
        <v>5</v>
      </c>
      <c r="Q264" s="5" t="s">
        <v>5</v>
      </c>
      <c r="R264" s="5" t="s">
        <v>5</v>
      </c>
      <c r="S264" s="5" t="s">
        <v>5</v>
      </c>
      <c r="T264" s="5" t="s">
        <v>5</v>
      </c>
      <c r="U264" s="5" t="s">
        <v>5</v>
      </c>
      <c r="V264" s="5" t="s">
        <v>5</v>
      </c>
      <c r="W264" s="13" t="s">
        <v>5</v>
      </c>
    </row>
    <row r="265" spans="1:23">
      <c r="A265" s="2">
        <v>45572</v>
      </c>
      <c r="B265" s="9">
        <f t="shared" si="9"/>
        <v>1011</v>
      </c>
      <c r="C265" s="3" t="s">
        <v>80</v>
      </c>
      <c r="D265" s="3" t="s">
        <v>6</v>
      </c>
      <c r="E265" s="13" t="s">
        <v>104</v>
      </c>
      <c r="F265" s="5" t="s">
        <v>5</v>
      </c>
      <c r="G265" s="3">
        <v>856</v>
      </c>
      <c r="H265" s="5">
        <v>13.8</v>
      </c>
      <c r="I265" s="9">
        <v>196.7</v>
      </c>
      <c r="J265" s="7">
        <v>9.1690000000000005</v>
      </c>
      <c r="K265" s="7">
        <v>8.0500000000000007</v>
      </c>
      <c r="L265" s="5">
        <v>66.599999999999994</v>
      </c>
      <c r="M265" s="7">
        <v>5.97</v>
      </c>
      <c r="N265" s="3">
        <v>18</v>
      </c>
      <c r="O265" s="3">
        <v>36</v>
      </c>
      <c r="P265" s="3">
        <v>4</v>
      </c>
      <c r="Q265" s="3">
        <v>26</v>
      </c>
      <c r="R265" s="3">
        <v>16</v>
      </c>
      <c r="S265" s="9">
        <v>588</v>
      </c>
      <c r="T265" s="3">
        <f>O265-N265</f>
        <v>18</v>
      </c>
      <c r="U265" s="9">
        <f>(T265/O265)*100</f>
        <v>50</v>
      </c>
      <c r="V265" s="9">
        <f>S265/O265</f>
        <v>16.333333333333332</v>
      </c>
      <c r="W265" s="13" t="s">
        <v>185</v>
      </c>
    </row>
    <row r="266" spans="1:23">
      <c r="A266" s="2">
        <v>45572</v>
      </c>
      <c r="B266" s="9">
        <f t="shared" si="9"/>
        <v>1011</v>
      </c>
      <c r="C266" s="3" t="s">
        <v>80</v>
      </c>
      <c r="D266" s="3" t="s">
        <v>7</v>
      </c>
      <c r="E266" s="13" t="s">
        <v>104</v>
      </c>
      <c r="F266" s="5" t="s">
        <v>5</v>
      </c>
      <c r="G266" s="3">
        <v>923</v>
      </c>
      <c r="H266" s="5">
        <v>13.5</v>
      </c>
      <c r="I266" s="9">
        <v>245</v>
      </c>
      <c r="J266" s="7">
        <v>9.0779999999999994</v>
      </c>
      <c r="K266" s="7">
        <v>9.91</v>
      </c>
      <c r="L266" s="5">
        <v>87.3</v>
      </c>
      <c r="M266" s="7">
        <v>7.87</v>
      </c>
      <c r="N266" s="3">
        <v>176</v>
      </c>
      <c r="O266" s="3">
        <v>229</v>
      </c>
      <c r="P266" s="3">
        <v>145</v>
      </c>
      <c r="Q266" s="3">
        <v>89</v>
      </c>
      <c r="R266" s="3">
        <v>33</v>
      </c>
      <c r="S266" s="9">
        <v>1720</v>
      </c>
      <c r="T266" s="3">
        <f>O266-N266</f>
        <v>53</v>
      </c>
      <c r="U266" s="9">
        <f>(T266/O266)*100</f>
        <v>23.144104803493452</v>
      </c>
      <c r="V266" s="9">
        <f>S266/O266</f>
        <v>7.5109170305676853</v>
      </c>
      <c r="W266" s="13" t="s">
        <v>5</v>
      </c>
    </row>
    <row r="267" spans="1:23">
      <c r="A267" s="2">
        <v>45572</v>
      </c>
      <c r="B267" s="9">
        <f t="shared" si="9"/>
        <v>1011</v>
      </c>
      <c r="C267" s="3" t="s">
        <v>80</v>
      </c>
      <c r="D267" s="3" t="s">
        <v>72</v>
      </c>
      <c r="E267" s="13" t="s">
        <v>103</v>
      </c>
      <c r="F267" s="5" t="s">
        <v>5</v>
      </c>
      <c r="G267" s="5" t="s">
        <v>5</v>
      </c>
      <c r="H267" s="5" t="s">
        <v>5</v>
      </c>
      <c r="I267" s="5" t="s">
        <v>5</v>
      </c>
      <c r="J267" s="5" t="s">
        <v>5</v>
      </c>
      <c r="K267" s="5" t="s">
        <v>5</v>
      </c>
      <c r="L267" s="5" t="s">
        <v>5</v>
      </c>
      <c r="M267" s="5" t="s">
        <v>5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9">
        <v>0</v>
      </c>
      <c r="T267" s="3">
        <f>O267-N267</f>
        <v>0</v>
      </c>
      <c r="U267" s="9">
        <v>0</v>
      </c>
      <c r="V267" s="9">
        <v>0</v>
      </c>
      <c r="W267" s="13" t="s">
        <v>5</v>
      </c>
    </row>
    <row r="268" spans="1:23">
      <c r="A268" s="2">
        <v>45572</v>
      </c>
      <c r="B268" s="9">
        <f t="shared" si="9"/>
        <v>1011</v>
      </c>
      <c r="C268" s="3" t="s">
        <v>80</v>
      </c>
      <c r="D268" s="3" t="s">
        <v>8</v>
      </c>
      <c r="E268" s="13" t="s">
        <v>104</v>
      </c>
      <c r="F268" s="5">
        <v>1.38</v>
      </c>
      <c r="G268" s="3">
        <v>909</v>
      </c>
      <c r="H268" s="5">
        <v>13</v>
      </c>
      <c r="I268" s="9">
        <v>431.5</v>
      </c>
      <c r="J268" s="7">
        <v>9.1379999999999999</v>
      </c>
      <c r="K268" s="7">
        <v>10.210000000000001</v>
      </c>
      <c r="L268" s="5">
        <v>77.7</v>
      </c>
      <c r="M268" s="7">
        <v>7.09</v>
      </c>
      <c r="N268" s="3">
        <v>129</v>
      </c>
      <c r="O268" s="3">
        <v>177</v>
      </c>
      <c r="P268" s="3">
        <v>74</v>
      </c>
      <c r="Q268" s="3">
        <v>20</v>
      </c>
      <c r="R268" s="3">
        <v>33</v>
      </c>
      <c r="S268" s="9">
        <v>3010</v>
      </c>
      <c r="T268" s="3">
        <f>O268-N268</f>
        <v>48</v>
      </c>
      <c r="U268" s="9">
        <f>(T268/O268)*100</f>
        <v>27.118644067796609</v>
      </c>
      <c r="V268" s="9">
        <f>S268/O268</f>
        <v>17.005649717514125</v>
      </c>
      <c r="W268" s="13" t="s">
        <v>184</v>
      </c>
    </row>
    <row r="269" spans="1:23">
      <c r="A269" s="2">
        <v>45572</v>
      </c>
      <c r="B269" s="9">
        <f t="shared" si="9"/>
        <v>1011</v>
      </c>
      <c r="C269" s="3" t="s">
        <v>80</v>
      </c>
      <c r="D269" s="3" t="s">
        <v>20</v>
      </c>
      <c r="E269" s="13" t="s">
        <v>102</v>
      </c>
      <c r="F269" s="5">
        <v>1.4</v>
      </c>
      <c r="G269" s="5" t="s">
        <v>5</v>
      </c>
      <c r="H269" s="5" t="s">
        <v>5</v>
      </c>
      <c r="I269" s="5" t="s">
        <v>5</v>
      </c>
      <c r="J269" s="5" t="s">
        <v>5</v>
      </c>
      <c r="K269" s="5" t="s">
        <v>5</v>
      </c>
      <c r="L269" s="5" t="s">
        <v>5</v>
      </c>
      <c r="M269" s="5" t="s">
        <v>5</v>
      </c>
      <c r="N269" s="5" t="s">
        <v>5</v>
      </c>
      <c r="O269" s="5" t="s">
        <v>5</v>
      </c>
      <c r="P269" s="5" t="s">
        <v>5</v>
      </c>
      <c r="Q269" s="5" t="s">
        <v>5</v>
      </c>
      <c r="R269" s="5" t="s">
        <v>5</v>
      </c>
      <c r="S269" s="5" t="s">
        <v>5</v>
      </c>
      <c r="T269" s="5" t="s">
        <v>5</v>
      </c>
      <c r="U269" s="5" t="s">
        <v>5</v>
      </c>
      <c r="V269" s="5" t="s">
        <v>5</v>
      </c>
      <c r="W269" s="13" t="s">
        <v>5</v>
      </c>
    </row>
    <row r="270" spans="1:23">
      <c r="A270" s="2">
        <v>45614</v>
      </c>
      <c r="B270" s="9">
        <f t="shared" si="9"/>
        <v>1053</v>
      </c>
      <c r="C270" s="3" t="s">
        <v>80</v>
      </c>
      <c r="D270" s="3" t="s">
        <v>33</v>
      </c>
      <c r="E270" s="13" t="s">
        <v>102</v>
      </c>
      <c r="F270" s="5">
        <v>3.4</v>
      </c>
      <c r="G270" s="5" t="s">
        <v>5</v>
      </c>
      <c r="H270" s="5" t="s">
        <v>5</v>
      </c>
      <c r="I270" s="5" t="s">
        <v>5</v>
      </c>
      <c r="J270" s="5" t="s">
        <v>5</v>
      </c>
      <c r="K270" s="5" t="s">
        <v>5</v>
      </c>
      <c r="L270" s="5" t="s">
        <v>5</v>
      </c>
      <c r="M270" s="5" t="s">
        <v>5</v>
      </c>
      <c r="N270" s="5" t="s">
        <v>5</v>
      </c>
      <c r="O270" s="5" t="s">
        <v>5</v>
      </c>
      <c r="P270" s="5" t="s">
        <v>5</v>
      </c>
      <c r="Q270" s="5" t="s">
        <v>5</v>
      </c>
      <c r="R270" s="5" t="s">
        <v>5</v>
      </c>
      <c r="S270" s="5" t="s">
        <v>5</v>
      </c>
      <c r="T270" s="5" t="s">
        <v>5</v>
      </c>
      <c r="U270" s="5" t="s">
        <v>5</v>
      </c>
      <c r="V270" s="5" t="s">
        <v>5</v>
      </c>
      <c r="W270" s="13" t="s">
        <v>186</v>
      </c>
    </row>
    <row r="271" spans="1:23">
      <c r="A271" s="2">
        <v>45614</v>
      </c>
      <c r="B271" s="9">
        <f t="shared" si="9"/>
        <v>1053</v>
      </c>
      <c r="C271" s="3" t="s">
        <v>80</v>
      </c>
      <c r="D271" s="3" t="s">
        <v>4</v>
      </c>
      <c r="E271" s="13" t="s">
        <v>104</v>
      </c>
      <c r="F271" s="5" t="s">
        <v>5</v>
      </c>
      <c r="G271" s="3">
        <v>905</v>
      </c>
      <c r="H271" s="5">
        <v>5.3</v>
      </c>
      <c r="I271" s="9">
        <v>180.7</v>
      </c>
      <c r="J271" s="7">
        <v>8.9779999999999998</v>
      </c>
      <c r="K271" s="7">
        <v>8.0399999999999991</v>
      </c>
      <c r="L271" s="5">
        <v>79.2</v>
      </c>
      <c r="M271" s="7">
        <v>8.56</v>
      </c>
      <c r="N271" s="3">
        <v>48</v>
      </c>
      <c r="O271" s="3">
        <v>71</v>
      </c>
      <c r="P271" s="3">
        <v>35</v>
      </c>
      <c r="Q271" s="3">
        <v>39</v>
      </c>
      <c r="R271" s="3">
        <v>42</v>
      </c>
      <c r="S271" s="9">
        <v>360</v>
      </c>
      <c r="T271" s="3">
        <f>O271-N271</f>
        <v>23</v>
      </c>
      <c r="U271" s="9">
        <f>(T271/O271)*100</f>
        <v>32.394366197183103</v>
      </c>
      <c r="V271" s="9">
        <f>S271/O271</f>
        <v>5.070422535211268</v>
      </c>
      <c r="W271" s="13" t="s">
        <v>5</v>
      </c>
    </row>
    <row r="272" spans="1:23">
      <c r="A272" s="2">
        <v>45614</v>
      </c>
      <c r="B272" s="9">
        <f t="shared" si="9"/>
        <v>1053</v>
      </c>
      <c r="C272" s="3" t="s">
        <v>80</v>
      </c>
      <c r="D272" s="3" t="s">
        <v>21</v>
      </c>
      <c r="E272" s="13" t="s">
        <v>102</v>
      </c>
      <c r="F272" s="5">
        <v>2.85</v>
      </c>
      <c r="G272" s="5" t="s">
        <v>5</v>
      </c>
      <c r="H272" s="5" t="s">
        <v>5</v>
      </c>
      <c r="I272" s="5" t="s">
        <v>5</v>
      </c>
      <c r="J272" s="5" t="s">
        <v>5</v>
      </c>
      <c r="K272" s="5" t="s">
        <v>5</v>
      </c>
      <c r="L272" s="5" t="s">
        <v>5</v>
      </c>
      <c r="M272" s="5" t="s">
        <v>5</v>
      </c>
      <c r="N272" s="5" t="s">
        <v>5</v>
      </c>
      <c r="O272" s="5" t="s">
        <v>5</v>
      </c>
      <c r="P272" s="5" t="s">
        <v>5</v>
      </c>
      <c r="Q272" s="5" t="s">
        <v>5</v>
      </c>
      <c r="R272" s="5" t="s">
        <v>5</v>
      </c>
      <c r="S272" s="5" t="s">
        <v>5</v>
      </c>
      <c r="T272" s="5" t="s">
        <v>5</v>
      </c>
      <c r="U272" s="5" t="s">
        <v>5</v>
      </c>
      <c r="V272" s="5" t="s">
        <v>5</v>
      </c>
      <c r="W272" s="13" t="s">
        <v>186</v>
      </c>
    </row>
    <row r="273" spans="1:23">
      <c r="A273" s="2">
        <v>45614</v>
      </c>
      <c r="B273" s="9">
        <f t="shared" si="9"/>
        <v>1053</v>
      </c>
      <c r="C273" s="3" t="s">
        <v>80</v>
      </c>
      <c r="D273" s="3" t="s">
        <v>6</v>
      </c>
      <c r="E273" s="13" t="s">
        <v>104</v>
      </c>
      <c r="F273" s="5" t="s">
        <v>5</v>
      </c>
      <c r="G273" s="3">
        <v>922</v>
      </c>
      <c r="H273" s="5">
        <v>2</v>
      </c>
      <c r="I273" s="9">
        <v>193.5</v>
      </c>
      <c r="J273" s="7">
        <v>9.01</v>
      </c>
      <c r="K273" s="7">
        <v>7.94</v>
      </c>
      <c r="L273" s="5">
        <v>86</v>
      </c>
      <c r="M273" s="7">
        <v>10.25</v>
      </c>
      <c r="N273" s="3">
        <v>37</v>
      </c>
      <c r="O273" s="3">
        <v>49</v>
      </c>
      <c r="P273" s="3">
        <v>24</v>
      </c>
      <c r="Q273" s="3">
        <v>200</v>
      </c>
      <c r="R273" s="3">
        <v>54</v>
      </c>
      <c r="S273" s="9">
        <v>551</v>
      </c>
      <c r="T273" s="3">
        <f>O273-N273</f>
        <v>12</v>
      </c>
      <c r="U273" s="9">
        <f>(T273/O273)*100</f>
        <v>24.489795918367346</v>
      </c>
      <c r="V273" s="9">
        <f>S273/O273</f>
        <v>11.244897959183673</v>
      </c>
      <c r="W273" s="13" t="s">
        <v>185</v>
      </c>
    </row>
    <row r="274" spans="1:23">
      <c r="A274" s="2">
        <v>45614</v>
      </c>
      <c r="B274" s="9">
        <f t="shared" si="9"/>
        <v>1053</v>
      </c>
      <c r="C274" s="3" t="s">
        <v>80</v>
      </c>
      <c r="D274" s="3" t="s">
        <v>7</v>
      </c>
      <c r="E274" s="13" t="s">
        <v>104</v>
      </c>
      <c r="F274" s="5" t="s">
        <v>5</v>
      </c>
      <c r="G274" s="3">
        <v>957</v>
      </c>
      <c r="H274" s="5">
        <v>2</v>
      </c>
      <c r="I274" s="9">
        <v>327.10000000000002</v>
      </c>
      <c r="J274" s="7">
        <v>8.92</v>
      </c>
      <c r="K274" s="7">
        <v>8.06</v>
      </c>
      <c r="L274" s="5">
        <v>86.9</v>
      </c>
      <c r="M274" s="7">
        <v>10.36</v>
      </c>
      <c r="N274" s="3">
        <v>200</v>
      </c>
      <c r="O274" s="3">
        <v>635</v>
      </c>
      <c r="P274" s="3">
        <v>151</v>
      </c>
      <c r="Q274" s="3">
        <v>32</v>
      </c>
      <c r="R274" s="3">
        <v>26</v>
      </c>
      <c r="S274" s="9">
        <v>3640</v>
      </c>
      <c r="T274" s="3">
        <f>O274-N274</f>
        <v>435</v>
      </c>
      <c r="U274" s="9">
        <f>(T274/O274)*100</f>
        <v>68.503937007874015</v>
      </c>
      <c r="V274" s="9">
        <f>S274/O274</f>
        <v>5.7322834645669287</v>
      </c>
      <c r="W274" s="13" t="s">
        <v>187</v>
      </c>
    </row>
    <row r="275" spans="1:23">
      <c r="A275" s="2">
        <v>45614</v>
      </c>
      <c r="B275" s="9">
        <f t="shared" si="9"/>
        <v>1053</v>
      </c>
      <c r="C275" s="3" t="s">
        <v>80</v>
      </c>
      <c r="D275" s="3" t="s">
        <v>72</v>
      </c>
      <c r="E275" s="13" t="s">
        <v>103</v>
      </c>
      <c r="F275" s="5" t="s">
        <v>5</v>
      </c>
      <c r="G275" s="5" t="s">
        <v>5</v>
      </c>
      <c r="H275" s="5" t="s">
        <v>5</v>
      </c>
      <c r="I275" s="5" t="s">
        <v>5</v>
      </c>
      <c r="J275" s="5" t="s">
        <v>5</v>
      </c>
      <c r="K275" s="5" t="s">
        <v>5</v>
      </c>
      <c r="L275" s="5" t="s">
        <v>5</v>
      </c>
      <c r="M275" s="5" t="s">
        <v>5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9">
        <v>0</v>
      </c>
      <c r="T275" s="3">
        <f>O275-N275</f>
        <v>0</v>
      </c>
      <c r="U275" s="9">
        <v>0</v>
      </c>
      <c r="V275" s="9">
        <v>0</v>
      </c>
      <c r="W275" s="13" t="s">
        <v>76</v>
      </c>
    </row>
    <row r="276" spans="1:23">
      <c r="A276" s="2">
        <v>45614</v>
      </c>
      <c r="B276" s="9">
        <f t="shared" si="9"/>
        <v>1053</v>
      </c>
      <c r="C276" s="3" t="s">
        <v>80</v>
      </c>
      <c r="D276" s="3" t="s">
        <v>8</v>
      </c>
      <c r="E276" s="13" t="s">
        <v>104</v>
      </c>
      <c r="F276" s="5">
        <v>1.62</v>
      </c>
      <c r="G276" s="3">
        <v>942</v>
      </c>
      <c r="H276" s="5">
        <v>1.7</v>
      </c>
      <c r="I276" s="9">
        <v>480.1</v>
      </c>
      <c r="J276" s="7">
        <v>9.1539999999999999</v>
      </c>
      <c r="K276" s="7">
        <v>8.01</v>
      </c>
      <c r="L276" s="5">
        <v>77.400000000000006</v>
      </c>
      <c r="M276" s="7">
        <v>9.2799999999999994</v>
      </c>
      <c r="N276" s="3">
        <v>352</v>
      </c>
      <c r="O276" s="3">
        <v>584</v>
      </c>
      <c r="P276" s="3">
        <v>298</v>
      </c>
      <c r="Q276" s="3">
        <v>60</v>
      </c>
      <c r="R276" s="3">
        <v>21</v>
      </c>
      <c r="S276" s="9">
        <v>3480</v>
      </c>
      <c r="T276" s="3">
        <f>O276-N276</f>
        <v>232</v>
      </c>
      <c r="U276" s="9">
        <f>(T276/O276)*100</f>
        <v>39.726027397260275</v>
      </c>
      <c r="V276" s="9">
        <f>S276/O276</f>
        <v>5.9589041095890414</v>
      </c>
      <c r="W276" s="13" t="s">
        <v>156</v>
      </c>
    </row>
    <row r="277" spans="1:23">
      <c r="A277" s="2">
        <v>45614</v>
      </c>
      <c r="B277" s="9">
        <f t="shared" si="9"/>
        <v>1053</v>
      </c>
      <c r="C277" s="3" t="s">
        <v>80</v>
      </c>
      <c r="D277" s="3" t="s">
        <v>20</v>
      </c>
      <c r="E277" s="13" t="s">
        <v>102</v>
      </c>
      <c r="F277" s="5">
        <v>1.65</v>
      </c>
      <c r="G277" s="5" t="s">
        <v>5</v>
      </c>
      <c r="H277" s="5" t="s">
        <v>5</v>
      </c>
      <c r="I277" s="5" t="s">
        <v>5</v>
      </c>
      <c r="J277" s="5" t="s">
        <v>5</v>
      </c>
      <c r="K277" s="5" t="s">
        <v>5</v>
      </c>
      <c r="L277" s="5" t="s">
        <v>5</v>
      </c>
      <c r="M277" s="5" t="s">
        <v>5</v>
      </c>
      <c r="N277" s="5" t="s">
        <v>5</v>
      </c>
      <c r="O277" s="5" t="s">
        <v>5</v>
      </c>
      <c r="P277" s="5" t="s">
        <v>5</v>
      </c>
      <c r="Q277" s="5" t="s">
        <v>5</v>
      </c>
      <c r="R277" s="5" t="s">
        <v>5</v>
      </c>
      <c r="S277" s="5" t="s">
        <v>5</v>
      </c>
      <c r="T277" s="5" t="s">
        <v>5</v>
      </c>
      <c r="U277" s="5" t="s">
        <v>5</v>
      </c>
      <c r="V277" s="5" t="s">
        <v>5</v>
      </c>
      <c r="W277" s="13" t="s">
        <v>5</v>
      </c>
    </row>
    <row r="278" spans="1:23">
      <c r="A278" s="2">
        <v>45635</v>
      </c>
      <c r="B278" s="9">
        <f t="shared" si="9"/>
        <v>1074</v>
      </c>
      <c r="C278" s="3" t="s">
        <v>80</v>
      </c>
      <c r="D278" s="3" t="s">
        <v>33</v>
      </c>
      <c r="E278" s="13" t="s">
        <v>102</v>
      </c>
      <c r="F278" s="5">
        <v>3.45</v>
      </c>
      <c r="G278" s="3" t="s">
        <v>5</v>
      </c>
      <c r="H278" s="3" t="s">
        <v>5</v>
      </c>
      <c r="I278" s="3" t="s">
        <v>5</v>
      </c>
      <c r="J278" s="3" t="s">
        <v>5</v>
      </c>
      <c r="K278" s="3" t="s">
        <v>5</v>
      </c>
      <c r="L278" s="3" t="s">
        <v>5</v>
      </c>
      <c r="M278" s="3" t="s">
        <v>5</v>
      </c>
      <c r="N278" s="3" t="s">
        <v>5</v>
      </c>
      <c r="O278" s="3" t="s">
        <v>5</v>
      </c>
      <c r="P278" s="3" t="s">
        <v>5</v>
      </c>
      <c r="Q278" s="3" t="s">
        <v>5</v>
      </c>
      <c r="R278" s="3" t="s">
        <v>5</v>
      </c>
      <c r="S278" s="3" t="s">
        <v>5</v>
      </c>
      <c r="T278" s="3" t="s">
        <v>5</v>
      </c>
      <c r="U278" s="3" t="s">
        <v>5</v>
      </c>
      <c r="V278" s="3" t="s">
        <v>5</v>
      </c>
      <c r="W278" s="13" t="s">
        <v>188</v>
      </c>
    </row>
    <row r="279" spans="1:23">
      <c r="A279" s="2">
        <v>45635</v>
      </c>
      <c r="B279" s="9">
        <f t="shared" si="9"/>
        <v>1074</v>
      </c>
      <c r="C279" s="3" t="s">
        <v>80</v>
      </c>
      <c r="D279" s="3" t="s">
        <v>4</v>
      </c>
      <c r="E279" s="13" t="s">
        <v>104</v>
      </c>
      <c r="F279" s="5" t="s">
        <v>5</v>
      </c>
      <c r="G279" s="3">
        <v>921</v>
      </c>
      <c r="H279" s="5">
        <v>4.5999999999999996</v>
      </c>
      <c r="I279" s="9">
        <v>189.7</v>
      </c>
      <c r="J279" s="7">
        <v>9.0399999999999991</v>
      </c>
      <c r="K279" s="7">
        <v>7.91</v>
      </c>
      <c r="L279" s="5">
        <v>70.2</v>
      </c>
      <c r="M279" s="7">
        <v>7.91</v>
      </c>
      <c r="N279" s="3">
        <v>84</v>
      </c>
      <c r="O279" s="3">
        <v>100</v>
      </c>
      <c r="P279" s="3">
        <v>68</v>
      </c>
      <c r="Q279" s="3">
        <v>162</v>
      </c>
      <c r="R279" s="3">
        <v>76</v>
      </c>
      <c r="S279" s="9">
        <v>481</v>
      </c>
      <c r="T279" s="3">
        <f>O279-N279</f>
        <v>16</v>
      </c>
      <c r="U279" s="9">
        <f>(T279/O279)*100</f>
        <v>16</v>
      </c>
      <c r="V279" s="9">
        <f>S279/O279</f>
        <v>4.8099999999999996</v>
      </c>
      <c r="W279" s="13" t="s">
        <v>188</v>
      </c>
    </row>
    <row r="280" spans="1:23">
      <c r="A280" s="2">
        <v>45635</v>
      </c>
      <c r="B280" s="9">
        <f t="shared" si="9"/>
        <v>1074</v>
      </c>
      <c r="C280" s="3" t="s">
        <v>80</v>
      </c>
      <c r="D280" s="3" t="s">
        <v>21</v>
      </c>
      <c r="E280" s="13" t="s">
        <v>102</v>
      </c>
      <c r="F280" s="5">
        <v>3.08</v>
      </c>
      <c r="G280" s="3" t="s">
        <v>5</v>
      </c>
      <c r="H280" s="3" t="s">
        <v>5</v>
      </c>
      <c r="I280" s="3" t="s">
        <v>5</v>
      </c>
      <c r="J280" s="3" t="s">
        <v>5</v>
      </c>
      <c r="K280" s="3" t="s">
        <v>5</v>
      </c>
      <c r="L280" s="3" t="s">
        <v>5</v>
      </c>
      <c r="M280" s="3" t="s">
        <v>5</v>
      </c>
      <c r="N280" s="3" t="s">
        <v>5</v>
      </c>
      <c r="O280" s="3" t="s">
        <v>5</v>
      </c>
      <c r="P280" s="3" t="s">
        <v>5</v>
      </c>
      <c r="Q280" s="3" t="s">
        <v>5</v>
      </c>
      <c r="R280" s="3" t="s">
        <v>5</v>
      </c>
      <c r="S280" s="3" t="s">
        <v>5</v>
      </c>
      <c r="T280" s="3" t="s">
        <v>5</v>
      </c>
      <c r="U280" s="3" t="s">
        <v>5</v>
      </c>
      <c r="V280" s="3" t="s">
        <v>5</v>
      </c>
      <c r="W280" s="13" t="s">
        <v>70</v>
      </c>
    </row>
    <row r="281" spans="1:23">
      <c r="A281" s="2">
        <v>45635</v>
      </c>
      <c r="B281" s="9">
        <f t="shared" si="9"/>
        <v>1074</v>
      </c>
      <c r="C281" s="3" t="s">
        <v>80</v>
      </c>
      <c r="D281" s="3" t="s">
        <v>6</v>
      </c>
      <c r="E281" s="13" t="s">
        <v>104</v>
      </c>
      <c r="F281" s="5" t="s">
        <v>5</v>
      </c>
      <c r="G281" s="3">
        <v>937</v>
      </c>
      <c r="H281" s="5">
        <v>2</v>
      </c>
      <c r="I281" s="9">
        <v>199.3</v>
      </c>
      <c r="J281" s="7">
        <v>9.0359999999999996</v>
      </c>
      <c r="K281" s="7">
        <v>8.49</v>
      </c>
      <c r="L281" s="5">
        <v>122.8</v>
      </c>
      <c r="M281" s="7">
        <v>14.85</v>
      </c>
      <c r="N281" s="3">
        <v>23</v>
      </c>
      <c r="O281" s="3">
        <v>62</v>
      </c>
      <c r="P281" s="3">
        <v>6</v>
      </c>
      <c r="Q281" s="3">
        <v>0</v>
      </c>
      <c r="R281" s="3">
        <v>0</v>
      </c>
      <c r="S281" s="9">
        <v>562</v>
      </c>
      <c r="T281" s="3">
        <f>O281-N281</f>
        <v>39</v>
      </c>
      <c r="U281" s="9">
        <f>(T281/O281)*100</f>
        <v>62.903225806451616</v>
      </c>
      <c r="V281" s="9">
        <f>S281/O281</f>
        <v>9.064516129032258</v>
      </c>
      <c r="W281" s="13" t="s">
        <v>190</v>
      </c>
    </row>
    <row r="282" spans="1:23">
      <c r="A282" s="2">
        <v>45635</v>
      </c>
      <c r="B282" s="9">
        <f t="shared" ref="B282:B285" si="10">TEXT((A282-DATEVALUE("1/1/"&amp;TEXT(A282,"yy"))+1),"000")+365+365</f>
        <v>1074</v>
      </c>
      <c r="C282" s="3" t="s">
        <v>80</v>
      </c>
      <c r="D282" s="3" t="s">
        <v>7</v>
      </c>
      <c r="E282" s="13" t="s">
        <v>104</v>
      </c>
      <c r="F282" s="5" t="s">
        <v>5</v>
      </c>
      <c r="G282" s="3">
        <v>1012</v>
      </c>
      <c r="H282" s="5">
        <v>2.7</v>
      </c>
      <c r="I282" s="9">
        <v>293.5</v>
      </c>
      <c r="J282" s="7">
        <v>9.0410000000000004</v>
      </c>
      <c r="K282" s="7">
        <v>8.0500000000000007</v>
      </c>
      <c r="L282" s="5">
        <v>117.4</v>
      </c>
      <c r="M282" s="7">
        <v>13.9</v>
      </c>
      <c r="N282" s="3">
        <v>77</v>
      </c>
      <c r="O282" s="3">
        <v>181</v>
      </c>
      <c r="P282" s="3">
        <v>44</v>
      </c>
      <c r="Q282" s="3">
        <v>29</v>
      </c>
      <c r="R282" s="3">
        <v>26</v>
      </c>
      <c r="S282" s="9">
        <v>1430</v>
      </c>
      <c r="T282" s="3">
        <f>O282-N282</f>
        <v>104</v>
      </c>
      <c r="U282" s="9">
        <f>(T282/O282)*100</f>
        <v>57.458563535911601</v>
      </c>
      <c r="V282" s="9">
        <f>S282/O282</f>
        <v>7.9005524861878449</v>
      </c>
      <c r="W282" s="13" t="s">
        <v>191</v>
      </c>
    </row>
    <row r="283" spans="1:23">
      <c r="A283" s="2">
        <v>45635</v>
      </c>
      <c r="B283" s="9">
        <f t="shared" si="10"/>
        <v>1074</v>
      </c>
      <c r="C283" s="3" t="s">
        <v>80</v>
      </c>
      <c r="D283" s="3" t="s">
        <v>35</v>
      </c>
      <c r="E283" s="13" t="s">
        <v>103</v>
      </c>
      <c r="F283" s="5" t="s">
        <v>5</v>
      </c>
      <c r="G283" s="3" t="s">
        <v>5</v>
      </c>
      <c r="H283" s="3" t="s">
        <v>5</v>
      </c>
      <c r="I283" s="3" t="s">
        <v>5</v>
      </c>
      <c r="J283" s="3" t="s">
        <v>5</v>
      </c>
      <c r="K283" s="3" t="s">
        <v>5</v>
      </c>
      <c r="L283" s="3" t="s">
        <v>5</v>
      </c>
      <c r="M283" s="3" t="s">
        <v>5</v>
      </c>
      <c r="N283" s="3">
        <v>75</v>
      </c>
      <c r="O283" s="3">
        <v>186</v>
      </c>
      <c r="P283" s="3">
        <v>46</v>
      </c>
      <c r="Q283" s="3">
        <v>30</v>
      </c>
      <c r="R283" s="3">
        <v>0</v>
      </c>
      <c r="S283" s="9">
        <v>1480</v>
      </c>
      <c r="T283" s="3">
        <f>O283-N283</f>
        <v>111</v>
      </c>
      <c r="U283" s="9">
        <f>(T283/O283)*100</f>
        <v>59.677419354838712</v>
      </c>
      <c r="V283" s="9">
        <f>S283/O283</f>
        <v>7.956989247311828</v>
      </c>
      <c r="W283" s="13" t="s">
        <v>189</v>
      </c>
    </row>
    <row r="284" spans="1:23">
      <c r="A284" s="2">
        <v>45635</v>
      </c>
      <c r="B284" s="9">
        <f t="shared" si="10"/>
        <v>1074</v>
      </c>
      <c r="C284" s="3" t="s">
        <v>80</v>
      </c>
      <c r="D284" s="3" t="s">
        <v>8</v>
      </c>
      <c r="E284" s="13" t="s">
        <v>104</v>
      </c>
      <c r="F284" s="5">
        <v>1.7</v>
      </c>
      <c r="G284" s="3">
        <v>953</v>
      </c>
      <c r="H284" s="5">
        <v>2.9</v>
      </c>
      <c r="I284" s="9">
        <v>448.5</v>
      </c>
      <c r="J284" s="7">
        <v>9.0719999999999992</v>
      </c>
      <c r="K284" s="7">
        <v>7.95</v>
      </c>
      <c r="L284" s="5">
        <v>114.4</v>
      </c>
      <c r="M284" s="7">
        <v>13.47</v>
      </c>
      <c r="N284" s="3">
        <v>196</v>
      </c>
      <c r="O284" s="3">
        <v>331</v>
      </c>
      <c r="P284" s="3">
        <v>151</v>
      </c>
      <c r="Q284" s="3">
        <v>32</v>
      </c>
      <c r="R284" s="3">
        <v>0</v>
      </c>
      <c r="S284" s="9">
        <v>2240</v>
      </c>
      <c r="T284" s="3">
        <f>O284-N284</f>
        <v>135</v>
      </c>
      <c r="U284" s="9">
        <f>(T284/O284)*100</f>
        <v>40.785498489425983</v>
      </c>
      <c r="V284" s="9">
        <f>S284/O284</f>
        <v>6.7673716012084588</v>
      </c>
      <c r="W284" s="13" t="s">
        <v>189</v>
      </c>
    </row>
    <row r="285" spans="1:23">
      <c r="A285" s="2">
        <v>45635</v>
      </c>
      <c r="B285" s="9">
        <f t="shared" si="10"/>
        <v>1074</v>
      </c>
      <c r="C285" s="3" t="s">
        <v>80</v>
      </c>
      <c r="D285" s="3" t="s">
        <v>20</v>
      </c>
      <c r="E285" s="13" t="s">
        <v>102</v>
      </c>
      <c r="F285" s="5">
        <v>1.7</v>
      </c>
      <c r="G285" s="3" t="s">
        <v>5</v>
      </c>
      <c r="H285" s="3" t="s">
        <v>5</v>
      </c>
      <c r="I285" s="3" t="s">
        <v>5</v>
      </c>
      <c r="J285" s="3" t="s">
        <v>5</v>
      </c>
      <c r="K285" s="3" t="s">
        <v>5</v>
      </c>
      <c r="L285" s="3" t="s">
        <v>5</v>
      </c>
      <c r="M285" s="3" t="s">
        <v>5</v>
      </c>
      <c r="N285" s="3" t="s">
        <v>5</v>
      </c>
      <c r="O285" s="3" t="s">
        <v>5</v>
      </c>
      <c r="P285" s="3" t="s">
        <v>5</v>
      </c>
      <c r="Q285" s="3" t="s">
        <v>5</v>
      </c>
      <c r="R285" s="3" t="s">
        <v>5</v>
      </c>
      <c r="S285" s="3" t="s">
        <v>5</v>
      </c>
      <c r="T285" s="3" t="s">
        <v>5</v>
      </c>
      <c r="U285" s="3" t="s">
        <v>5</v>
      </c>
      <c r="V285" s="3" t="s">
        <v>5</v>
      </c>
      <c r="W285" s="13" t="s">
        <v>70</v>
      </c>
    </row>
    <row r="286" spans="1:23">
      <c r="A286" s="2">
        <v>45671</v>
      </c>
      <c r="B286" s="9">
        <f t="shared" ref="B286:B325" si="11">TEXT((A286-DATEVALUE("1/1/"&amp;TEXT(A286,"yy"))+1),"000")+365+365+365</f>
        <v>1109</v>
      </c>
      <c r="C286" s="3" t="s">
        <v>80</v>
      </c>
      <c r="D286" s="3" t="s">
        <v>9</v>
      </c>
      <c r="E286" s="13" t="s">
        <v>104</v>
      </c>
      <c r="F286" s="5">
        <v>1.95</v>
      </c>
      <c r="G286" s="3">
        <v>1246</v>
      </c>
      <c r="H286" s="5">
        <v>3.7</v>
      </c>
      <c r="I286" s="9">
        <v>366.9</v>
      </c>
      <c r="J286" s="7">
        <v>9.0980000000000008</v>
      </c>
      <c r="K286" s="7">
        <v>7.61</v>
      </c>
      <c r="L286" s="5">
        <v>89.6</v>
      </c>
      <c r="M286" s="7">
        <v>10.35</v>
      </c>
      <c r="N286" s="3">
        <v>30</v>
      </c>
      <c r="O286" s="3">
        <v>154</v>
      </c>
      <c r="P286" s="3">
        <v>12</v>
      </c>
      <c r="Q286" s="3">
        <v>19</v>
      </c>
      <c r="R286" s="3">
        <v>233</v>
      </c>
      <c r="S286" s="9">
        <v>139</v>
      </c>
      <c r="T286" s="3">
        <f>O286-N286</f>
        <v>124</v>
      </c>
      <c r="U286" s="9">
        <f>(T286/O286)*100</f>
        <v>80.519480519480524</v>
      </c>
      <c r="V286" s="9">
        <f>S286/O286</f>
        <v>0.90259740259740262</v>
      </c>
      <c r="W286" s="13" t="s">
        <v>192</v>
      </c>
    </row>
    <row r="287" spans="1:23">
      <c r="A287" s="2">
        <v>45671</v>
      </c>
      <c r="B287" s="9">
        <f t="shared" si="11"/>
        <v>1109</v>
      </c>
      <c r="C287" s="3" t="s">
        <v>80</v>
      </c>
      <c r="D287" s="3" t="s">
        <v>33</v>
      </c>
      <c r="E287" s="13" t="s">
        <v>102</v>
      </c>
      <c r="F287" s="5">
        <v>3.63</v>
      </c>
      <c r="G287" s="3" t="s">
        <v>5</v>
      </c>
      <c r="H287" s="3" t="s">
        <v>5</v>
      </c>
      <c r="I287" s="3" t="s">
        <v>5</v>
      </c>
      <c r="J287" s="3" t="s">
        <v>5</v>
      </c>
      <c r="K287" s="3" t="s">
        <v>5</v>
      </c>
      <c r="L287" s="3" t="s">
        <v>5</v>
      </c>
      <c r="M287" s="3" t="s">
        <v>5</v>
      </c>
      <c r="N287" s="3" t="s">
        <v>5</v>
      </c>
      <c r="O287" s="3" t="s">
        <v>5</v>
      </c>
      <c r="P287" s="3" t="s">
        <v>5</v>
      </c>
      <c r="Q287" s="3" t="s">
        <v>5</v>
      </c>
      <c r="R287" s="3" t="s">
        <v>5</v>
      </c>
      <c r="S287" s="3" t="s">
        <v>5</v>
      </c>
      <c r="T287" s="3" t="s">
        <v>5</v>
      </c>
      <c r="U287" s="3" t="s">
        <v>5</v>
      </c>
      <c r="V287" s="3" t="s">
        <v>5</v>
      </c>
      <c r="W287" s="13" t="s">
        <v>5</v>
      </c>
    </row>
    <row r="288" spans="1:23">
      <c r="A288" s="2">
        <v>45671</v>
      </c>
      <c r="B288" s="9">
        <f t="shared" si="11"/>
        <v>1109</v>
      </c>
      <c r="C288" s="3" t="s">
        <v>80</v>
      </c>
      <c r="D288" s="3" t="s">
        <v>4</v>
      </c>
      <c r="E288" s="13" t="s">
        <v>104</v>
      </c>
      <c r="F288" s="5" t="s">
        <v>5</v>
      </c>
      <c r="G288" s="3">
        <v>1131</v>
      </c>
      <c r="H288" s="5">
        <v>8.1</v>
      </c>
      <c r="I288" s="9">
        <v>177.1</v>
      </c>
      <c r="J288" s="7">
        <v>9.2080000000000002</v>
      </c>
      <c r="K288" s="7">
        <v>8.64</v>
      </c>
      <c r="L288" s="5">
        <v>91.4</v>
      </c>
      <c r="M288" s="7">
        <v>9.4499999999999993</v>
      </c>
      <c r="N288" s="3">
        <v>47</v>
      </c>
      <c r="O288" s="3">
        <v>61</v>
      </c>
      <c r="P288" s="3">
        <v>43</v>
      </c>
      <c r="Q288" s="3">
        <v>0</v>
      </c>
      <c r="R288" s="3">
        <v>44</v>
      </c>
      <c r="S288" s="9">
        <v>155</v>
      </c>
      <c r="T288" s="3">
        <f>O288-N288</f>
        <v>14</v>
      </c>
      <c r="U288" s="9">
        <f>(T288/O288)*100</f>
        <v>22.950819672131146</v>
      </c>
      <c r="V288" s="9">
        <f>S288/O288</f>
        <v>2.540983606557377</v>
      </c>
      <c r="W288" s="13" t="s">
        <v>5</v>
      </c>
    </row>
    <row r="289" spans="1:23">
      <c r="A289" s="2">
        <v>45671</v>
      </c>
      <c r="B289" s="9">
        <f t="shared" si="11"/>
        <v>1109</v>
      </c>
      <c r="C289" s="3" t="s">
        <v>80</v>
      </c>
      <c r="D289" s="3" t="s">
        <v>21</v>
      </c>
      <c r="E289" s="13" t="s">
        <v>102</v>
      </c>
      <c r="F289" s="5">
        <v>3</v>
      </c>
      <c r="G289" s="3" t="s">
        <v>5</v>
      </c>
      <c r="H289" s="3" t="s">
        <v>5</v>
      </c>
      <c r="I289" s="3" t="s">
        <v>5</v>
      </c>
      <c r="J289" s="3" t="s">
        <v>5</v>
      </c>
      <c r="K289" s="3" t="s">
        <v>5</v>
      </c>
      <c r="L289" s="3" t="s">
        <v>5</v>
      </c>
      <c r="M289" s="3" t="s">
        <v>5</v>
      </c>
      <c r="N289" s="3" t="s">
        <v>5</v>
      </c>
      <c r="O289" s="3" t="s">
        <v>5</v>
      </c>
      <c r="P289" s="3" t="s">
        <v>5</v>
      </c>
      <c r="Q289" s="3" t="s">
        <v>5</v>
      </c>
      <c r="R289" s="3" t="s">
        <v>5</v>
      </c>
      <c r="S289" s="3" t="s">
        <v>5</v>
      </c>
      <c r="T289" s="3" t="s">
        <v>5</v>
      </c>
      <c r="U289" s="3" t="s">
        <v>5</v>
      </c>
      <c r="V289" s="3" t="s">
        <v>5</v>
      </c>
      <c r="W289" s="13" t="s">
        <v>5</v>
      </c>
    </row>
    <row r="290" spans="1:23">
      <c r="A290" s="2">
        <v>45671</v>
      </c>
      <c r="B290" s="9">
        <f t="shared" si="11"/>
        <v>1109</v>
      </c>
      <c r="C290" s="3" t="s">
        <v>80</v>
      </c>
      <c r="D290" s="3" t="s">
        <v>6</v>
      </c>
      <c r="E290" s="13" t="s">
        <v>104</v>
      </c>
      <c r="F290" s="5" t="s">
        <v>5</v>
      </c>
      <c r="G290" s="3">
        <v>1149</v>
      </c>
      <c r="H290" s="5">
        <v>3.5</v>
      </c>
      <c r="I290" s="9">
        <v>189.4</v>
      </c>
      <c r="J290" s="7">
        <v>9.0589999999999993</v>
      </c>
      <c r="K290" s="7">
        <v>8.06</v>
      </c>
      <c r="L290" s="5">
        <v>104.2</v>
      </c>
      <c r="M290" s="7">
        <v>12.11</v>
      </c>
      <c r="N290" s="3">
        <v>24</v>
      </c>
      <c r="O290" s="3">
        <v>49</v>
      </c>
      <c r="P290" s="3">
        <v>5</v>
      </c>
      <c r="Q290" s="3">
        <v>0</v>
      </c>
      <c r="R290" s="3">
        <v>16</v>
      </c>
      <c r="S290" s="9">
        <v>508</v>
      </c>
      <c r="T290" s="3">
        <f>O290-N290</f>
        <v>25</v>
      </c>
      <c r="U290" s="9">
        <f>(T290/O290)*100</f>
        <v>51.020408163265309</v>
      </c>
      <c r="V290" s="9">
        <f>S290/O290</f>
        <v>10.36734693877551</v>
      </c>
      <c r="W290" s="13" t="s">
        <v>193</v>
      </c>
    </row>
    <row r="291" spans="1:23">
      <c r="A291" s="2">
        <v>45671</v>
      </c>
      <c r="B291" s="9">
        <f t="shared" si="11"/>
        <v>1109</v>
      </c>
      <c r="C291" s="3" t="s">
        <v>80</v>
      </c>
      <c r="D291" s="3" t="s">
        <v>7</v>
      </c>
      <c r="E291" s="13" t="s">
        <v>104</v>
      </c>
      <c r="F291" s="5" t="s">
        <v>5</v>
      </c>
      <c r="G291" s="3">
        <v>1227</v>
      </c>
      <c r="H291" s="5">
        <v>3.7</v>
      </c>
      <c r="I291" s="9">
        <v>274.89999999999998</v>
      </c>
      <c r="J291" s="7">
        <v>9.0519999999999996</v>
      </c>
      <c r="K291" s="7">
        <v>7.71</v>
      </c>
      <c r="L291" s="5">
        <v>80.900000000000006</v>
      </c>
      <c r="M291" s="7">
        <v>9.35</v>
      </c>
      <c r="N291" s="3">
        <v>86</v>
      </c>
      <c r="O291" s="3">
        <v>171</v>
      </c>
      <c r="P291" s="3">
        <v>61</v>
      </c>
      <c r="Q291" s="3">
        <v>17</v>
      </c>
      <c r="R291" s="3">
        <v>0</v>
      </c>
      <c r="S291" s="9">
        <v>1330</v>
      </c>
      <c r="T291" s="3">
        <f>O291-N291</f>
        <v>85</v>
      </c>
      <c r="U291" s="9">
        <f>(T291/O291)*100</f>
        <v>49.707602339181285</v>
      </c>
      <c r="V291" s="9">
        <f>S291/O291</f>
        <v>7.7777777777777777</v>
      </c>
      <c r="W291" s="13" t="s">
        <v>189</v>
      </c>
    </row>
    <row r="292" spans="1:23">
      <c r="A292" s="2">
        <v>45671</v>
      </c>
      <c r="B292" s="9">
        <f t="shared" si="11"/>
        <v>1109</v>
      </c>
      <c r="C292" s="3" t="s">
        <v>80</v>
      </c>
      <c r="D292" s="3" t="s">
        <v>35</v>
      </c>
      <c r="E292" s="13" t="s">
        <v>103</v>
      </c>
      <c r="F292" s="5" t="s">
        <v>5</v>
      </c>
      <c r="G292" s="3" t="s">
        <v>5</v>
      </c>
      <c r="H292" s="3" t="s">
        <v>5</v>
      </c>
      <c r="I292" s="3" t="s">
        <v>5</v>
      </c>
      <c r="J292" s="3" t="s">
        <v>5</v>
      </c>
      <c r="K292" s="3" t="s">
        <v>5</v>
      </c>
      <c r="L292" s="3" t="s">
        <v>5</v>
      </c>
      <c r="M292" s="3" t="s">
        <v>5</v>
      </c>
      <c r="N292" s="3">
        <v>86</v>
      </c>
      <c r="O292" s="3">
        <v>166</v>
      </c>
      <c r="P292" s="3">
        <v>61</v>
      </c>
      <c r="Q292" s="3">
        <v>0</v>
      </c>
      <c r="R292" s="3">
        <v>24</v>
      </c>
      <c r="S292" s="9">
        <v>1334</v>
      </c>
      <c r="T292" s="3">
        <f>O292-N292</f>
        <v>80</v>
      </c>
      <c r="U292" s="9">
        <f>(T292/O292)*100</f>
        <v>48.192771084337352</v>
      </c>
      <c r="V292" s="9">
        <f>S292/O292</f>
        <v>8.0361445783132535</v>
      </c>
      <c r="W292" s="13" t="s">
        <v>5</v>
      </c>
    </row>
    <row r="293" spans="1:23">
      <c r="A293" s="2">
        <v>45671</v>
      </c>
      <c r="B293" s="9">
        <f t="shared" si="11"/>
        <v>1109</v>
      </c>
      <c r="C293" s="3" t="s">
        <v>80</v>
      </c>
      <c r="D293" s="3" t="s">
        <v>8</v>
      </c>
      <c r="E293" s="13" t="s">
        <v>104</v>
      </c>
      <c r="F293" s="5">
        <v>1.8</v>
      </c>
      <c r="G293" s="3">
        <v>1206</v>
      </c>
      <c r="H293" s="5">
        <v>3.4</v>
      </c>
      <c r="I293" s="9">
        <v>519</v>
      </c>
      <c r="J293" s="7">
        <v>9.1489999999999991</v>
      </c>
      <c r="K293" s="7">
        <v>7.7</v>
      </c>
      <c r="L293" s="5">
        <v>97.4</v>
      </c>
      <c r="M293" s="7">
        <v>11.34</v>
      </c>
      <c r="N293" s="3">
        <v>225</v>
      </c>
      <c r="O293" s="3">
        <v>325</v>
      </c>
      <c r="P293" s="3">
        <v>184</v>
      </c>
      <c r="Q293" s="3">
        <v>27</v>
      </c>
      <c r="R293" s="3">
        <v>199</v>
      </c>
      <c r="S293" s="9">
        <v>2260</v>
      </c>
      <c r="T293" s="3">
        <f>O293-N293</f>
        <v>100</v>
      </c>
      <c r="U293" s="9">
        <f>(T293/O293)*100</f>
        <v>30.76923076923077</v>
      </c>
      <c r="V293" s="9">
        <f>S293/O293</f>
        <v>6.953846153846154</v>
      </c>
      <c r="W293" s="13" t="s">
        <v>189</v>
      </c>
    </row>
    <row r="294" spans="1:23">
      <c r="A294" s="2">
        <v>45671</v>
      </c>
      <c r="B294" s="9">
        <f t="shared" si="11"/>
        <v>1109</v>
      </c>
      <c r="C294" s="3" t="s">
        <v>80</v>
      </c>
      <c r="D294" s="3" t="s">
        <v>20</v>
      </c>
      <c r="E294" s="13" t="s">
        <v>102</v>
      </c>
      <c r="F294" s="5">
        <v>1.8</v>
      </c>
      <c r="G294" s="3" t="s">
        <v>5</v>
      </c>
      <c r="H294" s="3" t="s">
        <v>5</v>
      </c>
      <c r="I294" s="3" t="s">
        <v>5</v>
      </c>
      <c r="J294" s="3" t="s">
        <v>5</v>
      </c>
      <c r="K294" s="3" t="s">
        <v>5</v>
      </c>
      <c r="L294" s="3" t="s">
        <v>5</v>
      </c>
      <c r="M294" s="3" t="s">
        <v>5</v>
      </c>
      <c r="N294" s="3" t="s">
        <v>5</v>
      </c>
      <c r="O294" s="3" t="s">
        <v>5</v>
      </c>
      <c r="P294" s="3" t="s">
        <v>5</v>
      </c>
      <c r="Q294" s="3" t="s">
        <v>5</v>
      </c>
      <c r="R294" s="3" t="s">
        <v>5</v>
      </c>
      <c r="S294" s="3" t="s">
        <v>5</v>
      </c>
      <c r="T294" s="3" t="s">
        <v>5</v>
      </c>
      <c r="U294" s="3" t="s">
        <v>5</v>
      </c>
      <c r="V294" s="3" t="s">
        <v>5</v>
      </c>
      <c r="W294" s="13" t="s">
        <v>5</v>
      </c>
    </row>
    <row r="295" spans="1:23">
      <c r="A295" s="2">
        <v>45715</v>
      </c>
      <c r="B295" s="9">
        <f t="shared" si="11"/>
        <v>1153</v>
      </c>
      <c r="C295" s="3" t="s">
        <v>80</v>
      </c>
      <c r="D295" s="3" t="s">
        <v>9</v>
      </c>
      <c r="E295" s="13" t="s">
        <v>104</v>
      </c>
      <c r="F295" s="5">
        <v>1.88</v>
      </c>
      <c r="G295" s="3">
        <v>1143</v>
      </c>
      <c r="H295" s="5">
        <v>5.3</v>
      </c>
      <c r="I295" s="9">
        <v>386.3</v>
      </c>
      <c r="J295" s="7">
        <v>9.0060000000000002</v>
      </c>
      <c r="K295" s="7">
        <v>7.32</v>
      </c>
      <c r="L295" s="5">
        <v>72.2</v>
      </c>
      <c r="M295" s="7">
        <v>7.94</v>
      </c>
      <c r="N295" s="3">
        <v>354</v>
      </c>
      <c r="O295" s="3">
        <v>439</v>
      </c>
      <c r="P295" s="3">
        <v>346</v>
      </c>
      <c r="Q295" s="3">
        <v>39</v>
      </c>
      <c r="R295" s="3">
        <v>898</v>
      </c>
      <c r="S295" s="9">
        <v>1780</v>
      </c>
      <c r="T295" s="3">
        <f>O295-N295</f>
        <v>85</v>
      </c>
      <c r="U295" s="9">
        <f>(T295/O295)*100</f>
        <v>19.362186788154897</v>
      </c>
      <c r="V295" s="9">
        <f>S295/O295</f>
        <v>4.0546697038724373</v>
      </c>
      <c r="W295" s="13" t="s">
        <v>209</v>
      </c>
    </row>
    <row r="296" spans="1:23">
      <c r="A296" s="2">
        <v>45715</v>
      </c>
      <c r="B296" s="9">
        <f t="shared" si="11"/>
        <v>1153</v>
      </c>
      <c r="C296" s="3" t="s">
        <v>80</v>
      </c>
      <c r="D296" s="3" t="s">
        <v>42</v>
      </c>
      <c r="E296" s="13" t="s">
        <v>104</v>
      </c>
      <c r="F296" s="5" t="s">
        <v>5</v>
      </c>
      <c r="G296" s="3">
        <v>1146</v>
      </c>
      <c r="H296" s="5">
        <v>6.7</v>
      </c>
      <c r="I296" s="9">
        <v>329.2</v>
      </c>
      <c r="J296" s="7">
        <v>9.11</v>
      </c>
      <c r="K296" s="7">
        <v>7.44</v>
      </c>
      <c r="L296" s="5">
        <v>87.1</v>
      </c>
      <c r="M296" s="7">
        <v>9.26</v>
      </c>
      <c r="N296" s="3">
        <v>152</v>
      </c>
      <c r="O296" s="3">
        <v>225</v>
      </c>
      <c r="P296" s="3">
        <v>135</v>
      </c>
      <c r="Q296" s="3">
        <v>24</v>
      </c>
      <c r="R296" s="3">
        <v>638</v>
      </c>
      <c r="S296" s="9">
        <v>1730</v>
      </c>
      <c r="T296" s="3">
        <f>O296-N296</f>
        <v>73</v>
      </c>
      <c r="U296" s="9">
        <f>(T296/O296)*100</f>
        <v>32.444444444444443</v>
      </c>
      <c r="V296" s="9">
        <f>S296/O296</f>
        <v>7.6888888888888891</v>
      </c>
      <c r="W296" s="13" t="s">
        <v>209</v>
      </c>
    </row>
    <row r="297" spans="1:23">
      <c r="A297" s="2">
        <v>45715</v>
      </c>
      <c r="B297" s="9">
        <f t="shared" si="11"/>
        <v>1153</v>
      </c>
      <c r="C297" s="3" t="s">
        <v>80</v>
      </c>
      <c r="D297" s="3" t="s">
        <v>33</v>
      </c>
      <c r="E297" s="13" t="s">
        <v>102</v>
      </c>
      <c r="F297" s="5">
        <v>3.74</v>
      </c>
      <c r="G297" s="5" t="s">
        <v>5</v>
      </c>
      <c r="H297" s="5" t="s">
        <v>5</v>
      </c>
      <c r="I297" s="5" t="s">
        <v>5</v>
      </c>
      <c r="J297" s="5" t="s">
        <v>5</v>
      </c>
      <c r="K297" s="5" t="s">
        <v>5</v>
      </c>
      <c r="L297" s="5" t="s">
        <v>5</v>
      </c>
      <c r="M297" s="5" t="s">
        <v>5</v>
      </c>
      <c r="N297" s="5" t="s">
        <v>5</v>
      </c>
      <c r="O297" s="5" t="s">
        <v>5</v>
      </c>
      <c r="P297" s="5" t="s">
        <v>5</v>
      </c>
      <c r="Q297" s="5" t="s">
        <v>5</v>
      </c>
      <c r="R297" s="5" t="s">
        <v>5</v>
      </c>
      <c r="S297" s="5" t="s">
        <v>5</v>
      </c>
      <c r="T297" s="5" t="s">
        <v>5</v>
      </c>
      <c r="U297" s="5" t="s">
        <v>5</v>
      </c>
      <c r="V297" s="5" t="s">
        <v>5</v>
      </c>
      <c r="W297" s="13" t="s">
        <v>5</v>
      </c>
    </row>
    <row r="298" spans="1:23">
      <c r="A298" s="2">
        <v>45715</v>
      </c>
      <c r="B298" s="9">
        <f t="shared" si="11"/>
        <v>1153</v>
      </c>
      <c r="C298" s="3" t="s">
        <v>80</v>
      </c>
      <c r="D298" s="3" t="s">
        <v>4</v>
      </c>
      <c r="E298" s="13" t="s">
        <v>104</v>
      </c>
      <c r="F298" s="5" t="s">
        <v>5</v>
      </c>
      <c r="G298" s="3">
        <v>1036</v>
      </c>
      <c r="H298" s="5">
        <v>12.4</v>
      </c>
      <c r="I298" s="9">
        <v>184.5</v>
      </c>
      <c r="J298" s="7">
        <v>9.1739999999999995</v>
      </c>
      <c r="K298" s="7">
        <v>8.76</v>
      </c>
      <c r="L298" s="5">
        <v>105.8</v>
      </c>
      <c r="M298" s="7">
        <v>9.85</v>
      </c>
      <c r="N298" s="3">
        <v>45</v>
      </c>
      <c r="O298" s="3">
        <v>51</v>
      </c>
      <c r="P298" s="3">
        <v>35</v>
      </c>
      <c r="Q298" s="3">
        <v>0</v>
      </c>
      <c r="R298" s="3">
        <v>97</v>
      </c>
      <c r="S298" s="9">
        <v>210</v>
      </c>
      <c r="T298" s="3">
        <f>O298-N298</f>
        <v>6</v>
      </c>
      <c r="U298" s="9">
        <f>(T298/O298)*100</f>
        <v>11.76470588235294</v>
      </c>
      <c r="V298" s="9">
        <f>S298/O298</f>
        <v>4.117647058823529</v>
      </c>
      <c r="W298" s="13" t="s">
        <v>5</v>
      </c>
    </row>
    <row r="299" spans="1:23">
      <c r="A299" s="2">
        <v>45715</v>
      </c>
      <c r="B299" s="9">
        <f t="shared" si="11"/>
        <v>1153</v>
      </c>
      <c r="C299" s="3" t="s">
        <v>80</v>
      </c>
      <c r="D299" s="3" t="s">
        <v>21</v>
      </c>
      <c r="E299" s="13" t="s">
        <v>102</v>
      </c>
      <c r="F299" s="5">
        <v>3.46</v>
      </c>
      <c r="G299" s="5" t="s">
        <v>5</v>
      </c>
      <c r="H299" s="5" t="s">
        <v>5</v>
      </c>
      <c r="I299" s="5" t="s">
        <v>5</v>
      </c>
      <c r="J299" s="5" t="s">
        <v>5</v>
      </c>
      <c r="K299" s="5" t="s">
        <v>5</v>
      </c>
      <c r="L299" s="5" t="s">
        <v>5</v>
      </c>
      <c r="M299" s="5" t="s">
        <v>5</v>
      </c>
      <c r="N299" s="5" t="s">
        <v>5</v>
      </c>
      <c r="O299" s="5" t="s">
        <v>5</v>
      </c>
      <c r="P299" s="5" t="s">
        <v>5</v>
      </c>
      <c r="Q299" s="5" t="s">
        <v>5</v>
      </c>
      <c r="R299" s="5" t="s">
        <v>5</v>
      </c>
      <c r="S299" s="5" t="s">
        <v>5</v>
      </c>
      <c r="T299" s="5" t="s">
        <v>5</v>
      </c>
      <c r="U299" s="5" t="s">
        <v>5</v>
      </c>
      <c r="V299" s="5" t="s">
        <v>5</v>
      </c>
      <c r="W299" s="13" t="s">
        <v>5</v>
      </c>
    </row>
    <row r="300" spans="1:23">
      <c r="A300" s="2">
        <v>45715</v>
      </c>
      <c r="B300" s="9">
        <f t="shared" si="11"/>
        <v>1153</v>
      </c>
      <c r="C300" s="3" t="s">
        <v>80</v>
      </c>
      <c r="D300" s="3" t="s">
        <v>6</v>
      </c>
      <c r="E300" s="13" t="s">
        <v>104</v>
      </c>
      <c r="F300" s="5" t="s">
        <v>5</v>
      </c>
      <c r="G300" s="3">
        <v>1050</v>
      </c>
      <c r="H300" s="5">
        <v>7.1</v>
      </c>
      <c r="I300" s="9">
        <v>183.6</v>
      </c>
      <c r="J300" s="7">
        <v>9.0090000000000003</v>
      </c>
      <c r="K300" s="7">
        <v>8.6199999999999992</v>
      </c>
      <c r="L300" s="5">
        <v>109.9</v>
      </c>
      <c r="M300" s="7">
        <v>11.58</v>
      </c>
      <c r="N300" s="3">
        <v>30</v>
      </c>
      <c r="O300" s="3">
        <v>72</v>
      </c>
      <c r="P300" s="3">
        <v>13</v>
      </c>
      <c r="Q300" s="3">
        <v>0</v>
      </c>
      <c r="R300" s="3">
        <v>21</v>
      </c>
      <c r="S300" s="9">
        <v>621</v>
      </c>
      <c r="T300" s="3">
        <f>O300-N300</f>
        <v>42</v>
      </c>
      <c r="U300" s="9">
        <f>(T300/O300)*100</f>
        <v>58.333333333333336</v>
      </c>
      <c r="V300" s="9">
        <f>S300/O300</f>
        <v>8.625</v>
      </c>
      <c r="W300" s="13" t="s">
        <v>185</v>
      </c>
    </row>
    <row r="301" spans="1:23">
      <c r="A301" s="2">
        <v>45715</v>
      </c>
      <c r="B301" s="9">
        <f t="shared" si="11"/>
        <v>1153</v>
      </c>
      <c r="C301" s="3" t="s">
        <v>80</v>
      </c>
      <c r="D301" s="3" t="s">
        <v>49</v>
      </c>
      <c r="E301" s="13" t="s">
        <v>104</v>
      </c>
      <c r="F301" s="5" t="s">
        <v>5</v>
      </c>
      <c r="G301" s="3">
        <v>1126</v>
      </c>
      <c r="H301" s="5">
        <v>7</v>
      </c>
      <c r="I301" s="9">
        <v>249</v>
      </c>
      <c r="J301" s="7">
        <v>9.0549999999999997</v>
      </c>
      <c r="K301" s="7">
        <v>7.56</v>
      </c>
      <c r="L301" s="5">
        <v>82.5</v>
      </c>
      <c r="M301" s="7">
        <v>8.69</v>
      </c>
      <c r="N301" s="3">
        <v>113</v>
      </c>
      <c r="O301" s="3">
        <v>152</v>
      </c>
      <c r="P301" s="3">
        <v>100</v>
      </c>
      <c r="Q301" s="3">
        <v>0</v>
      </c>
      <c r="R301" s="3">
        <v>0</v>
      </c>
      <c r="S301" s="9">
        <v>896</v>
      </c>
      <c r="T301" s="3">
        <f>O301-N301</f>
        <v>39</v>
      </c>
      <c r="U301" s="9">
        <f>(T301/O301)*100</f>
        <v>25.657894736842106</v>
      </c>
      <c r="V301" s="9">
        <f>S301/O301</f>
        <v>5.8947368421052628</v>
      </c>
      <c r="W301" s="13" t="s">
        <v>208</v>
      </c>
    </row>
    <row r="302" spans="1:23">
      <c r="A302" s="2">
        <v>45715</v>
      </c>
      <c r="B302" s="9">
        <f t="shared" si="11"/>
        <v>1153</v>
      </c>
      <c r="C302" s="3" t="s">
        <v>80</v>
      </c>
      <c r="D302" s="3" t="s">
        <v>7</v>
      </c>
      <c r="E302" s="13" t="s">
        <v>104</v>
      </c>
      <c r="F302" s="5" t="s">
        <v>5</v>
      </c>
      <c r="G302" s="3">
        <v>1115</v>
      </c>
      <c r="H302" s="5">
        <v>5.8</v>
      </c>
      <c r="I302" s="9">
        <v>246</v>
      </c>
      <c r="J302" s="7">
        <v>8.9949999999999992</v>
      </c>
      <c r="K302" s="7">
        <v>7.8</v>
      </c>
      <c r="L302" s="5">
        <v>87.1</v>
      </c>
      <c r="M302" s="7">
        <v>9.49</v>
      </c>
      <c r="N302" s="3">
        <v>42</v>
      </c>
      <c r="O302" s="3">
        <v>107</v>
      </c>
      <c r="P302" s="3">
        <v>20</v>
      </c>
      <c r="Q302" s="3">
        <v>17</v>
      </c>
      <c r="R302" s="3">
        <v>186</v>
      </c>
      <c r="S302" s="9">
        <v>1110</v>
      </c>
      <c r="T302" s="3">
        <f>O302-N302</f>
        <v>65</v>
      </c>
      <c r="U302" s="9">
        <f>(T302/O302)*100</f>
        <v>60.747663551401864</v>
      </c>
      <c r="V302" s="9">
        <f>S302/O302</f>
        <v>10.373831775700934</v>
      </c>
      <c r="W302" s="13" t="s">
        <v>207</v>
      </c>
    </row>
    <row r="303" spans="1:23">
      <c r="A303" s="2">
        <v>45715</v>
      </c>
      <c r="B303" s="9">
        <f t="shared" si="11"/>
        <v>1153</v>
      </c>
      <c r="C303" s="3" t="s">
        <v>80</v>
      </c>
      <c r="D303" s="3" t="s">
        <v>8</v>
      </c>
      <c r="E303" s="13" t="s">
        <v>104</v>
      </c>
      <c r="F303" s="5">
        <v>1.84</v>
      </c>
      <c r="G303" s="3">
        <v>1150</v>
      </c>
      <c r="H303" s="5">
        <v>7.7</v>
      </c>
      <c r="I303" s="9">
        <v>332</v>
      </c>
      <c r="J303" s="7">
        <v>9.0210000000000008</v>
      </c>
      <c r="K303" s="7">
        <v>7.65</v>
      </c>
      <c r="L303" s="5">
        <v>98.1</v>
      </c>
      <c r="M303" s="7">
        <v>10.15</v>
      </c>
      <c r="N303" s="3">
        <v>114</v>
      </c>
      <c r="O303" s="3">
        <v>183</v>
      </c>
      <c r="P303" s="3">
        <v>96</v>
      </c>
      <c r="Q303" s="3">
        <v>17</v>
      </c>
      <c r="R303" s="3">
        <v>426</v>
      </c>
      <c r="S303" s="9">
        <v>1570</v>
      </c>
      <c r="T303" s="3">
        <f>O303-N303</f>
        <v>69</v>
      </c>
      <c r="U303" s="9">
        <f>(T303/O303)*100</f>
        <v>37.704918032786885</v>
      </c>
      <c r="V303" s="9">
        <f>S303/O303</f>
        <v>8.5792349726775949</v>
      </c>
      <c r="W303" s="13" t="s">
        <v>5</v>
      </c>
    </row>
    <row r="304" spans="1:23">
      <c r="A304" s="2">
        <v>45715</v>
      </c>
      <c r="B304" s="9">
        <f t="shared" si="11"/>
        <v>1153</v>
      </c>
      <c r="C304" s="3" t="s">
        <v>80</v>
      </c>
      <c r="D304" s="3" t="s">
        <v>63</v>
      </c>
      <c r="E304" s="13" t="s">
        <v>103</v>
      </c>
      <c r="F304" s="5" t="s">
        <v>5</v>
      </c>
      <c r="G304" s="5" t="s">
        <v>5</v>
      </c>
      <c r="H304" s="5" t="s">
        <v>5</v>
      </c>
      <c r="I304" s="5" t="s">
        <v>5</v>
      </c>
      <c r="J304" s="5" t="s">
        <v>5</v>
      </c>
      <c r="K304" s="5" t="s">
        <v>5</v>
      </c>
      <c r="L304" s="5" t="s">
        <v>5</v>
      </c>
      <c r="M304" s="5" t="s">
        <v>5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9">
        <v>0</v>
      </c>
      <c r="T304" s="3" t="s">
        <v>5</v>
      </c>
      <c r="U304" s="9" t="s">
        <v>5</v>
      </c>
      <c r="V304" s="9" t="s">
        <v>5</v>
      </c>
      <c r="W304" s="13" t="s">
        <v>76</v>
      </c>
    </row>
    <row r="305" spans="1:23">
      <c r="A305" s="2">
        <v>45715</v>
      </c>
      <c r="B305" s="9">
        <f t="shared" si="11"/>
        <v>1153</v>
      </c>
      <c r="C305" s="3" t="s">
        <v>80</v>
      </c>
      <c r="D305" s="3" t="s">
        <v>20</v>
      </c>
      <c r="E305" s="13" t="s">
        <v>102</v>
      </c>
      <c r="F305" s="5">
        <v>1.88</v>
      </c>
      <c r="G305" s="5" t="s">
        <v>5</v>
      </c>
      <c r="H305" s="5" t="s">
        <v>5</v>
      </c>
      <c r="I305" s="5" t="s">
        <v>5</v>
      </c>
      <c r="J305" s="5" t="s">
        <v>5</v>
      </c>
      <c r="K305" s="5" t="s">
        <v>5</v>
      </c>
      <c r="L305" s="5" t="s">
        <v>5</v>
      </c>
      <c r="M305" s="5" t="s">
        <v>5</v>
      </c>
      <c r="N305" s="5" t="s">
        <v>5</v>
      </c>
      <c r="O305" s="5" t="s">
        <v>5</v>
      </c>
      <c r="P305" s="5" t="s">
        <v>5</v>
      </c>
      <c r="Q305" s="5" t="s">
        <v>5</v>
      </c>
      <c r="R305" s="5" t="s">
        <v>5</v>
      </c>
      <c r="S305" s="5" t="s">
        <v>5</v>
      </c>
      <c r="T305" s="5" t="s">
        <v>5</v>
      </c>
      <c r="U305" s="5" t="s">
        <v>5</v>
      </c>
      <c r="V305" s="5" t="s">
        <v>5</v>
      </c>
      <c r="W305" s="13" t="s">
        <v>5</v>
      </c>
    </row>
    <row r="306" spans="1:23">
      <c r="A306" s="2">
        <v>45715</v>
      </c>
      <c r="B306" s="9">
        <f t="shared" si="11"/>
        <v>1153</v>
      </c>
      <c r="C306" s="3" t="s">
        <v>80</v>
      </c>
      <c r="D306" s="3" t="s">
        <v>206</v>
      </c>
      <c r="E306" s="13" t="s">
        <v>104</v>
      </c>
      <c r="F306" s="5">
        <v>3.68</v>
      </c>
      <c r="G306" s="3">
        <v>1226</v>
      </c>
      <c r="H306" s="5">
        <v>4.9000000000000004</v>
      </c>
      <c r="I306" s="9">
        <v>520</v>
      </c>
      <c r="J306" s="7">
        <v>8.9920000000000009</v>
      </c>
      <c r="K306" s="7">
        <v>7.66</v>
      </c>
      <c r="L306" s="5">
        <v>75.900000000000006</v>
      </c>
      <c r="M306" s="7">
        <v>8.41</v>
      </c>
      <c r="N306" s="3">
        <v>893</v>
      </c>
      <c r="O306" s="3">
        <v>984</v>
      </c>
      <c r="P306" s="3">
        <v>881</v>
      </c>
      <c r="Q306" s="3">
        <v>34</v>
      </c>
      <c r="R306" s="3">
        <v>1360</v>
      </c>
      <c r="S306" s="9">
        <v>2320</v>
      </c>
      <c r="T306" s="3">
        <f>O306-N306</f>
        <v>91</v>
      </c>
      <c r="U306" s="9">
        <f>(T306/O306)*100</f>
        <v>9.2479674796747968</v>
      </c>
      <c r="V306" s="9">
        <f>S306/O306</f>
        <v>2.3577235772357725</v>
      </c>
      <c r="W306" s="13" t="s">
        <v>210</v>
      </c>
    </row>
    <row r="307" spans="1:23">
      <c r="A307" s="2">
        <v>45729</v>
      </c>
      <c r="B307" s="9">
        <f t="shared" si="11"/>
        <v>1167</v>
      </c>
      <c r="C307" s="3" t="s">
        <v>80</v>
      </c>
      <c r="D307" s="3" t="s">
        <v>9</v>
      </c>
      <c r="E307" s="13" t="s">
        <v>104</v>
      </c>
      <c r="F307" s="5">
        <v>1.6</v>
      </c>
      <c r="G307" s="3">
        <v>901</v>
      </c>
      <c r="H307" s="5">
        <v>47</v>
      </c>
      <c r="I307" s="9">
        <v>458.1</v>
      </c>
      <c r="J307" s="7">
        <v>9.0190000000000001</v>
      </c>
      <c r="K307" s="7">
        <v>7.41</v>
      </c>
      <c r="L307" s="5">
        <v>63.4</v>
      </c>
      <c r="M307" s="7">
        <v>6.92</v>
      </c>
      <c r="N307" s="3">
        <v>192</v>
      </c>
      <c r="O307" s="3">
        <v>314</v>
      </c>
      <c r="P307" s="3">
        <v>172</v>
      </c>
      <c r="Q307" s="3">
        <v>42</v>
      </c>
      <c r="R307" s="3">
        <v>401</v>
      </c>
      <c r="S307" s="9">
        <v>2110</v>
      </c>
      <c r="T307" s="3">
        <f>O307-N307</f>
        <v>122</v>
      </c>
      <c r="U307" s="9">
        <f>(T307/O307)*100</f>
        <v>38.853503184713375</v>
      </c>
      <c r="V307" s="9">
        <f>S307/O307</f>
        <v>6.7197452229299364</v>
      </c>
      <c r="W307" s="13" t="s">
        <v>212</v>
      </c>
    </row>
    <row r="308" spans="1:23">
      <c r="A308" s="2">
        <v>45729</v>
      </c>
      <c r="B308" s="9">
        <f t="shared" si="11"/>
        <v>1167</v>
      </c>
      <c r="C308" s="3" t="s">
        <v>80</v>
      </c>
      <c r="D308" s="3" t="s">
        <v>33</v>
      </c>
      <c r="E308" s="13" t="s">
        <v>102</v>
      </c>
      <c r="F308" s="5">
        <v>4</v>
      </c>
      <c r="G308" s="3" t="s">
        <v>5</v>
      </c>
      <c r="H308" s="3" t="s">
        <v>5</v>
      </c>
      <c r="I308" s="3" t="s">
        <v>5</v>
      </c>
      <c r="J308" s="3" t="s">
        <v>5</v>
      </c>
      <c r="K308" s="3" t="s">
        <v>5</v>
      </c>
      <c r="L308" s="3" t="s">
        <v>5</v>
      </c>
      <c r="M308" s="3" t="s">
        <v>5</v>
      </c>
      <c r="N308" s="3" t="s">
        <v>5</v>
      </c>
      <c r="O308" s="3" t="s">
        <v>5</v>
      </c>
      <c r="P308" s="3" t="s">
        <v>5</v>
      </c>
      <c r="Q308" s="3" t="s">
        <v>5</v>
      </c>
      <c r="R308" s="3" t="s">
        <v>5</v>
      </c>
      <c r="S308" s="3" t="s">
        <v>5</v>
      </c>
      <c r="T308" s="3" t="s">
        <v>5</v>
      </c>
      <c r="U308" s="3" t="s">
        <v>5</v>
      </c>
      <c r="V308" s="3" t="s">
        <v>5</v>
      </c>
      <c r="W308" s="13" t="s">
        <v>108</v>
      </c>
    </row>
    <row r="309" spans="1:23">
      <c r="A309" s="2">
        <v>45729</v>
      </c>
      <c r="B309" s="9">
        <f t="shared" si="11"/>
        <v>1167</v>
      </c>
      <c r="C309" s="3" t="s">
        <v>80</v>
      </c>
      <c r="D309" s="3" t="s">
        <v>4</v>
      </c>
      <c r="E309" s="13" t="s">
        <v>104</v>
      </c>
      <c r="F309" s="5" t="s">
        <v>5</v>
      </c>
      <c r="G309" s="3">
        <v>830</v>
      </c>
      <c r="H309" s="5">
        <v>10.1</v>
      </c>
      <c r="I309" s="9">
        <v>179.2</v>
      </c>
      <c r="J309" s="7">
        <v>9.0289999999999999</v>
      </c>
      <c r="K309" s="7">
        <v>8.16</v>
      </c>
      <c r="L309" s="5">
        <v>78.2</v>
      </c>
      <c r="M309" s="7">
        <v>7.47</v>
      </c>
      <c r="N309" s="3">
        <v>44</v>
      </c>
      <c r="O309" s="3">
        <v>58</v>
      </c>
      <c r="P309" s="3">
        <v>35</v>
      </c>
      <c r="Q309" s="3">
        <v>15</v>
      </c>
      <c r="R309" s="3">
        <v>52</v>
      </c>
      <c r="S309" s="9">
        <v>154</v>
      </c>
      <c r="T309" s="3">
        <f>O309-N309</f>
        <v>14</v>
      </c>
      <c r="U309" s="9">
        <f>(T309/O309)*100</f>
        <v>24.137931034482758</v>
      </c>
      <c r="V309" s="9">
        <f>S309/O309</f>
        <v>2.6551724137931036</v>
      </c>
      <c r="W309" s="13" t="s">
        <v>5</v>
      </c>
    </row>
    <row r="310" spans="1:23">
      <c r="A310" s="2">
        <v>45729</v>
      </c>
      <c r="B310" s="9">
        <f t="shared" si="11"/>
        <v>1167</v>
      </c>
      <c r="C310" s="3" t="s">
        <v>80</v>
      </c>
      <c r="D310" s="3" t="s">
        <v>21</v>
      </c>
      <c r="E310" s="13" t="s">
        <v>102</v>
      </c>
      <c r="F310" s="5">
        <v>3.48</v>
      </c>
      <c r="G310" s="3" t="s">
        <v>5</v>
      </c>
      <c r="H310" s="3" t="s">
        <v>5</v>
      </c>
      <c r="I310" s="3" t="s">
        <v>5</v>
      </c>
      <c r="J310" s="3" t="s">
        <v>5</v>
      </c>
      <c r="K310" s="3" t="s">
        <v>5</v>
      </c>
      <c r="L310" s="3" t="s">
        <v>5</v>
      </c>
      <c r="M310" s="3" t="s">
        <v>5</v>
      </c>
      <c r="N310" s="3" t="s">
        <v>5</v>
      </c>
      <c r="O310" s="3" t="s">
        <v>5</v>
      </c>
      <c r="P310" s="3" t="s">
        <v>5</v>
      </c>
      <c r="Q310" s="3" t="s">
        <v>5</v>
      </c>
      <c r="R310" s="3" t="s">
        <v>5</v>
      </c>
      <c r="S310" s="3" t="s">
        <v>5</v>
      </c>
      <c r="T310" s="3" t="s">
        <v>5</v>
      </c>
      <c r="U310" s="3" t="s">
        <v>5</v>
      </c>
      <c r="V310" s="3" t="s">
        <v>5</v>
      </c>
      <c r="W310" s="3" t="s">
        <v>5</v>
      </c>
    </row>
    <row r="311" spans="1:23">
      <c r="A311" s="2">
        <v>45729</v>
      </c>
      <c r="B311" s="9">
        <f t="shared" si="11"/>
        <v>1167</v>
      </c>
      <c r="C311" s="3" t="s">
        <v>80</v>
      </c>
      <c r="D311" s="3" t="s">
        <v>6</v>
      </c>
      <c r="E311" s="13" t="s">
        <v>104</v>
      </c>
      <c r="F311" s="5" t="s">
        <v>5</v>
      </c>
      <c r="G311" s="3">
        <v>838</v>
      </c>
      <c r="H311" s="5">
        <v>4.9000000000000004</v>
      </c>
      <c r="I311" s="9">
        <v>189.3</v>
      </c>
      <c r="J311" s="7">
        <v>8.7889999999999997</v>
      </c>
      <c r="K311" s="7">
        <v>7.87</v>
      </c>
      <c r="L311" s="5">
        <v>84</v>
      </c>
      <c r="M311" s="7">
        <v>9.1</v>
      </c>
      <c r="N311" s="3">
        <v>32</v>
      </c>
      <c r="O311" s="3">
        <v>66</v>
      </c>
      <c r="P311" s="3">
        <v>18</v>
      </c>
      <c r="Q311" s="3">
        <v>16</v>
      </c>
      <c r="R311" s="3">
        <v>0</v>
      </c>
      <c r="S311" s="9">
        <v>486</v>
      </c>
      <c r="T311" s="3">
        <f>O311-N311</f>
        <v>34</v>
      </c>
      <c r="U311" s="9">
        <f>(T311/O311)*100</f>
        <v>51.515151515151516</v>
      </c>
      <c r="V311" s="9">
        <f>S311/O311</f>
        <v>7.3636363636363633</v>
      </c>
      <c r="W311" s="13" t="s">
        <v>185</v>
      </c>
    </row>
    <row r="312" spans="1:23">
      <c r="A312" s="2">
        <v>45729</v>
      </c>
      <c r="B312" s="9">
        <f t="shared" si="11"/>
        <v>1167</v>
      </c>
      <c r="C312" s="3" t="s">
        <v>80</v>
      </c>
      <c r="D312" s="3" t="s">
        <v>49</v>
      </c>
      <c r="E312" s="13" t="s">
        <v>104</v>
      </c>
      <c r="F312" s="5" t="s">
        <v>5</v>
      </c>
      <c r="G312" s="3">
        <v>910</v>
      </c>
      <c r="H312" s="5">
        <v>4.0999999999999996</v>
      </c>
      <c r="I312" s="9">
        <v>340.9</v>
      </c>
      <c r="J312" s="7">
        <v>8.7929999999999993</v>
      </c>
      <c r="K312" s="7">
        <v>7.61</v>
      </c>
      <c r="L312" s="5">
        <v>76</v>
      </c>
      <c r="M312" s="7">
        <v>8.43</v>
      </c>
      <c r="N312" s="3">
        <v>117</v>
      </c>
      <c r="O312" s="3">
        <v>218</v>
      </c>
      <c r="P312" s="3">
        <v>91</v>
      </c>
      <c r="Q312" s="3">
        <v>43</v>
      </c>
      <c r="R312" s="3">
        <v>33</v>
      </c>
      <c r="S312" s="9">
        <v>1590</v>
      </c>
      <c r="T312" s="3">
        <f>O312-N312</f>
        <v>101</v>
      </c>
      <c r="U312" s="9">
        <f>(T312/O312)*100</f>
        <v>46.330275229357795</v>
      </c>
      <c r="V312" s="9">
        <f>S312/O312</f>
        <v>7.2935779816513762</v>
      </c>
      <c r="W312" s="13" t="s">
        <v>213</v>
      </c>
    </row>
    <row r="313" spans="1:23">
      <c r="A313" s="2">
        <v>45729</v>
      </c>
      <c r="B313" s="9">
        <f t="shared" si="11"/>
        <v>1167</v>
      </c>
      <c r="C313" s="3" t="s">
        <v>80</v>
      </c>
      <c r="D313" s="3" t="s">
        <v>7</v>
      </c>
      <c r="E313" s="13" t="s">
        <v>104</v>
      </c>
      <c r="F313" s="5" t="s">
        <v>5</v>
      </c>
      <c r="G313" s="3">
        <v>924</v>
      </c>
      <c r="H313" s="5">
        <v>3.5</v>
      </c>
      <c r="I313" s="9">
        <v>317.89999999999998</v>
      </c>
      <c r="J313" s="7">
        <v>8.8520000000000003</v>
      </c>
      <c r="K313" s="7">
        <v>7.8</v>
      </c>
      <c r="L313" s="5">
        <v>80.599999999999994</v>
      </c>
      <c r="M313" s="7">
        <v>9.08</v>
      </c>
      <c r="N313" s="3">
        <v>95</v>
      </c>
      <c r="O313" s="3">
        <v>191</v>
      </c>
      <c r="P313" s="3">
        <v>70</v>
      </c>
      <c r="Q313" s="3">
        <v>32</v>
      </c>
      <c r="R313" s="3">
        <v>48</v>
      </c>
      <c r="S313" s="9">
        <v>1530</v>
      </c>
      <c r="T313" s="3">
        <f>O313-N313</f>
        <v>96</v>
      </c>
      <c r="U313" s="9">
        <f>(T313/O313)*100</f>
        <v>50.261780104712038</v>
      </c>
      <c r="V313" s="9">
        <f>S313/O313</f>
        <v>8.010471204188482</v>
      </c>
      <c r="W313" s="13" t="s">
        <v>211</v>
      </c>
    </row>
    <row r="314" spans="1:23">
      <c r="A314" s="2">
        <v>45729</v>
      </c>
      <c r="B314" s="9">
        <f t="shared" si="11"/>
        <v>1167</v>
      </c>
      <c r="C314" s="3" t="s">
        <v>80</v>
      </c>
      <c r="D314" s="3" t="s">
        <v>35</v>
      </c>
      <c r="E314" s="13" t="s">
        <v>103</v>
      </c>
      <c r="F314" s="5" t="s">
        <v>5</v>
      </c>
      <c r="G314" s="3" t="s">
        <v>5</v>
      </c>
      <c r="H314" s="3" t="s">
        <v>5</v>
      </c>
      <c r="I314" s="3" t="s">
        <v>5</v>
      </c>
      <c r="J314" s="3" t="s">
        <v>5</v>
      </c>
      <c r="K314" s="3" t="s">
        <v>5</v>
      </c>
      <c r="L314" s="3" t="s">
        <v>5</v>
      </c>
      <c r="M314" s="3" t="s">
        <v>5</v>
      </c>
      <c r="N314" s="3">
        <v>92</v>
      </c>
      <c r="O314" s="3">
        <v>171</v>
      </c>
      <c r="P314" s="3">
        <v>66</v>
      </c>
      <c r="Q314" s="10">
        <v>22</v>
      </c>
      <c r="R314" s="10">
        <v>26</v>
      </c>
      <c r="S314" s="9">
        <v>1360</v>
      </c>
      <c r="T314" s="3">
        <f>O314-N314</f>
        <v>79</v>
      </c>
      <c r="U314" s="9">
        <f>(T314/O314)*100</f>
        <v>46.198830409356724</v>
      </c>
      <c r="V314" s="9">
        <f>S314/O314</f>
        <v>7.9532163742690054</v>
      </c>
      <c r="W314" s="13" t="s">
        <v>214</v>
      </c>
    </row>
    <row r="315" spans="1:23">
      <c r="A315" s="2">
        <v>45729</v>
      </c>
      <c r="B315" s="9">
        <f t="shared" si="11"/>
        <v>1167</v>
      </c>
      <c r="C315" s="3" t="s">
        <v>80</v>
      </c>
      <c r="D315" s="3" t="s">
        <v>8</v>
      </c>
      <c r="E315" s="13" t="s">
        <v>104</v>
      </c>
      <c r="F315" s="5">
        <v>2.1800000000000002</v>
      </c>
      <c r="G315" s="3">
        <v>853</v>
      </c>
      <c r="H315" s="5">
        <v>3.4</v>
      </c>
      <c r="I315" s="9">
        <v>332.8</v>
      </c>
      <c r="J315" s="7">
        <v>9.0380000000000003</v>
      </c>
      <c r="K315" s="7">
        <v>7.74</v>
      </c>
      <c r="L315" s="5">
        <v>77</v>
      </c>
      <c r="M315" s="7">
        <v>8.7100000000000009</v>
      </c>
      <c r="N315" s="3">
        <v>87</v>
      </c>
      <c r="O315" s="3">
        <v>183</v>
      </c>
      <c r="P315" s="3">
        <v>61</v>
      </c>
      <c r="Q315" s="3">
        <v>23</v>
      </c>
      <c r="R315" s="3">
        <v>0</v>
      </c>
      <c r="S315" s="9">
        <v>1420</v>
      </c>
      <c r="T315" s="3">
        <f>O315-N315</f>
        <v>96</v>
      </c>
      <c r="U315" s="9">
        <f>(T315/O315)*100</f>
        <v>52.459016393442624</v>
      </c>
      <c r="V315" s="9">
        <f>S315/O315</f>
        <v>7.7595628415300544</v>
      </c>
      <c r="W315" s="13" t="s">
        <v>5</v>
      </c>
    </row>
    <row r="316" spans="1:23">
      <c r="A316" s="2">
        <v>45729</v>
      </c>
      <c r="B316" s="9">
        <f t="shared" si="11"/>
        <v>1167</v>
      </c>
      <c r="C316" s="3" t="s">
        <v>80</v>
      </c>
      <c r="D316" s="3" t="s">
        <v>20</v>
      </c>
      <c r="E316" s="13" t="s">
        <v>102</v>
      </c>
      <c r="F316" s="5">
        <v>2.2999999999999998</v>
      </c>
      <c r="G316" s="3" t="s">
        <v>5</v>
      </c>
      <c r="H316" s="3" t="s">
        <v>5</v>
      </c>
      <c r="I316" s="3" t="s">
        <v>5</v>
      </c>
      <c r="J316" s="3" t="s">
        <v>5</v>
      </c>
      <c r="K316" s="3" t="s">
        <v>5</v>
      </c>
      <c r="L316" s="3" t="s">
        <v>5</v>
      </c>
      <c r="M316" s="3" t="s">
        <v>5</v>
      </c>
      <c r="N316" s="3" t="s">
        <v>5</v>
      </c>
      <c r="O316" s="3" t="s">
        <v>5</v>
      </c>
      <c r="P316" s="3" t="s">
        <v>5</v>
      </c>
      <c r="Q316" s="3" t="s">
        <v>5</v>
      </c>
      <c r="R316" s="3" t="s">
        <v>5</v>
      </c>
      <c r="S316" s="3" t="s">
        <v>5</v>
      </c>
      <c r="T316" s="3" t="s">
        <v>5</v>
      </c>
      <c r="U316" s="3" t="s">
        <v>5</v>
      </c>
      <c r="V316" s="3" t="s">
        <v>5</v>
      </c>
      <c r="W316" s="13" t="s">
        <v>5</v>
      </c>
    </row>
    <row r="317" spans="1:23">
      <c r="A317" s="2">
        <v>45771</v>
      </c>
      <c r="B317" s="9">
        <f t="shared" si="11"/>
        <v>1209</v>
      </c>
      <c r="C317" s="3" t="s">
        <v>80</v>
      </c>
      <c r="D317" s="3" t="s">
        <v>33</v>
      </c>
      <c r="E317" s="13" t="s">
        <v>102</v>
      </c>
      <c r="F317" s="5">
        <v>4</v>
      </c>
      <c r="G317" s="5" t="s">
        <v>5</v>
      </c>
      <c r="H317" s="5" t="s">
        <v>5</v>
      </c>
      <c r="I317" s="5" t="s">
        <v>5</v>
      </c>
      <c r="J317" s="5" t="s">
        <v>5</v>
      </c>
      <c r="K317" s="5" t="s">
        <v>5</v>
      </c>
      <c r="L317" s="5" t="s">
        <v>5</v>
      </c>
      <c r="M317" s="5" t="s">
        <v>5</v>
      </c>
      <c r="N317" s="5" t="s">
        <v>5</v>
      </c>
      <c r="O317" s="5" t="s">
        <v>5</v>
      </c>
      <c r="P317" s="5" t="s">
        <v>5</v>
      </c>
      <c r="Q317" s="5" t="s">
        <v>5</v>
      </c>
      <c r="R317" s="5" t="s">
        <v>5</v>
      </c>
      <c r="S317" s="5" t="s">
        <v>5</v>
      </c>
      <c r="T317" s="5" t="s">
        <v>5</v>
      </c>
      <c r="U317" s="5" t="s">
        <v>5</v>
      </c>
      <c r="V317" s="5" t="s">
        <v>5</v>
      </c>
      <c r="W317" s="13" t="s">
        <v>215</v>
      </c>
    </row>
    <row r="318" spans="1:23">
      <c r="A318" s="2">
        <v>45771</v>
      </c>
      <c r="B318" s="9">
        <f>TEXT((A318-DATEVALUE("1/1/"&amp;TEXT(A318,"yy"))+1),"000")+365+365+365</f>
        <v>1209</v>
      </c>
      <c r="C318" s="3" t="s">
        <v>80</v>
      </c>
      <c r="D318" s="3" t="s">
        <v>21</v>
      </c>
      <c r="E318" s="13" t="s">
        <v>102</v>
      </c>
      <c r="F318" s="5">
        <v>3.5</v>
      </c>
      <c r="G318" s="5" t="s">
        <v>5</v>
      </c>
      <c r="H318" s="5" t="s">
        <v>5</v>
      </c>
      <c r="I318" s="5" t="s">
        <v>5</v>
      </c>
      <c r="J318" s="5" t="s">
        <v>5</v>
      </c>
      <c r="K318" s="5" t="s">
        <v>5</v>
      </c>
      <c r="L318" s="5" t="s">
        <v>5</v>
      </c>
      <c r="M318" s="5" t="s">
        <v>5</v>
      </c>
      <c r="N318" s="5" t="s">
        <v>5</v>
      </c>
      <c r="O318" s="5" t="s">
        <v>5</v>
      </c>
      <c r="P318" s="5" t="s">
        <v>5</v>
      </c>
      <c r="Q318" s="5" t="s">
        <v>5</v>
      </c>
      <c r="R318" s="5" t="s">
        <v>5</v>
      </c>
      <c r="S318" s="5" t="s">
        <v>5</v>
      </c>
      <c r="T318" s="5" t="s">
        <v>5</v>
      </c>
      <c r="U318" s="5" t="s">
        <v>5</v>
      </c>
      <c r="V318" s="5" t="s">
        <v>5</v>
      </c>
      <c r="W318" s="5" t="s">
        <v>5</v>
      </c>
    </row>
    <row r="319" spans="1:23">
      <c r="A319" s="2">
        <v>45771</v>
      </c>
      <c r="B319" s="9">
        <f>TEXT((A319-DATEVALUE("1/1/"&amp;TEXT(A319,"yy"))+1),"000")+365+365+365</f>
        <v>1209</v>
      </c>
      <c r="C319" s="3" t="s">
        <v>80</v>
      </c>
      <c r="D319" s="3" t="s">
        <v>20</v>
      </c>
      <c r="E319" s="13" t="s">
        <v>102</v>
      </c>
      <c r="F319" s="5">
        <v>3.45</v>
      </c>
      <c r="G319" s="5" t="s">
        <v>5</v>
      </c>
      <c r="H319" s="5" t="s">
        <v>5</v>
      </c>
      <c r="I319" s="5" t="s">
        <v>5</v>
      </c>
      <c r="J319" s="5" t="s">
        <v>5</v>
      </c>
      <c r="K319" s="5" t="s">
        <v>5</v>
      </c>
      <c r="L319" s="5" t="s">
        <v>5</v>
      </c>
      <c r="M319" s="5" t="s">
        <v>5</v>
      </c>
      <c r="N319" s="5" t="s">
        <v>5</v>
      </c>
      <c r="O319" s="5" t="s">
        <v>5</v>
      </c>
      <c r="P319" s="5" t="s">
        <v>5</v>
      </c>
      <c r="Q319" s="5" t="s">
        <v>5</v>
      </c>
      <c r="R319" s="5" t="s">
        <v>5</v>
      </c>
      <c r="S319" s="5" t="s">
        <v>5</v>
      </c>
      <c r="T319" s="5" t="s">
        <v>5</v>
      </c>
      <c r="U319" s="5" t="s">
        <v>5</v>
      </c>
      <c r="V319" s="5" t="s">
        <v>5</v>
      </c>
      <c r="W319" s="13" t="s">
        <v>156</v>
      </c>
    </row>
    <row r="320" spans="1:23">
      <c r="A320" s="2">
        <v>45771</v>
      </c>
      <c r="B320" s="9">
        <f t="shared" si="11"/>
        <v>1209</v>
      </c>
      <c r="C320" s="3" t="s">
        <v>80</v>
      </c>
      <c r="D320" s="3" t="s">
        <v>4</v>
      </c>
      <c r="E320" s="13" t="s">
        <v>104</v>
      </c>
      <c r="F320" s="5" t="s">
        <v>5</v>
      </c>
      <c r="G320" s="3">
        <v>833</v>
      </c>
      <c r="H320" s="5">
        <v>15.1</v>
      </c>
      <c r="I320" s="9">
        <v>179.7</v>
      </c>
      <c r="J320" s="7">
        <v>8.9890000000000008</v>
      </c>
      <c r="K320" s="7">
        <v>8.51</v>
      </c>
      <c r="L320" s="5">
        <v>89.4</v>
      </c>
      <c r="M320" s="7">
        <v>7.74</v>
      </c>
      <c r="N320" s="3">
        <v>44</v>
      </c>
      <c r="O320" s="3">
        <v>64</v>
      </c>
      <c r="P320" s="3">
        <v>30</v>
      </c>
      <c r="Q320" s="3">
        <v>0</v>
      </c>
      <c r="R320" s="3">
        <v>0</v>
      </c>
      <c r="S320" s="9">
        <v>200</v>
      </c>
      <c r="T320" s="3">
        <f t="shared" ref="T320:T323" si="12">O320-N320</f>
        <v>20</v>
      </c>
      <c r="U320" s="9">
        <f t="shared" ref="U320:U323" si="13">(T320/O320)*100</f>
        <v>31.25</v>
      </c>
      <c r="V320" s="9">
        <f t="shared" ref="V320:V323" si="14">S320/O320</f>
        <v>3.125</v>
      </c>
      <c r="W320" s="13" t="s">
        <v>217</v>
      </c>
    </row>
    <row r="321" spans="1:23">
      <c r="A321" s="2">
        <v>45771</v>
      </c>
      <c r="B321" s="9">
        <f t="shared" si="11"/>
        <v>1209</v>
      </c>
      <c r="C321" s="3" t="s">
        <v>80</v>
      </c>
      <c r="D321" s="3" t="s">
        <v>6</v>
      </c>
      <c r="E321" s="13" t="s">
        <v>104</v>
      </c>
      <c r="F321" s="5" t="s">
        <v>5</v>
      </c>
      <c r="G321" s="3">
        <v>843</v>
      </c>
      <c r="H321" s="5">
        <v>13.4</v>
      </c>
      <c r="I321" s="9">
        <v>187.8</v>
      </c>
      <c r="J321" s="7">
        <v>8.9139999999999997</v>
      </c>
      <c r="K321" s="7">
        <v>8.2799999999999994</v>
      </c>
      <c r="L321" s="5">
        <v>92</v>
      </c>
      <c r="M321" s="7">
        <v>8.27</v>
      </c>
      <c r="N321" s="3">
        <v>42</v>
      </c>
      <c r="O321" s="3">
        <v>78</v>
      </c>
      <c r="P321" s="3">
        <v>27</v>
      </c>
      <c r="Q321" s="3">
        <v>0</v>
      </c>
      <c r="R321" s="3">
        <v>0</v>
      </c>
      <c r="S321" s="9">
        <v>365</v>
      </c>
      <c r="T321" s="3">
        <f t="shared" si="12"/>
        <v>36</v>
      </c>
      <c r="U321" s="9">
        <f t="shared" si="13"/>
        <v>46.153846153846153</v>
      </c>
      <c r="V321" s="9">
        <f t="shared" si="14"/>
        <v>4.6794871794871797</v>
      </c>
      <c r="W321" s="13" t="s">
        <v>185</v>
      </c>
    </row>
    <row r="322" spans="1:23">
      <c r="A322" s="2">
        <v>45771</v>
      </c>
      <c r="B322" s="9">
        <f>TEXT((A322-DATEVALUE("1/1/"&amp;TEXT(A322,"yy"))+1),"000")+365+365+365</f>
        <v>1209</v>
      </c>
      <c r="C322" s="3" t="s">
        <v>80</v>
      </c>
      <c r="D322" s="3" t="s">
        <v>8</v>
      </c>
      <c r="E322" s="13" t="s">
        <v>104</v>
      </c>
      <c r="F322" s="5">
        <v>3.3</v>
      </c>
      <c r="G322" s="3">
        <v>904</v>
      </c>
      <c r="H322" s="5">
        <v>13.5</v>
      </c>
      <c r="I322" s="9">
        <v>268.89999999999998</v>
      </c>
      <c r="J322" s="7">
        <v>9.0139999999999993</v>
      </c>
      <c r="K322" s="7">
        <v>8</v>
      </c>
      <c r="L322" s="5">
        <v>84.5</v>
      </c>
      <c r="M322" s="7">
        <v>7.56</v>
      </c>
      <c r="N322" s="3">
        <v>115</v>
      </c>
      <c r="O322" s="3">
        <v>133</v>
      </c>
      <c r="P322" s="3">
        <v>94</v>
      </c>
      <c r="Q322" s="3">
        <v>21</v>
      </c>
      <c r="R322" s="3">
        <v>0</v>
      </c>
      <c r="S322" s="9">
        <v>675</v>
      </c>
      <c r="T322" s="3">
        <f t="shared" si="12"/>
        <v>18</v>
      </c>
      <c r="U322" s="9">
        <f t="shared" si="13"/>
        <v>13.533834586466165</v>
      </c>
      <c r="V322" s="9">
        <f t="shared" si="14"/>
        <v>5.0751879699248121</v>
      </c>
      <c r="W322" s="13" t="s">
        <v>218</v>
      </c>
    </row>
    <row r="323" spans="1:23">
      <c r="A323" s="2">
        <v>45771</v>
      </c>
      <c r="B323" s="9">
        <f t="shared" si="11"/>
        <v>1209</v>
      </c>
      <c r="C323" s="3" t="s">
        <v>80</v>
      </c>
      <c r="D323" s="3" t="s">
        <v>7</v>
      </c>
      <c r="E323" s="13" t="s">
        <v>104</v>
      </c>
      <c r="F323" s="5" t="s">
        <v>5</v>
      </c>
      <c r="G323" s="3">
        <v>919</v>
      </c>
      <c r="H323" s="5">
        <v>13.3</v>
      </c>
      <c r="I323" s="9">
        <v>254.2</v>
      </c>
      <c r="J323" s="7">
        <v>8.9130000000000003</v>
      </c>
      <c r="K323" s="7">
        <v>8.0500000000000007</v>
      </c>
      <c r="L323" s="5">
        <v>90</v>
      </c>
      <c r="M323" s="7">
        <v>8.1</v>
      </c>
      <c r="N323" s="3">
        <v>94</v>
      </c>
      <c r="O323" s="3">
        <v>123</v>
      </c>
      <c r="P323" s="3">
        <v>75</v>
      </c>
      <c r="Q323" s="3">
        <v>0</v>
      </c>
      <c r="R323" s="3">
        <v>0</v>
      </c>
      <c r="S323" s="9">
        <v>576</v>
      </c>
      <c r="T323" s="3">
        <f t="shared" si="12"/>
        <v>29</v>
      </c>
      <c r="U323" s="9">
        <f t="shared" si="13"/>
        <v>23.577235772357724</v>
      </c>
      <c r="V323" s="9">
        <f t="shared" si="14"/>
        <v>4.6829268292682924</v>
      </c>
      <c r="W323" s="13" t="s">
        <v>216</v>
      </c>
    </row>
    <row r="324" spans="1:23">
      <c r="A324" s="2">
        <v>45771</v>
      </c>
      <c r="B324" s="9">
        <f t="shared" si="11"/>
        <v>1209</v>
      </c>
      <c r="C324" s="3" t="s">
        <v>80</v>
      </c>
      <c r="D324" s="3" t="s">
        <v>72</v>
      </c>
      <c r="E324" s="13" t="s">
        <v>103</v>
      </c>
      <c r="F324" s="5" t="s">
        <v>5</v>
      </c>
      <c r="G324" s="5" t="s">
        <v>5</v>
      </c>
      <c r="H324" s="5" t="s">
        <v>5</v>
      </c>
      <c r="I324" s="5" t="s">
        <v>5</v>
      </c>
      <c r="J324" s="5" t="s">
        <v>5</v>
      </c>
      <c r="K324" s="5" t="s">
        <v>5</v>
      </c>
      <c r="L324" s="5" t="s">
        <v>5</v>
      </c>
      <c r="M324" s="5" t="s">
        <v>5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9">
        <v>0</v>
      </c>
      <c r="T324" s="3" t="s">
        <v>5</v>
      </c>
      <c r="U324" s="9" t="s">
        <v>5</v>
      </c>
      <c r="V324" s="9" t="s">
        <v>5</v>
      </c>
      <c r="W324" s="13" t="s">
        <v>77</v>
      </c>
    </row>
    <row r="325" spans="1:23">
      <c r="A325" s="2">
        <v>45790</v>
      </c>
      <c r="B325" s="9">
        <f t="shared" si="11"/>
        <v>1228</v>
      </c>
      <c r="C325" s="3" t="s">
        <v>80</v>
      </c>
      <c r="D325" s="3" t="s">
        <v>33</v>
      </c>
      <c r="E325" s="13" t="s">
        <v>102</v>
      </c>
      <c r="F325" s="5">
        <v>4</v>
      </c>
      <c r="G325" s="5" t="s">
        <v>5</v>
      </c>
      <c r="H325" s="5" t="s">
        <v>5</v>
      </c>
      <c r="I325" s="5" t="s">
        <v>5</v>
      </c>
      <c r="J325" s="5" t="s">
        <v>5</v>
      </c>
      <c r="K325" s="5" t="s">
        <v>5</v>
      </c>
      <c r="L325" s="5" t="s">
        <v>5</v>
      </c>
      <c r="M325" s="5" t="s">
        <v>5</v>
      </c>
      <c r="N325" s="5" t="s">
        <v>5</v>
      </c>
      <c r="O325" s="5" t="s">
        <v>5</v>
      </c>
      <c r="P325" s="5" t="s">
        <v>5</v>
      </c>
      <c r="Q325" s="5" t="s">
        <v>5</v>
      </c>
      <c r="R325" s="5" t="s">
        <v>5</v>
      </c>
      <c r="S325" s="5" t="s">
        <v>5</v>
      </c>
      <c r="T325" s="5" t="s">
        <v>5</v>
      </c>
      <c r="U325" s="5" t="s">
        <v>5</v>
      </c>
      <c r="V325" s="5" t="s">
        <v>5</v>
      </c>
      <c r="W325" s="13" t="s">
        <v>170</v>
      </c>
    </row>
    <row r="326" spans="1:23">
      <c r="A326" s="2">
        <v>45790</v>
      </c>
      <c r="B326" s="9">
        <f t="shared" ref="B326:B333" si="15">TEXT((A326-DATEVALUE("1/1/"&amp;TEXT(A326,"yy"))+1),"000")+365+365+365</f>
        <v>1228</v>
      </c>
      <c r="C326" s="3" t="s">
        <v>80</v>
      </c>
      <c r="D326" s="3" t="s">
        <v>21</v>
      </c>
      <c r="E326" s="13" t="s">
        <v>102</v>
      </c>
      <c r="F326" s="5">
        <v>3</v>
      </c>
      <c r="G326" s="5" t="s">
        <v>5</v>
      </c>
      <c r="H326" s="5" t="s">
        <v>5</v>
      </c>
      <c r="I326" s="5" t="s">
        <v>5</v>
      </c>
      <c r="J326" s="5" t="s">
        <v>5</v>
      </c>
      <c r="K326" s="5" t="s">
        <v>5</v>
      </c>
      <c r="L326" s="5" t="s">
        <v>5</v>
      </c>
      <c r="M326" s="5" t="s">
        <v>5</v>
      </c>
      <c r="N326" s="5" t="s">
        <v>5</v>
      </c>
      <c r="O326" s="5" t="s">
        <v>5</v>
      </c>
      <c r="P326" s="5" t="s">
        <v>5</v>
      </c>
      <c r="Q326" s="5" t="s">
        <v>5</v>
      </c>
      <c r="R326" s="5" t="s">
        <v>5</v>
      </c>
      <c r="S326" s="5" t="s">
        <v>5</v>
      </c>
      <c r="T326" s="5" t="s">
        <v>5</v>
      </c>
      <c r="U326" s="5" t="s">
        <v>5</v>
      </c>
      <c r="V326" s="5" t="s">
        <v>5</v>
      </c>
      <c r="W326" s="13" t="s">
        <v>5</v>
      </c>
    </row>
    <row r="327" spans="1:23">
      <c r="A327" s="2">
        <v>45790</v>
      </c>
      <c r="B327" s="9">
        <f t="shared" si="15"/>
        <v>1228</v>
      </c>
      <c r="C327" s="3" t="s">
        <v>80</v>
      </c>
      <c r="D327" s="3" t="s">
        <v>20</v>
      </c>
      <c r="E327" s="13" t="s">
        <v>102</v>
      </c>
      <c r="F327" s="5">
        <v>3.15</v>
      </c>
      <c r="G327" s="5" t="s">
        <v>5</v>
      </c>
      <c r="H327" s="5" t="s">
        <v>5</v>
      </c>
      <c r="I327" s="5" t="s">
        <v>5</v>
      </c>
      <c r="J327" s="5" t="s">
        <v>5</v>
      </c>
      <c r="K327" s="5" t="s">
        <v>5</v>
      </c>
      <c r="L327" s="5" t="s">
        <v>5</v>
      </c>
      <c r="M327" s="5" t="s">
        <v>5</v>
      </c>
      <c r="N327" s="5" t="s">
        <v>5</v>
      </c>
      <c r="O327" s="5" t="s">
        <v>5</v>
      </c>
      <c r="P327" s="5" t="s">
        <v>5</v>
      </c>
      <c r="Q327" s="5" t="s">
        <v>5</v>
      </c>
      <c r="R327" s="5" t="s">
        <v>5</v>
      </c>
      <c r="S327" s="5" t="s">
        <v>5</v>
      </c>
      <c r="T327" s="5" t="s">
        <v>5</v>
      </c>
      <c r="U327" s="5" t="s">
        <v>5</v>
      </c>
      <c r="V327" s="5" t="s">
        <v>5</v>
      </c>
      <c r="W327" s="13" t="s">
        <v>156</v>
      </c>
    </row>
    <row r="328" spans="1:23">
      <c r="A328" s="2">
        <v>45790</v>
      </c>
      <c r="B328" s="9">
        <f t="shared" si="15"/>
        <v>1228</v>
      </c>
      <c r="C328" s="3" t="s">
        <v>80</v>
      </c>
      <c r="D328" s="3" t="s">
        <v>4</v>
      </c>
      <c r="E328" s="13" t="s">
        <v>104</v>
      </c>
      <c r="F328" s="5" t="s">
        <v>5</v>
      </c>
      <c r="G328" s="3">
        <v>137</v>
      </c>
      <c r="H328" s="5">
        <v>16.8</v>
      </c>
      <c r="I328" s="9">
        <v>215.2</v>
      </c>
      <c r="J328" s="7" t="s">
        <v>5</v>
      </c>
      <c r="K328" s="5" t="s">
        <v>5</v>
      </c>
      <c r="L328" s="5">
        <v>94.2</v>
      </c>
      <c r="M328" s="7">
        <v>9.14</v>
      </c>
      <c r="N328" s="3">
        <v>53</v>
      </c>
      <c r="O328" s="3">
        <v>69</v>
      </c>
      <c r="P328" s="3">
        <v>37</v>
      </c>
      <c r="Q328" s="3">
        <v>0</v>
      </c>
      <c r="R328" s="3">
        <v>0</v>
      </c>
      <c r="S328" s="9">
        <v>193</v>
      </c>
      <c r="T328" s="3">
        <f>O328-N328</f>
        <v>16</v>
      </c>
      <c r="U328" s="9">
        <f t="shared" ref="U328:U332" si="16">(T328/O328)*100</f>
        <v>23.188405797101449</v>
      </c>
      <c r="V328" s="9">
        <f t="shared" ref="V328:V332" si="17">S328/O328</f>
        <v>2.7971014492753623</v>
      </c>
      <c r="W328" s="13" t="s">
        <v>224</v>
      </c>
    </row>
    <row r="329" spans="1:23">
      <c r="A329" s="2">
        <v>45790</v>
      </c>
      <c r="B329" s="9">
        <f t="shared" si="15"/>
        <v>1228</v>
      </c>
      <c r="C329" s="3" t="s">
        <v>80</v>
      </c>
      <c r="D329" s="3" t="s">
        <v>6</v>
      </c>
      <c r="E329" s="13" t="s">
        <v>104</v>
      </c>
      <c r="F329" s="5" t="s">
        <v>5</v>
      </c>
      <c r="G329" s="3">
        <v>145</v>
      </c>
      <c r="H329" s="5">
        <v>15.5</v>
      </c>
      <c r="I329" s="9">
        <v>239.1</v>
      </c>
      <c r="J329" s="7" t="s">
        <v>5</v>
      </c>
      <c r="K329" s="5" t="s">
        <v>5</v>
      </c>
      <c r="L329" s="5">
        <v>105</v>
      </c>
      <c r="M329" s="7">
        <v>10.48</v>
      </c>
      <c r="N329" s="3">
        <v>71</v>
      </c>
      <c r="O329" s="3">
        <v>103</v>
      </c>
      <c r="P329" s="3">
        <v>40</v>
      </c>
      <c r="Q329" s="3">
        <v>0</v>
      </c>
      <c r="R329" s="3">
        <v>0</v>
      </c>
      <c r="S329" s="9">
        <v>509</v>
      </c>
      <c r="T329" s="3">
        <f t="shared" ref="T329:T332" si="18">O329-N329</f>
        <v>32</v>
      </c>
      <c r="U329" s="9">
        <f t="shared" si="16"/>
        <v>31.067961165048541</v>
      </c>
      <c r="V329" s="9">
        <f t="shared" si="17"/>
        <v>4.941747572815534</v>
      </c>
      <c r="W329" s="13" t="s">
        <v>224</v>
      </c>
    </row>
    <row r="330" spans="1:23">
      <c r="A330" s="2">
        <v>45790</v>
      </c>
      <c r="B330" s="9">
        <f t="shared" si="15"/>
        <v>1228</v>
      </c>
      <c r="C330" s="3" t="s">
        <v>80</v>
      </c>
      <c r="D330" s="3" t="s">
        <v>8</v>
      </c>
      <c r="E330" s="13" t="s">
        <v>104</v>
      </c>
      <c r="F330" s="5">
        <v>2.9</v>
      </c>
      <c r="G330" s="3">
        <v>158</v>
      </c>
      <c r="H330" s="5">
        <v>14.5</v>
      </c>
      <c r="I330" s="9">
        <v>321.10000000000002</v>
      </c>
      <c r="J330" s="7" t="s">
        <v>5</v>
      </c>
      <c r="K330" s="5" t="s">
        <v>5</v>
      </c>
      <c r="L330" s="5">
        <v>96.5</v>
      </c>
      <c r="M330" s="7">
        <v>9.81</v>
      </c>
      <c r="N330" s="3">
        <v>162</v>
      </c>
      <c r="O330" s="3">
        <v>179</v>
      </c>
      <c r="P330" s="3">
        <v>128</v>
      </c>
      <c r="Q330" s="3">
        <v>0</v>
      </c>
      <c r="R330" s="3">
        <v>0</v>
      </c>
      <c r="S330" s="9">
        <v>701</v>
      </c>
      <c r="T330" s="3">
        <f t="shared" si="18"/>
        <v>17</v>
      </c>
      <c r="U330" s="9">
        <f t="shared" si="16"/>
        <v>9.4972067039106136</v>
      </c>
      <c r="V330" s="9">
        <f t="shared" si="17"/>
        <v>3.9162011173184359</v>
      </c>
      <c r="W330" s="13" t="s">
        <v>224</v>
      </c>
    </row>
    <row r="331" spans="1:23">
      <c r="A331" s="2">
        <v>45790</v>
      </c>
      <c r="B331" s="9">
        <f t="shared" si="15"/>
        <v>1228</v>
      </c>
      <c r="C331" s="3" t="s">
        <v>80</v>
      </c>
      <c r="D331" s="3" t="s">
        <v>7</v>
      </c>
      <c r="E331" s="13" t="s">
        <v>104</v>
      </c>
      <c r="F331" s="5" t="s">
        <v>5</v>
      </c>
      <c r="G331" s="3">
        <v>1410</v>
      </c>
      <c r="H331" s="5">
        <v>15.3</v>
      </c>
      <c r="I331" s="9">
        <v>273.60000000000002</v>
      </c>
      <c r="J331" s="7" t="s">
        <v>5</v>
      </c>
      <c r="K331" s="5" t="s">
        <v>5</v>
      </c>
      <c r="L331" s="5">
        <v>106.1</v>
      </c>
      <c r="M331" s="7">
        <v>10.62</v>
      </c>
      <c r="N331" s="3">
        <v>115</v>
      </c>
      <c r="O331" s="3">
        <v>134</v>
      </c>
      <c r="P331" s="3">
        <v>84</v>
      </c>
      <c r="Q331" s="3">
        <v>0</v>
      </c>
      <c r="R331" s="3">
        <v>0</v>
      </c>
      <c r="S331" s="9">
        <v>510</v>
      </c>
      <c r="T331" s="3">
        <f t="shared" si="18"/>
        <v>19</v>
      </c>
      <c r="U331" s="9">
        <f t="shared" si="16"/>
        <v>14.17910447761194</v>
      </c>
      <c r="V331" s="9">
        <f t="shared" si="17"/>
        <v>3.8059701492537314</v>
      </c>
      <c r="W331" s="13" t="s">
        <v>224</v>
      </c>
    </row>
    <row r="332" spans="1:23">
      <c r="A332" s="2">
        <v>45790</v>
      </c>
      <c r="B332" s="9">
        <f t="shared" si="15"/>
        <v>1228</v>
      </c>
      <c r="C332" s="3" t="s">
        <v>80</v>
      </c>
      <c r="D332" s="3" t="s">
        <v>35</v>
      </c>
      <c r="E332" s="13" t="s">
        <v>103</v>
      </c>
      <c r="F332" s="5" t="s">
        <v>5</v>
      </c>
      <c r="G332" s="5" t="s">
        <v>5</v>
      </c>
      <c r="H332" s="5" t="s">
        <v>5</v>
      </c>
      <c r="I332" s="5" t="s">
        <v>5</v>
      </c>
      <c r="J332" s="5" t="s">
        <v>5</v>
      </c>
      <c r="K332" s="5" t="s">
        <v>5</v>
      </c>
      <c r="L332" s="5" t="s">
        <v>5</v>
      </c>
      <c r="M332" s="5" t="s">
        <v>5</v>
      </c>
      <c r="N332" s="3">
        <v>113</v>
      </c>
      <c r="O332" s="3">
        <v>132</v>
      </c>
      <c r="P332" s="3">
        <v>82</v>
      </c>
      <c r="Q332" s="3">
        <v>0</v>
      </c>
      <c r="R332" s="3">
        <v>0</v>
      </c>
      <c r="S332" s="9">
        <v>503</v>
      </c>
      <c r="T332" s="3">
        <f t="shared" si="18"/>
        <v>19</v>
      </c>
      <c r="U332" s="9">
        <f t="shared" si="16"/>
        <v>14.393939393939394</v>
      </c>
      <c r="V332" s="9">
        <f t="shared" si="17"/>
        <v>3.8106060606060606</v>
      </c>
      <c r="W332" s="13" t="s">
        <v>76</v>
      </c>
    </row>
    <row r="333" spans="1:23">
      <c r="A333" s="2">
        <v>45813</v>
      </c>
      <c r="B333" s="9">
        <f t="shared" si="15"/>
        <v>1251</v>
      </c>
      <c r="C333" s="3" t="s">
        <v>80</v>
      </c>
      <c r="D333" s="3" t="s">
        <v>33</v>
      </c>
      <c r="E333" s="13" t="s">
        <v>102</v>
      </c>
      <c r="F333" s="5">
        <v>4</v>
      </c>
      <c r="G333" s="13" t="s">
        <v>5</v>
      </c>
      <c r="H333" s="13" t="s">
        <v>5</v>
      </c>
      <c r="I333" s="13" t="s">
        <v>5</v>
      </c>
      <c r="J333" s="13" t="s">
        <v>5</v>
      </c>
      <c r="K333" s="13" t="s">
        <v>5</v>
      </c>
      <c r="L333" s="13" t="s">
        <v>5</v>
      </c>
      <c r="M333" s="13" t="s">
        <v>5</v>
      </c>
      <c r="N333" s="13" t="s">
        <v>5</v>
      </c>
      <c r="O333" s="13" t="s">
        <v>5</v>
      </c>
      <c r="P333" s="13" t="s">
        <v>5</v>
      </c>
      <c r="Q333" s="13" t="s">
        <v>5</v>
      </c>
      <c r="R333" s="13" t="s">
        <v>5</v>
      </c>
      <c r="S333" s="13" t="s">
        <v>5</v>
      </c>
      <c r="T333" s="13" t="s">
        <v>5</v>
      </c>
      <c r="U333" s="13" t="s">
        <v>5</v>
      </c>
      <c r="V333" s="13" t="s">
        <v>5</v>
      </c>
      <c r="W333" s="13" t="s">
        <v>170</v>
      </c>
    </row>
    <row r="334" spans="1:23">
      <c r="A334" s="2">
        <v>45813</v>
      </c>
      <c r="B334" s="9">
        <f t="shared" ref="B334:B345" si="19">TEXT((A334-DATEVALUE("1/1/"&amp;TEXT(A334,"yy"))+1),"000")+365+365+365</f>
        <v>1251</v>
      </c>
      <c r="C334" s="3" t="s">
        <v>80</v>
      </c>
      <c r="D334" s="3" t="s">
        <v>21</v>
      </c>
      <c r="E334" s="13" t="s">
        <v>102</v>
      </c>
      <c r="F334" s="5">
        <v>3.2</v>
      </c>
      <c r="G334" s="13" t="s">
        <v>5</v>
      </c>
      <c r="H334" s="13" t="s">
        <v>5</v>
      </c>
      <c r="I334" s="13" t="s">
        <v>5</v>
      </c>
      <c r="J334" s="13" t="s">
        <v>5</v>
      </c>
      <c r="K334" s="13" t="s">
        <v>5</v>
      </c>
      <c r="L334" s="13" t="s">
        <v>5</v>
      </c>
      <c r="M334" s="13" t="s">
        <v>5</v>
      </c>
      <c r="N334" s="13" t="s">
        <v>5</v>
      </c>
      <c r="O334" s="13" t="s">
        <v>5</v>
      </c>
      <c r="P334" s="13" t="s">
        <v>5</v>
      </c>
      <c r="Q334" s="13" t="s">
        <v>5</v>
      </c>
      <c r="R334" s="13" t="s">
        <v>5</v>
      </c>
      <c r="S334" s="13" t="s">
        <v>5</v>
      </c>
      <c r="T334" s="13" t="s">
        <v>5</v>
      </c>
      <c r="U334" s="13" t="s">
        <v>5</v>
      </c>
      <c r="V334" s="13" t="s">
        <v>5</v>
      </c>
      <c r="W334" s="13" t="s">
        <v>5</v>
      </c>
    </row>
    <row r="335" spans="1:23">
      <c r="A335" s="2">
        <v>45813</v>
      </c>
      <c r="B335" s="9">
        <f t="shared" si="19"/>
        <v>1251</v>
      </c>
      <c r="C335" s="3" t="s">
        <v>80</v>
      </c>
      <c r="D335" s="3" t="s">
        <v>20</v>
      </c>
      <c r="E335" s="13" t="s">
        <v>102</v>
      </c>
      <c r="F335" s="5">
        <v>2.9</v>
      </c>
      <c r="G335" s="13" t="s">
        <v>5</v>
      </c>
      <c r="H335" s="13" t="s">
        <v>5</v>
      </c>
      <c r="I335" s="13" t="s">
        <v>5</v>
      </c>
      <c r="J335" s="13" t="s">
        <v>5</v>
      </c>
      <c r="K335" s="13" t="s">
        <v>5</v>
      </c>
      <c r="L335" s="13" t="s">
        <v>5</v>
      </c>
      <c r="M335" s="13" t="s">
        <v>5</v>
      </c>
      <c r="N335" s="13" t="s">
        <v>5</v>
      </c>
      <c r="O335" s="13" t="s">
        <v>5</v>
      </c>
      <c r="P335" s="13" t="s">
        <v>5</v>
      </c>
      <c r="Q335" s="13" t="s">
        <v>5</v>
      </c>
      <c r="R335" s="13" t="s">
        <v>5</v>
      </c>
      <c r="S335" s="13" t="s">
        <v>5</v>
      </c>
      <c r="T335" s="13" t="s">
        <v>5</v>
      </c>
      <c r="U335" s="13" t="s">
        <v>5</v>
      </c>
      <c r="V335" s="13" t="s">
        <v>5</v>
      </c>
      <c r="W335" s="13" t="s">
        <v>156</v>
      </c>
    </row>
    <row r="336" spans="1:23">
      <c r="A336" s="2">
        <v>45813</v>
      </c>
      <c r="B336" s="9">
        <f t="shared" si="19"/>
        <v>1251</v>
      </c>
      <c r="C336" s="3" t="s">
        <v>80</v>
      </c>
      <c r="D336" s="3" t="s">
        <v>4</v>
      </c>
      <c r="E336" s="13" t="s">
        <v>104</v>
      </c>
      <c r="F336" s="5" t="s">
        <v>5</v>
      </c>
      <c r="G336" s="3">
        <v>907</v>
      </c>
      <c r="H336" s="5">
        <v>17.3</v>
      </c>
      <c r="I336" s="9">
        <v>187.3</v>
      </c>
      <c r="J336" s="7" t="s">
        <v>5</v>
      </c>
      <c r="K336" s="7">
        <v>8.61</v>
      </c>
      <c r="L336" s="5">
        <v>81.599999999999994</v>
      </c>
      <c r="M336" s="7">
        <v>7.84</v>
      </c>
      <c r="N336" s="3">
        <v>49</v>
      </c>
      <c r="O336" s="3">
        <v>60</v>
      </c>
      <c r="P336" s="3">
        <v>33</v>
      </c>
      <c r="Q336" s="3">
        <v>0</v>
      </c>
      <c r="R336" s="3">
        <v>0</v>
      </c>
      <c r="S336" s="9">
        <v>132</v>
      </c>
      <c r="T336" s="3">
        <f t="shared" ref="T336:T340" si="20">O336-N336</f>
        <v>11</v>
      </c>
      <c r="U336" s="9">
        <f t="shared" ref="U336:U340" si="21">(T336/O336)*100</f>
        <v>18.333333333333332</v>
      </c>
      <c r="V336" s="9">
        <f t="shared" ref="V336:V340" si="22">S336/O336</f>
        <v>2.2000000000000002</v>
      </c>
      <c r="W336" s="13" t="s">
        <v>219</v>
      </c>
    </row>
    <row r="337" spans="1:23">
      <c r="A337" s="2">
        <v>45813</v>
      </c>
      <c r="B337" s="9">
        <f t="shared" si="19"/>
        <v>1251</v>
      </c>
      <c r="C337" s="3" t="s">
        <v>80</v>
      </c>
      <c r="D337" s="3" t="s">
        <v>6</v>
      </c>
      <c r="E337" s="13" t="s">
        <v>104</v>
      </c>
      <c r="F337" s="5" t="s">
        <v>5</v>
      </c>
      <c r="G337" s="3">
        <v>918</v>
      </c>
      <c r="H337" s="5">
        <v>17.7</v>
      </c>
      <c r="I337" s="9">
        <v>198.8</v>
      </c>
      <c r="J337" s="7" t="s">
        <v>5</v>
      </c>
      <c r="K337" s="7">
        <v>9.4700000000000006</v>
      </c>
      <c r="L337" s="5">
        <v>94.1</v>
      </c>
      <c r="M337" s="7">
        <v>8.9600000000000009</v>
      </c>
      <c r="N337" s="3">
        <v>45</v>
      </c>
      <c r="O337" s="3">
        <v>49</v>
      </c>
      <c r="P337" s="3">
        <v>26</v>
      </c>
      <c r="Q337" s="3">
        <v>0</v>
      </c>
      <c r="R337" s="3">
        <v>0</v>
      </c>
      <c r="S337" s="9">
        <v>295</v>
      </c>
      <c r="T337" s="3">
        <f t="shared" si="20"/>
        <v>4</v>
      </c>
      <c r="U337" s="9">
        <f t="shared" si="21"/>
        <v>8.1632653061224492</v>
      </c>
      <c r="V337" s="9">
        <f t="shared" si="22"/>
        <v>6.0204081632653059</v>
      </c>
      <c r="W337" s="13" t="s">
        <v>220</v>
      </c>
    </row>
    <row r="338" spans="1:23">
      <c r="A338" s="2">
        <v>45813</v>
      </c>
      <c r="B338" s="9">
        <f t="shared" si="19"/>
        <v>1251</v>
      </c>
      <c r="C338" s="3" t="s">
        <v>80</v>
      </c>
      <c r="D338" s="3" t="s">
        <v>8</v>
      </c>
      <c r="E338" s="13" t="s">
        <v>104</v>
      </c>
      <c r="F338" s="5">
        <v>2.79</v>
      </c>
      <c r="G338" s="3">
        <v>931</v>
      </c>
      <c r="H338" s="5">
        <v>16.8</v>
      </c>
      <c r="I338" s="9">
        <v>270.2</v>
      </c>
      <c r="J338" s="7" t="s">
        <v>5</v>
      </c>
      <c r="K338" s="7">
        <v>9.6300000000000008</v>
      </c>
      <c r="L338" s="5">
        <v>89.9</v>
      </c>
      <c r="M338" s="7">
        <v>8.7100000000000009</v>
      </c>
      <c r="N338" s="3">
        <v>259</v>
      </c>
      <c r="O338" s="3">
        <v>273</v>
      </c>
      <c r="P338" s="3">
        <v>203</v>
      </c>
      <c r="Q338" s="3">
        <v>31</v>
      </c>
      <c r="R338" s="3">
        <v>0</v>
      </c>
      <c r="S338" s="9">
        <v>1180</v>
      </c>
      <c r="T338" s="3">
        <f t="shared" si="20"/>
        <v>14</v>
      </c>
      <c r="U338" s="9">
        <f t="shared" si="21"/>
        <v>5.1282051282051277</v>
      </c>
      <c r="V338" s="9">
        <f t="shared" si="22"/>
        <v>4.3223443223443221</v>
      </c>
      <c r="W338" s="13" t="s">
        <v>223</v>
      </c>
    </row>
    <row r="339" spans="1:23">
      <c r="A339" s="2">
        <v>45813</v>
      </c>
      <c r="B339" s="9">
        <f t="shared" si="19"/>
        <v>1251</v>
      </c>
      <c r="C339" s="3" t="s">
        <v>80</v>
      </c>
      <c r="D339" s="3" t="s">
        <v>9</v>
      </c>
      <c r="E339" s="13" t="s">
        <v>104</v>
      </c>
      <c r="F339" s="5" t="s">
        <v>5</v>
      </c>
      <c r="G339" s="3">
        <v>943</v>
      </c>
      <c r="H339" s="5">
        <v>17.3</v>
      </c>
      <c r="I339" s="9">
        <v>291.10000000000002</v>
      </c>
      <c r="J339" s="7" t="s">
        <v>5</v>
      </c>
      <c r="K339" s="7">
        <v>9.57</v>
      </c>
      <c r="L339" s="5">
        <v>91.3</v>
      </c>
      <c r="M339" s="7">
        <v>8.76</v>
      </c>
      <c r="N339" s="3">
        <v>204</v>
      </c>
      <c r="O339" s="3">
        <v>232</v>
      </c>
      <c r="P339" s="3">
        <v>157</v>
      </c>
      <c r="Q339" s="3">
        <v>105</v>
      </c>
      <c r="R339" s="3">
        <v>21</v>
      </c>
      <c r="S339" s="9">
        <v>1180</v>
      </c>
      <c r="T339" s="3">
        <f t="shared" si="20"/>
        <v>28</v>
      </c>
      <c r="U339" s="9">
        <f t="shared" si="21"/>
        <v>12.068965517241379</v>
      </c>
      <c r="V339" s="9">
        <f t="shared" si="22"/>
        <v>5.0862068965517242</v>
      </c>
      <c r="W339" s="13" t="s">
        <v>221</v>
      </c>
    </row>
    <row r="340" spans="1:23">
      <c r="A340" s="2">
        <v>45813</v>
      </c>
      <c r="B340" s="9">
        <f t="shared" si="19"/>
        <v>1251</v>
      </c>
      <c r="C340" s="3" t="s">
        <v>80</v>
      </c>
      <c r="D340" s="3" t="s">
        <v>7</v>
      </c>
      <c r="E340" s="13" t="s">
        <v>104</v>
      </c>
      <c r="F340" s="5" t="s">
        <v>5</v>
      </c>
      <c r="G340" s="3">
        <v>1004</v>
      </c>
      <c r="H340" s="5">
        <v>16.7</v>
      </c>
      <c r="I340" s="9">
        <v>206.5</v>
      </c>
      <c r="J340" s="7" t="s">
        <v>5</v>
      </c>
      <c r="K340" s="7">
        <v>10.17</v>
      </c>
      <c r="L340" s="5">
        <v>102.5</v>
      </c>
      <c r="M340" s="7">
        <v>9.93</v>
      </c>
      <c r="N340" s="3">
        <v>130</v>
      </c>
      <c r="O340" s="3">
        <v>143</v>
      </c>
      <c r="P340" s="3">
        <v>96</v>
      </c>
      <c r="Q340" s="3">
        <v>0</v>
      </c>
      <c r="R340" s="3">
        <v>0</v>
      </c>
      <c r="S340" s="9">
        <v>531</v>
      </c>
      <c r="T340" s="3">
        <f t="shared" si="20"/>
        <v>13</v>
      </c>
      <c r="U340" s="9">
        <f t="shared" si="21"/>
        <v>9.0909090909090917</v>
      </c>
      <c r="V340" s="9">
        <f t="shared" si="22"/>
        <v>3.7132867132867133</v>
      </c>
      <c r="W340" s="13" t="s">
        <v>222</v>
      </c>
    </row>
    <row r="341" spans="1:23">
      <c r="A341" s="2">
        <v>45813</v>
      </c>
      <c r="B341" s="9">
        <f t="shared" si="19"/>
        <v>1251</v>
      </c>
      <c r="C341" s="3" t="s">
        <v>80</v>
      </c>
      <c r="D341" s="3" t="s">
        <v>72</v>
      </c>
      <c r="E341" s="13" t="s">
        <v>103</v>
      </c>
      <c r="F341" s="5" t="s">
        <v>5</v>
      </c>
      <c r="G341" s="3" t="s">
        <v>5</v>
      </c>
      <c r="H341" s="3" t="s">
        <v>5</v>
      </c>
      <c r="I341" s="3" t="s">
        <v>5</v>
      </c>
      <c r="J341" s="7" t="s">
        <v>5</v>
      </c>
      <c r="K341" s="3" t="s">
        <v>5</v>
      </c>
      <c r="L341" s="3" t="s">
        <v>5</v>
      </c>
      <c r="M341" s="3" t="s">
        <v>5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9">
        <v>0</v>
      </c>
      <c r="T341" s="13" t="s">
        <v>5</v>
      </c>
      <c r="U341" s="13" t="s">
        <v>5</v>
      </c>
      <c r="V341" s="13" t="s">
        <v>5</v>
      </c>
      <c r="W341" s="13" t="s">
        <v>77</v>
      </c>
    </row>
    <row r="342" spans="1:23">
      <c r="A342" s="2">
        <v>45845</v>
      </c>
      <c r="B342" s="9">
        <f t="shared" ref="B342:B344" si="23">TEXT((A342-DATEVALUE("1/1/"&amp;TEXT(A342,"yy"))+1),"000")+365+365+365</f>
        <v>1283</v>
      </c>
      <c r="C342" s="3" t="s">
        <v>80</v>
      </c>
      <c r="D342" s="3" t="s">
        <v>33</v>
      </c>
      <c r="E342" s="13" t="s">
        <v>102</v>
      </c>
      <c r="F342" s="5">
        <v>4</v>
      </c>
      <c r="G342" s="5" t="s">
        <v>5</v>
      </c>
      <c r="H342" s="5" t="s">
        <v>5</v>
      </c>
      <c r="I342" s="5" t="s">
        <v>5</v>
      </c>
      <c r="J342" s="5" t="s">
        <v>5</v>
      </c>
      <c r="K342" s="5" t="s">
        <v>5</v>
      </c>
      <c r="L342" s="5" t="s">
        <v>5</v>
      </c>
      <c r="M342" s="5" t="s">
        <v>5</v>
      </c>
      <c r="N342" s="5" t="s">
        <v>5</v>
      </c>
      <c r="O342" s="5" t="s">
        <v>5</v>
      </c>
      <c r="P342" s="5" t="s">
        <v>5</v>
      </c>
      <c r="Q342" s="5" t="s">
        <v>5</v>
      </c>
      <c r="R342" s="5" t="s">
        <v>5</v>
      </c>
      <c r="S342" s="5" t="s">
        <v>5</v>
      </c>
      <c r="T342" s="5" t="s">
        <v>5</v>
      </c>
      <c r="U342" s="5" t="s">
        <v>5</v>
      </c>
      <c r="V342" s="5" t="s">
        <v>5</v>
      </c>
      <c r="W342" s="13" t="s">
        <v>176</v>
      </c>
    </row>
    <row r="343" spans="1:23">
      <c r="A343" s="2">
        <v>45845</v>
      </c>
      <c r="B343" s="9">
        <f t="shared" si="23"/>
        <v>1283</v>
      </c>
      <c r="C343" s="3" t="s">
        <v>80</v>
      </c>
      <c r="D343" s="3" t="s">
        <v>21</v>
      </c>
      <c r="E343" s="13" t="s">
        <v>102</v>
      </c>
      <c r="F343" s="5">
        <v>2.92</v>
      </c>
      <c r="G343" s="5" t="s">
        <v>5</v>
      </c>
      <c r="H343" s="5" t="s">
        <v>5</v>
      </c>
      <c r="I343" s="5" t="s">
        <v>5</v>
      </c>
      <c r="J343" s="5" t="s">
        <v>5</v>
      </c>
      <c r="K343" s="5" t="s">
        <v>5</v>
      </c>
      <c r="L343" s="5" t="s">
        <v>5</v>
      </c>
      <c r="M343" s="5" t="s">
        <v>5</v>
      </c>
      <c r="N343" s="5" t="s">
        <v>5</v>
      </c>
      <c r="O343" s="5" t="s">
        <v>5</v>
      </c>
      <c r="P343" s="5" t="s">
        <v>5</v>
      </c>
      <c r="Q343" s="5" t="s">
        <v>5</v>
      </c>
      <c r="R343" s="5" t="s">
        <v>5</v>
      </c>
      <c r="S343" s="5" t="s">
        <v>5</v>
      </c>
      <c r="T343" s="5" t="s">
        <v>5</v>
      </c>
      <c r="U343" s="5" t="s">
        <v>5</v>
      </c>
      <c r="V343" s="5" t="s">
        <v>5</v>
      </c>
      <c r="W343" s="13" t="s">
        <v>225</v>
      </c>
    </row>
    <row r="344" spans="1:23">
      <c r="A344" s="2">
        <v>45845</v>
      </c>
      <c r="B344" s="9">
        <f t="shared" si="23"/>
        <v>1283</v>
      </c>
      <c r="C344" s="3" t="s">
        <v>80</v>
      </c>
      <c r="D344" s="3" t="s">
        <v>20</v>
      </c>
      <c r="E344" s="13" t="s">
        <v>102</v>
      </c>
      <c r="F344" s="5">
        <v>2.2999999999999998</v>
      </c>
      <c r="G344" s="5" t="s">
        <v>5</v>
      </c>
      <c r="H344" s="5" t="s">
        <v>5</v>
      </c>
      <c r="I344" s="5" t="s">
        <v>5</v>
      </c>
      <c r="J344" s="5" t="s">
        <v>5</v>
      </c>
      <c r="K344" s="5" t="s">
        <v>5</v>
      </c>
      <c r="L344" s="5" t="s">
        <v>5</v>
      </c>
      <c r="M344" s="5" t="s">
        <v>5</v>
      </c>
      <c r="N344" s="5" t="s">
        <v>5</v>
      </c>
      <c r="O344" s="5" t="s">
        <v>5</v>
      </c>
      <c r="P344" s="5" t="s">
        <v>5</v>
      </c>
      <c r="Q344" s="5" t="s">
        <v>5</v>
      </c>
      <c r="R344" s="5" t="s">
        <v>5</v>
      </c>
      <c r="S344" s="5" t="s">
        <v>5</v>
      </c>
      <c r="T344" s="5" t="s">
        <v>5</v>
      </c>
      <c r="U344" s="5" t="s">
        <v>5</v>
      </c>
      <c r="V344" s="5" t="s">
        <v>5</v>
      </c>
      <c r="W344" s="13" t="s">
        <v>5</v>
      </c>
    </row>
    <row r="345" spans="1:23">
      <c r="A345" s="2">
        <v>45845</v>
      </c>
      <c r="B345" s="9">
        <f t="shared" si="19"/>
        <v>1283</v>
      </c>
      <c r="C345" s="3" t="s">
        <v>80</v>
      </c>
      <c r="D345" s="3" t="s">
        <v>4</v>
      </c>
      <c r="E345" s="13" t="s">
        <v>104</v>
      </c>
      <c r="F345" s="5" t="s">
        <v>5</v>
      </c>
      <c r="G345" s="3">
        <v>842</v>
      </c>
      <c r="H345" s="5">
        <v>20.5</v>
      </c>
      <c r="I345" s="9">
        <v>186.1</v>
      </c>
      <c r="J345" s="5" t="s">
        <v>5</v>
      </c>
      <c r="K345" s="7">
        <v>8.5399999999999991</v>
      </c>
      <c r="L345" s="5">
        <v>53.9</v>
      </c>
      <c r="M345" s="7">
        <v>4.87</v>
      </c>
      <c r="N345" s="3">
        <v>44</v>
      </c>
      <c r="O345" s="3">
        <v>48</v>
      </c>
      <c r="P345" s="3">
        <v>36</v>
      </c>
      <c r="Q345" s="3">
        <v>21</v>
      </c>
      <c r="R345" s="3">
        <v>19</v>
      </c>
      <c r="S345" s="9">
        <v>130</v>
      </c>
      <c r="T345" s="3">
        <f t="shared" ref="T345:T349" si="24">O345-N345</f>
        <v>4</v>
      </c>
      <c r="U345" s="9">
        <f t="shared" ref="U345:U349" si="25">(T345/O345)*100</f>
        <v>8.3333333333333321</v>
      </c>
      <c r="V345" s="9">
        <f t="shared" ref="V345:V349" si="26">S345/O345</f>
        <v>2.7083333333333335</v>
      </c>
      <c r="W345" s="13" t="s">
        <v>226</v>
      </c>
    </row>
    <row r="346" spans="1:23">
      <c r="A346" s="2">
        <v>45845</v>
      </c>
      <c r="B346" s="9">
        <f t="shared" ref="B346:B350" si="27">TEXT((A346-DATEVALUE("1/1/"&amp;TEXT(A346,"yy"))+1),"000")+365+365+365</f>
        <v>1283</v>
      </c>
      <c r="C346" s="3" t="s">
        <v>80</v>
      </c>
      <c r="D346" s="3" t="s">
        <v>6</v>
      </c>
      <c r="E346" s="13" t="s">
        <v>104</v>
      </c>
      <c r="F346" s="5" t="s">
        <v>5</v>
      </c>
      <c r="G346" s="3">
        <v>859</v>
      </c>
      <c r="H346" s="5">
        <v>21</v>
      </c>
      <c r="I346" s="9">
        <v>203</v>
      </c>
      <c r="J346" s="5" t="s">
        <v>5</v>
      </c>
      <c r="K346" s="7">
        <v>10.11</v>
      </c>
      <c r="L346" s="5">
        <v>124.4</v>
      </c>
      <c r="M346" s="7">
        <v>11.07</v>
      </c>
      <c r="N346" s="3">
        <v>38</v>
      </c>
      <c r="O346" s="3">
        <v>48</v>
      </c>
      <c r="P346" s="3">
        <v>18</v>
      </c>
      <c r="Q346" s="3">
        <v>21</v>
      </c>
      <c r="R346" s="3">
        <v>0</v>
      </c>
      <c r="S346" s="9">
        <v>603</v>
      </c>
      <c r="T346" s="3">
        <f t="shared" si="24"/>
        <v>10</v>
      </c>
      <c r="U346" s="9">
        <f t="shared" si="25"/>
        <v>20.833333333333336</v>
      </c>
      <c r="V346" s="9">
        <f t="shared" si="26"/>
        <v>12.5625</v>
      </c>
      <c r="W346" s="13" t="s">
        <v>185</v>
      </c>
    </row>
    <row r="347" spans="1:23">
      <c r="A347" s="2">
        <v>45845</v>
      </c>
      <c r="B347" s="9">
        <f t="shared" si="27"/>
        <v>1283</v>
      </c>
      <c r="C347" s="3" t="s">
        <v>80</v>
      </c>
      <c r="D347" s="3" t="s">
        <v>8</v>
      </c>
      <c r="E347" s="13" t="s">
        <v>104</v>
      </c>
      <c r="F347" s="5">
        <v>2.12</v>
      </c>
      <c r="G347" s="3">
        <v>917</v>
      </c>
      <c r="H347" s="5">
        <v>19.100000000000001</v>
      </c>
      <c r="I347" s="9">
        <v>209.7</v>
      </c>
      <c r="J347" s="5" t="s">
        <v>5</v>
      </c>
      <c r="K347" s="7">
        <v>9.39</v>
      </c>
      <c r="L347" s="5">
        <v>35.1</v>
      </c>
      <c r="M347" s="7">
        <v>3.25</v>
      </c>
      <c r="N347" s="3">
        <v>53</v>
      </c>
      <c r="O347" s="3">
        <v>71</v>
      </c>
      <c r="P347" s="3">
        <v>21</v>
      </c>
      <c r="Q347" s="3">
        <v>17</v>
      </c>
      <c r="R347" s="3">
        <v>0</v>
      </c>
      <c r="S347" s="9">
        <v>928</v>
      </c>
      <c r="T347" s="3">
        <f t="shared" si="24"/>
        <v>18</v>
      </c>
      <c r="U347" s="9">
        <f t="shared" si="25"/>
        <v>25.352112676056336</v>
      </c>
      <c r="V347" s="9">
        <f t="shared" si="26"/>
        <v>13.070422535211268</v>
      </c>
      <c r="W347" s="13" t="s">
        <v>5</v>
      </c>
    </row>
    <row r="348" spans="1:23">
      <c r="A348" s="2">
        <v>45845</v>
      </c>
      <c r="B348" s="9">
        <f t="shared" si="27"/>
        <v>1283</v>
      </c>
      <c r="C348" s="3" t="s">
        <v>80</v>
      </c>
      <c r="D348" s="3" t="s">
        <v>7</v>
      </c>
      <c r="E348" s="13" t="s">
        <v>104</v>
      </c>
      <c r="F348" s="5" t="s">
        <v>5</v>
      </c>
      <c r="G348" s="3">
        <v>931</v>
      </c>
      <c r="H348" s="5">
        <v>19.2</v>
      </c>
      <c r="I348" s="9">
        <v>198.5</v>
      </c>
      <c r="J348" s="5" t="s">
        <v>5</v>
      </c>
      <c r="K348" s="7">
        <v>8.86</v>
      </c>
      <c r="L348" s="5">
        <v>46.8</v>
      </c>
      <c r="M348" s="7">
        <v>4.32</v>
      </c>
      <c r="N348" s="3">
        <v>43</v>
      </c>
      <c r="O348" s="3">
        <v>60</v>
      </c>
      <c r="P348" s="3">
        <v>20</v>
      </c>
      <c r="Q348" s="3">
        <v>0</v>
      </c>
      <c r="R348" s="3">
        <v>0</v>
      </c>
      <c r="S348" s="9">
        <v>599</v>
      </c>
      <c r="T348" s="3">
        <f t="shared" si="24"/>
        <v>17</v>
      </c>
      <c r="U348" s="9">
        <f t="shared" si="25"/>
        <v>28.333333333333332</v>
      </c>
      <c r="V348" s="9">
        <f t="shared" si="26"/>
        <v>9.9833333333333325</v>
      </c>
      <c r="W348" s="13" t="s">
        <v>5</v>
      </c>
    </row>
    <row r="349" spans="1:23">
      <c r="A349" s="2">
        <v>45845</v>
      </c>
      <c r="B349" s="9">
        <f t="shared" si="27"/>
        <v>1283</v>
      </c>
      <c r="C349" s="3" t="s">
        <v>80</v>
      </c>
      <c r="D349" s="3" t="s">
        <v>35</v>
      </c>
      <c r="E349" s="13" t="s">
        <v>103</v>
      </c>
      <c r="F349" s="5" t="s">
        <v>5</v>
      </c>
      <c r="G349" s="5" t="s">
        <v>5</v>
      </c>
      <c r="H349" s="5" t="s">
        <v>5</v>
      </c>
      <c r="I349" s="5" t="s">
        <v>5</v>
      </c>
      <c r="J349" s="5" t="s">
        <v>5</v>
      </c>
      <c r="K349" s="5" t="s">
        <v>5</v>
      </c>
      <c r="L349" s="5" t="s">
        <v>5</v>
      </c>
      <c r="M349" s="5" t="s">
        <v>5</v>
      </c>
      <c r="N349" s="3">
        <v>41</v>
      </c>
      <c r="O349" s="3">
        <v>59</v>
      </c>
      <c r="P349" s="3">
        <v>19</v>
      </c>
      <c r="Q349" s="3">
        <v>0</v>
      </c>
      <c r="R349" s="3">
        <v>0</v>
      </c>
      <c r="S349" s="9">
        <v>572</v>
      </c>
      <c r="T349" s="3">
        <f t="shared" si="24"/>
        <v>18</v>
      </c>
      <c r="U349" s="9">
        <f t="shared" si="25"/>
        <v>30.508474576271187</v>
      </c>
      <c r="V349" s="9">
        <f t="shared" si="26"/>
        <v>9.6949152542372889</v>
      </c>
      <c r="W349" s="13" t="s">
        <v>76</v>
      </c>
    </row>
    <row r="350" spans="1:23">
      <c r="A350" s="2">
        <v>45873</v>
      </c>
      <c r="B350" s="9">
        <f t="shared" si="27"/>
        <v>1311</v>
      </c>
      <c r="C350" s="3" t="s">
        <v>80</v>
      </c>
      <c r="D350" s="3" t="s">
        <v>33</v>
      </c>
      <c r="E350" s="13" t="s">
        <v>102</v>
      </c>
      <c r="F350" s="5">
        <v>4</v>
      </c>
      <c r="G350" s="5" t="s">
        <v>5</v>
      </c>
      <c r="H350" s="5" t="s">
        <v>5</v>
      </c>
      <c r="I350" s="5" t="s">
        <v>5</v>
      </c>
      <c r="J350" s="5" t="s">
        <v>5</v>
      </c>
      <c r="K350" s="5" t="s">
        <v>5</v>
      </c>
      <c r="L350" s="5" t="s">
        <v>5</v>
      </c>
      <c r="M350" s="5" t="s">
        <v>5</v>
      </c>
      <c r="N350" s="5" t="s">
        <v>5</v>
      </c>
      <c r="O350" s="5" t="s">
        <v>5</v>
      </c>
      <c r="P350" s="5" t="s">
        <v>5</v>
      </c>
      <c r="Q350" s="5" t="s">
        <v>5</v>
      </c>
      <c r="R350" s="5" t="s">
        <v>5</v>
      </c>
      <c r="S350" s="5" t="s">
        <v>5</v>
      </c>
      <c r="T350" s="5" t="s">
        <v>5</v>
      </c>
      <c r="U350" s="5" t="s">
        <v>5</v>
      </c>
      <c r="V350" s="5" t="s">
        <v>5</v>
      </c>
      <c r="W350" s="13" t="s">
        <v>232</v>
      </c>
    </row>
    <row r="351" spans="1:23">
      <c r="A351" s="2">
        <v>45873</v>
      </c>
      <c r="B351" s="9">
        <f t="shared" ref="B351:B358" si="28">TEXT((A351-DATEVALUE("1/1/"&amp;TEXT(A351,"yy"))+1),"000")+365+365+365</f>
        <v>1311</v>
      </c>
      <c r="C351" s="3" t="s">
        <v>80</v>
      </c>
      <c r="D351" s="3" t="s">
        <v>21</v>
      </c>
      <c r="E351" s="13" t="s">
        <v>102</v>
      </c>
      <c r="F351" s="5">
        <v>2.9</v>
      </c>
      <c r="G351" s="5" t="s">
        <v>5</v>
      </c>
      <c r="H351" s="5" t="s">
        <v>5</v>
      </c>
      <c r="I351" s="5" t="s">
        <v>5</v>
      </c>
      <c r="J351" s="5" t="s">
        <v>5</v>
      </c>
      <c r="K351" s="5" t="s">
        <v>5</v>
      </c>
      <c r="L351" s="5" t="s">
        <v>5</v>
      </c>
      <c r="M351" s="5" t="s">
        <v>5</v>
      </c>
      <c r="N351" s="5" t="s">
        <v>5</v>
      </c>
      <c r="O351" s="5" t="s">
        <v>5</v>
      </c>
      <c r="P351" s="5" t="s">
        <v>5</v>
      </c>
      <c r="Q351" s="5" t="s">
        <v>5</v>
      </c>
      <c r="R351" s="5" t="s">
        <v>5</v>
      </c>
      <c r="S351" s="5" t="s">
        <v>5</v>
      </c>
      <c r="T351" s="5" t="s">
        <v>5</v>
      </c>
      <c r="U351" s="5" t="s">
        <v>5</v>
      </c>
      <c r="V351" s="5" t="s">
        <v>5</v>
      </c>
      <c r="W351" s="13" t="s">
        <v>5</v>
      </c>
    </row>
    <row r="352" spans="1:23">
      <c r="A352" s="2">
        <v>45873</v>
      </c>
      <c r="B352" s="9">
        <f t="shared" si="28"/>
        <v>1311</v>
      </c>
      <c r="C352" s="3" t="s">
        <v>80</v>
      </c>
      <c r="D352" s="3" t="s">
        <v>20</v>
      </c>
      <c r="E352" s="13" t="s">
        <v>102</v>
      </c>
      <c r="F352" s="5">
        <v>1.6</v>
      </c>
      <c r="G352" s="5" t="s">
        <v>5</v>
      </c>
      <c r="H352" s="5" t="s">
        <v>5</v>
      </c>
      <c r="I352" s="5" t="s">
        <v>5</v>
      </c>
      <c r="J352" s="5" t="s">
        <v>5</v>
      </c>
      <c r="K352" s="5" t="s">
        <v>5</v>
      </c>
      <c r="L352" s="5" t="s">
        <v>5</v>
      </c>
      <c r="M352" s="5" t="s">
        <v>5</v>
      </c>
      <c r="N352" s="5" t="s">
        <v>5</v>
      </c>
      <c r="O352" s="5" t="s">
        <v>5</v>
      </c>
      <c r="P352" s="5" t="s">
        <v>5</v>
      </c>
      <c r="Q352" s="5" t="s">
        <v>5</v>
      </c>
      <c r="R352" s="5" t="s">
        <v>5</v>
      </c>
      <c r="S352" s="5" t="s">
        <v>5</v>
      </c>
      <c r="T352" s="5" t="s">
        <v>5</v>
      </c>
      <c r="U352" s="5" t="s">
        <v>5</v>
      </c>
      <c r="V352" s="5" t="s">
        <v>5</v>
      </c>
      <c r="W352" s="13" t="s">
        <v>233</v>
      </c>
    </row>
    <row r="353" spans="1:23">
      <c r="A353" s="2">
        <v>45873</v>
      </c>
      <c r="B353" s="9">
        <f t="shared" si="28"/>
        <v>1311</v>
      </c>
      <c r="C353" s="3" t="s">
        <v>80</v>
      </c>
      <c r="D353" s="3" t="s">
        <v>4</v>
      </c>
      <c r="E353" s="13" t="s">
        <v>104</v>
      </c>
      <c r="F353" s="5" t="s">
        <v>5</v>
      </c>
      <c r="G353" s="3">
        <v>911</v>
      </c>
      <c r="H353" s="5">
        <v>19.7</v>
      </c>
      <c r="I353" s="9">
        <v>188.3</v>
      </c>
      <c r="J353" s="7" t="s">
        <v>5</v>
      </c>
      <c r="K353" s="7">
        <v>8.35</v>
      </c>
      <c r="L353" s="5">
        <v>51.2</v>
      </c>
      <c r="M353" s="7">
        <v>4.68</v>
      </c>
      <c r="N353" s="3">
        <v>51</v>
      </c>
      <c r="O353" s="3">
        <v>56</v>
      </c>
      <c r="P353" s="3">
        <v>31</v>
      </c>
      <c r="Q353" s="3">
        <v>19</v>
      </c>
      <c r="R353" s="3">
        <v>0</v>
      </c>
      <c r="S353" s="9">
        <v>136</v>
      </c>
      <c r="T353" s="3">
        <f t="shared" ref="T353:T357" si="29">O353-N353</f>
        <v>5</v>
      </c>
      <c r="U353" s="9">
        <f t="shared" ref="U353:U357" si="30">(T353/O353)*100</f>
        <v>8.9285714285714288</v>
      </c>
      <c r="V353" s="9">
        <f t="shared" ref="V353:V357" si="31">S353/O353</f>
        <v>2.4285714285714284</v>
      </c>
      <c r="W353" s="13" t="s">
        <v>5</v>
      </c>
    </row>
    <row r="354" spans="1:23">
      <c r="A354" s="2">
        <v>45873</v>
      </c>
      <c r="B354" s="9">
        <f t="shared" si="28"/>
        <v>1311</v>
      </c>
      <c r="C354" s="3" t="s">
        <v>80</v>
      </c>
      <c r="D354" s="3" t="s">
        <v>6</v>
      </c>
      <c r="E354" s="13" t="s">
        <v>104</v>
      </c>
      <c r="F354" s="5" t="s">
        <v>5</v>
      </c>
      <c r="G354" s="3">
        <v>920</v>
      </c>
      <c r="H354" s="5">
        <v>19.2</v>
      </c>
      <c r="I354" s="9">
        <v>189.5</v>
      </c>
      <c r="J354" s="7" t="s">
        <v>5</v>
      </c>
      <c r="K354" s="7">
        <v>9.42</v>
      </c>
      <c r="L354" s="5">
        <v>58.5</v>
      </c>
      <c r="M354" s="7">
        <v>5.43</v>
      </c>
      <c r="N354" s="3">
        <v>34</v>
      </c>
      <c r="O354" s="3">
        <v>43</v>
      </c>
      <c r="P354" s="3">
        <v>13</v>
      </c>
      <c r="Q354" s="3">
        <v>28</v>
      </c>
      <c r="R354" s="3">
        <v>0</v>
      </c>
      <c r="S354" s="9">
        <v>675</v>
      </c>
      <c r="T354" s="3">
        <f t="shared" si="29"/>
        <v>9</v>
      </c>
      <c r="U354" s="9">
        <f t="shared" si="30"/>
        <v>20.930232558139537</v>
      </c>
      <c r="V354" s="9">
        <f t="shared" si="31"/>
        <v>15.697674418604651</v>
      </c>
      <c r="W354" s="13" t="s">
        <v>185</v>
      </c>
    </row>
    <row r="355" spans="1:23">
      <c r="A355" s="2">
        <v>45873</v>
      </c>
      <c r="B355" s="9">
        <f t="shared" si="28"/>
        <v>1311</v>
      </c>
      <c r="C355" s="3" t="s">
        <v>80</v>
      </c>
      <c r="D355" s="3" t="s">
        <v>8</v>
      </c>
      <c r="E355" s="13" t="s">
        <v>104</v>
      </c>
      <c r="F355" s="5">
        <v>1.5</v>
      </c>
      <c r="G355" s="3">
        <v>959</v>
      </c>
      <c r="H355" s="5">
        <v>16.8</v>
      </c>
      <c r="I355" s="9">
        <v>275.2</v>
      </c>
      <c r="J355" s="7" t="s">
        <v>5</v>
      </c>
      <c r="K355" s="7">
        <v>7.41</v>
      </c>
      <c r="L355" s="5">
        <v>10.1</v>
      </c>
      <c r="M355" s="7">
        <v>0.98</v>
      </c>
      <c r="N355" s="3">
        <v>45</v>
      </c>
      <c r="O355" s="3">
        <v>69</v>
      </c>
      <c r="P355" s="3">
        <v>12</v>
      </c>
      <c r="Q355" s="3">
        <v>20</v>
      </c>
      <c r="R355" s="3">
        <v>0</v>
      </c>
      <c r="S355" s="9">
        <v>1640</v>
      </c>
      <c r="T355" s="3">
        <f t="shared" si="29"/>
        <v>24</v>
      </c>
      <c r="U355" s="9">
        <f t="shared" si="30"/>
        <v>34.782608695652172</v>
      </c>
      <c r="V355" s="9">
        <f t="shared" si="31"/>
        <v>23.768115942028984</v>
      </c>
      <c r="W355" s="13" t="s">
        <v>218</v>
      </c>
    </row>
    <row r="356" spans="1:23">
      <c r="A356" s="2">
        <v>45873</v>
      </c>
      <c r="B356" s="9">
        <f t="shared" si="28"/>
        <v>1311</v>
      </c>
      <c r="C356" s="3" t="s">
        <v>80</v>
      </c>
      <c r="D356" s="3" t="s">
        <v>7</v>
      </c>
      <c r="E356" s="13" t="s">
        <v>104</v>
      </c>
      <c r="F356" s="5" t="s">
        <v>5</v>
      </c>
      <c r="G356" s="3">
        <v>1020</v>
      </c>
      <c r="H356" s="5">
        <v>18.100000000000001</v>
      </c>
      <c r="I356" s="9">
        <v>230</v>
      </c>
      <c r="J356" s="7" t="s">
        <v>5</v>
      </c>
      <c r="K356" s="7">
        <v>8.11</v>
      </c>
      <c r="L356" s="5">
        <v>16.399999999999999</v>
      </c>
      <c r="M356" s="7">
        <v>1.54</v>
      </c>
      <c r="N356" s="3">
        <v>72</v>
      </c>
      <c r="O356" s="3">
        <v>86</v>
      </c>
      <c r="P356" s="3">
        <v>41</v>
      </c>
      <c r="Q356" s="3">
        <v>30</v>
      </c>
      <c r="R356" s="3">
        <v>29</v>
      </c>
      <c r="S356" s="9">
        <v>1290</v>
      </c>
      <c r="T356" s="3">
        <f t="shared" si="29"/>
        <v>14</v>
      </c>
      <c r="U356" s="9">
        <f t="shared" si="30"/>
        <v>16.279069767441861</v>
      </c>
      <c r="V356" s="9">
        <f t="shared" si="31"/>
        <v>15</v>
      </c>
      <c r="W356" s="13" t="s">
        <v>5</v>
      </c>
    </row>
    <row r="357" spans="1:23">
      <c r="A357" s="2">
        <v>45873</v>
      </c>
      <c r="B357" s="9">
        <f t="shared" si="28"/>
        <v>1311</v>
      </c>
      <c r="C357" s="3" t="s">
        <v>80</v>
      </c>
      <c r="D357" s="3" t="s">
        <v>35</v>
      </c>
      <c r="E357" s="13" t="s">
        <v>103</v>
      </c>
      <c r="F357" s="5" t="s">
        <v>5</v>
      </c>
      <c r="G357" s="3">
        <v>1021</v>
      </c>
      <c r="H357" s="5" t="s">
        <v>5</v>
      </c>
      <c r="I357" s="5" t="s">
        <v>5</v>
      </c>
      <c r="J357" s="5" t="s">
        <v>5</v>
      </c>
      <c r="K357" s="5" t="s">
        <v>5</v>
      </c>
      <c r="L357" s="5" t="s">
        <v>5</v>
      </c>
      <c r="M357" s="5" t="s">
        <v>5</v>
      </c>
      <c r="N357" s="3">
        <v>74</v>
      </c>
      <c r="O357" s="3">
        <v>87</v>
      </c>
      <c r="P357" s="3">
        <v>41</v>
      </c>
      <c r="Q357" s="3">
        <v>33</v>
      </c>
      <c r="R357" s="3">
        <v>28</v>
      </c>
      <c r="S357" s="9">
        <v>1250</v>
      </c>
      <c r="T357" s="3">
        <f t="shared" si="29"/>
        <v>13</v>
      </c>
      <c r="U357" s="9">
        <f t="shared" si="30"/>
        <v>14.942528735632186</v>
      </c>
      <c r="V357" s="9">
        <f t="shared" si="31"/>
        <v>14.367816091954023</v>
      </c>
      <c r="W357" s="13" t="s">
        <v>76</v>
      </c>
    </row>
    <row r="358" spans="1:23">
      <c r="A358" s="2">
        <v>45916</v>
      </c>
      <c r="B358" s="9">
        <f t="shared" si="28"/>
        <v>1354</v>
      </c>
      <c r="C358" s="3" t="s">
        <v>80</v>
      </c>
      <c r="D358" s="3" t="s">
        <v>33</v>
      </c>
      <c r="E358" s="13" t="s">
        <v>102</v>
      </c>
      <c r="F358" s="5" t="s">
        <v>5</v>
      </c>
      <c r="G358" s="5" t="s">
        <v>5</v>
      </c>
      <c r="H358" s="5" t="s">
        <v>5</v>
      </c>
      <c r="I358" s="5" t="s">
        <v>5</v>
      </c>
      <c r="J358" s="5" t="s">
        <v>5</v>
      </c>
      <c r="K358" s="5" t="s">
        <v>5</v>
      </c>
      <c r="L358" s="5" t="s">
        <v>5</v>
      </c>
      <c r="M358" s="5" t="s">
        <v>5</v>
      </c>
      <c r="N358" s="5" t="s">
        <v>5</v>
      </c>
      <c r="O358" s="5" t="s">
        <v>5</v>
      </c>
      <c r="P358" s="5" t="s">
        <v>5</v>
      </c>
      <c r="Q358" s="5" t="s">
        <v>5</v>
      </c>
      <c r="R358" s="5" t="s">
        <v>5</v>
      </c>
      <c r="S358" s="5" t="s">
        <v>5</v>
      </c>
      <c r="T358" s="5" t="s">
        <v>5</v>
      </c>
      <c r="U358" s="5" t="s">
        <v>5</v>
      </c>
      <c r="V358" s="5" t="s">
        <v>5</v>
      </c>
      <c r="W358" s="13" t="s">
        <v>234</v>
      </c>
    </row>
    <row r="359" spans="1:23">
      <c r="A359" s="2">
        <v>45916</v>
      </c>
      <c r="B359" s="9">
        <f t="shared" ref="B359:B365" si="32">TEXT((A359-DATEVALUE("1/1/"&amp;TEXT(A359,"yy"))+1),"000")+365+365+365</f>
        <v>1354</v>
      </c>
      <c r="C359" s="3" t="s">
        <v>80</v>
      </c>
      <c r="D359" s="3" t="s">
        <v>21</v>
      </c>
      <c r="E359" s="13" t="s">
        <v>102</v>
      </c>
      <c r="F359" s="5">
        <v>2.85</v>
      </c>
      <c r="G359" s="5" t="s">
        <v>5</v>
      </c>
      <c r="H359" s="5" t="s">
        <v>5</v>
      </c>
      <c r="I359" s="5" t="s">
        <v>5</v>
      </c>
      <c r="J359" s="5" t="s">
        <v>5</v>
      </c>
      <c r="K359" s="5" t="s">
        <v>5</v>
      </c>
      <c r="L359" s="5" t="s">
        <v>5</v>
      </c>
      <c r="M359" s="5" t="s">
        <v>5</v>
      </c>
      <c r="N359" s="5" t="s">
        <v>5</v>
      </c>
      <c r="O359" s="5" t="s">
        <v>5</v>
      </c>
      <c r="P359" s="5" t="s">
        <v>5</v>
      </c>
      <c r="Q359" s="5" t="s">
        <v>5</v>
      </c>
      <c r="R359" s="5" t="s">
        <v>5</v>
      </c>
      <c r="S359" s="5" t="s">
        <v>5</v>
      </c>
      <c r="T359" s="5" t="s">
        <v>5</v>
      </c>
      <c r="U359" s="5" t="s">
        <v>5</v>
      </c>
      <c r="V359" s="5" t="s">
        <v>5</v>
      </c>
      <c r="W359" s="5" t="s">
        <v>5</v>
      </c>
    </row>
    <row r="360" spans="1:23">
      <c r="A360" s="2">
        <v>45916</v>
      </c>
      <c r="B360" s="9">
        <f t="shared" si="32"/>
        <v>1354</v>
      </c>
      <c r="C360" s="3" t="s">
        <v>80</v>
      </c>
      <c r="D360" s="3" t="s">
        <v>20</v>
      </c>
      <c r="E360" s="13" t="s">
        <v>102</v>
      </c>
      <c r="F360" s="5">
        <v>1.48</v>
      </c>
      <c r="G360" s="5" t="s">
        <v>5</v>
      </c>
      <c r="H360" s="5" t="s">
        <v>5</v>
      </c>
      <c r="I360" s="5" t="s">
        <v>5</v>
      </c>
      <c r="J360" s="5" t="s">
        <v>5</v>
      </c>
      <c r="K360" s="5" t="s">
        <v>5</v>
      </c>
      <c r="L360" s="5" t="s">
        <v>5</v>
      </c>
      <c r="M360" s="5" t="s">
        <v>5</v>
      </c>
      <c r="N360" s="5" t="s">
        <v>5</v>
      </c>
      <c r="O360" s="5" t="s">
        <v>5</v>
      </c>
      <c r="P360" s="5" t="s">
        <v>5</v>
      </c>
      <c r="Q360" s="5" t="s">
        <v>5</v>
      </c>
      <c r="R360" s="5" t="s">
        <v>5</v>
      </c>
      <c r="S360" s="5" t="s">
        <v>5</v>
      </c>
      <c r="T360" s="5" t="s">
        <v>5</v>
      </c>
      <c r="U360" s="5" t="s">
        <v>5</v>
      </c>
      <c r="V360" s="5" t="s">
        <v>5</v>
      </c>
      <c r="W360" s="5" t="s">
        <v>5</v>
      </c>
    </row>
    <row r="361" spans="1:23">
      <c r="A361" s="2">
        <v>45916</v>
      </c>
      <c r="B361" s="9">
        <f t="shared" si="32"/>
        <v>1354</v>
      </c>
      <c r="C361" s="3" t="s">
        <v>80</v>
      </c>
      <c r="D361" s="3" t="s">
        <v>4</v>
      </c>
      <c r="E361" s="13" t="s">
        <v>104</v>
      </c>
      <c r="F361" s="5" t="s">
        <v>5</v>
      </c>
      <c r="G361" s="3">
        <v>910</v>
      </c>
      <c r="H361" s="5">
        <v>16.5</v>
      </c>
      <c r="I361" s="9">
        <v>188.1</v>
      </c>
      <c r="J361" s="7" t="s">
        <v>5</v>
      </c>
      <c r="K361" s="7">
        <v>9.0500000000000007</v>
      </c>
      <c r="L361" s="5">
        <v>86.1</v>
      </c>
      <c r="M361" s="7">
        <v>8.41</v>
      </c>
      <c r="N361" s="3">
        <v>37</v>
      </c>
      <c r="O361" s="3">
        <v>60</v>
      </c>
      <c r="P361" s="3">
        <v>20</v>
      </c>
      <c r="Q361" s="3">
        <v>16</v>
      </c>
      <c r="R361" s="3">
        <v>16</v>
      </c>
      <c r="S361" s="9">
        <v>279</v>
      </c>
      <c r="T361" s="3">
        <f t="shared" ref="T361:T371" si="33">O361-N361</f>
        <v>23</v>
      </c>
      <c r="U361" s="9">
        <f t="shared" ref="U361:U371" si="34">(T361/O361)*100</f>
        <v>38.333333333333336</v>
      </c>
      <c r="V361" s="9">
        <f t="shared" ref="V361:V372" si="35">S361/O361</f>
        <v>4.6500000000000004</v>
      </c>
      <c r="W361" s="5" t="s">
        <v>5</v>
      </c>
    </row>
    <row r="362" spans="1:23">
      <c r="A362" s="2">
        <v>45916</v>
      </c>
      <c r="B362" s="9">
        <f t="shared" si="32"/>
        <v>1354</v>
      </c>
      <c r="C362" s="3" t="s">
        <v>80</v>
      </c>
      <c r="D362" s="3" t="s">
        <v>6</v>
      </c>
      <c r="E362" s="13" t="s">
        <v>104</v>
      </c>
      <c r="F362" s="5" t="s">
        <v>5</v>
      </c>
      <c r="G362" s="3">
        <v>922</v>
      </c>
      <c r="H362" s="5">
        <v>16.3</v>
      </c>
      <c r="I362" s="9">
        <v>210</v>
      </c>
      <c r="J362" s="7" t="s">
        <v>5</v>
      </c>
      <c r="K362" s="7">
        <v>8.4700000000000006</v>
      </c>
      <c r="L362" s="5">
        <v>86.8</v>
      </c>
      <c r="M362" s="7">
        <v>8.5</v>
      </c>
      <c r="N362" s="3">
        <v>34</v>
      </c>
      <c r="O362" s="3">
        <v>49</v>
      </c>
      <c r="P362" s="3">
        <v>8</v>
      </c>
      <c r="Q362" s="3">
        <v>51</v>
      </c>
      <c r="R362" s="3">
        <v>0</v>
      </c>
      <c r="S362" s="9">
        <v>674</v>
      </c>
      <c r="T362" s="3">
        <f t="shared" si="33"/>
        <v>15</v>
      </c>
      <c r="U362" s="9">
        <f t="shared" si="34"/>
        <v>30.612244897959183</v>
      </c>
      <c r="V362" s="9">
        <f t="shared" si="35"/>
        <v>13.755102040816327</v>
      </c>
      <c r="W362" s="13" t="s">
        <v>185</v>
      </c>
    </row>
    <row r="363" spans="1:23">
      <c r="A363" s="2">
        <v>45916</v>
      </c>
      <c r="B363" s="9">
        <f t="shared" si="32"/>
        <v>1354</v>
      </c>
      <c r="C363" s="3" t="s">
        <v>80</v>
      </c>
      <c r="D363" s="3" t="s">
        <v>8</v>
      </c>
      <c r="E363" s="13" t="s">
        <v>104</v>
      </c>
      <c r="F363" s="5">
        <v>1.28</v>
      </c>
      <c r="G363" s="3">
        <v>940</v>
      </c>
      <c r="H363" s="5">
        <v>14.1</v>
      </c>
      <c r="I363" s="9">
        <v>340.6</v>
      </c>
      <c r="J363" s="7" t="s">
        <v>5</v>
      </c>
      <c r="K363" s="7">
        <v>7.2</v>
      </c>
      <c r="L363" s="5">
        <v>4.2</v>
      </c>
      <c r="M363" s="7">
        <v>0.43</v>
      </c>
      <c r="N363" s="3">
        <v>189</v>
      </c>
      <c r="O363" s="3">
        <v>315</v>
      </c>
      <c r="P363" s="3">
        <v>123</v>
      </c>
      <c r="Q363" s="3">
        <v>25</v>
      </c>
      <c r="R363" s="3">
        <v>35</v>
      </c>
      <c r="S363" s="9">
        <v>2230</v>
      </c>
      <c r="T363" s="3">
        <f t="shared" si="33"/>
        <v>126</v>
      </c>
      <c r="U363" s="9">
        <f t="shared" si="34"/>
        <v>40</v>
      </c>
      <c r="V363" s="9">
        <f t="shared" si="35"/>
        <v>7.0793650793650791</v>
      </c>
      <c r="W363" s="5" t="s">
        <v>5</v>
      </c>
    </row>
    <row r="364" spans="1:23">
      <c r="A364" s="2">
        <v>45916</v>
      </c>
      <c r="B364" s="9">
        <f t="shared" si="32"/>
        <v>1354</v>
      </c>
      <c r="C364" s="3" t="s">
        <v>80</v>
      </c>
      <c r="D364" s="3" t="s">
        <v>7</v>
      </c>
      <c r="E364" s="13" t="s">
        <v>104</v>
      </c>
      <c r="F364" s="5" t="s">
        <v>5</v>
      </c>
      <c r="G364" s="3">
        <v>1005</v>
      </c>
      <c r="H364" s="5">
        <v>14.8</v>
      </c>
      <c r="I364" s="9">
        <v>286.7</v>
      </c>
      <c r="J364" s="7" t="s">
        <v>5</v>
      </c>
      <c r="K364" s="7">
        <v>7.37</v>
      </c>
      <c r="L364" s="5">
        <v>27.3</v>
      </c>
      <c r="M364" s="7">
        <v>2.76</v>
      </c>
      <c r="N364" s="3">
        <v>320</v>
      </c>
      <c r="O364" s="3">
        <v>499</v>
      </c>
      <c r="P364" s="3">
        <v>267</v>
      </c>
      <c r="Q364" s="3">
        <v>860</v>
      </c>
      <c r="R364" s="3">
        <v>16</v>
      </c>
      <c r="S364" s="9">
        <v>3230</v>
      </c>
      <c r="T364" s="3">
        <f t="shared" si="33"/>
        <v>179</v>
      </c>
      <c r="U364" s="9">
        <f t="shared" si="34"/>
        <v>35.871743486973948</v>
      </c>
      <c r="V364" s="9">
        <f t="shared" si="35"/>
        <v>6.4729458917835672</v>
      </c>
      <c r="W364" s="5" t="s">
        <v>5</v>
      </c>
    </row>
    <row r="365" spans="1:23">
      <c r="A365" s="2">
        <v>45916</v>
      </c>
      <c r="B365" s="9">
        <f t="shared" si="32"/>
        <v>1354</v>
      </c>
      <c r="C365" s="3" t="s">
        <v>80</v>
      </c>
      <c r="D365" s="3" t="s">
        <v>72</v>
      </c>
      <c r="E365" s="13" t="s">
        <v>103</v>
      </c>
      <c r="F365" s="5" t="s">
        <v>5</v>
      </c>
      <c r="G365" s="3">
        <v>1006</v>
      </c>
      <c r="H365" s="5" t="s">
        <v>5</v>
      </c>
      <c r="I365" s="9" t="s">
        <v>5</v>
      </c>
      <c r="J365" s="7" t="s">
        <v>5</v>
      </c>
      <c r="K365" s="7" t="s">
        <v>5</v>
      </c>
      <c r="L365" s="5" t="s">
        <v>5</v>
      </c>
      <c r="M365" s="7" t="s">
        <v>5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9">
        <v>0</v>
      </c>
      <c r="T365" s="3">
        <f t="shared" si="33"/>
        <v>0</v>
      </c>
      <c r="U365" s="9">
        <v>0</v>
      </c>
      <c r="V365" s="9">
        <v>0</v>
      </c>
      <c r="W365" s="5" t="s">
        <v>5</v>
      </c>
    </row>
    <row r="366" spans="1:23">
      <c r="A366" s="2">
        <v>46036</v>
      </c>
      <c r="B366" s="9">
        <f>TEXT((A366-DATEVALUE("1/1/"&amp;TEXT(A366,"yy"))+1),"000")+365+365+365+365</f>
        <v>1474</v>
      </c>
      <c r="C366" s="3" t="s">
        <v>80</v>
      </c>
      <c r="D366" s="3" t="s">
        <v>8</v>
      </c>
      <c r="E366" s="13" t="s">
        <v>104</v>
      </c>
      <c r="F366" s="5">
        <v>1.28</v>
      </c>
      <c r="G366" s="3">
        <v>849</v>
      </c>
      <c r="H366" s="5">
        <v>4.0999999999999996</v>
      </c>
      <c r="I366" s="9">
        <v>269.8</v>
      </c>
      <c r="J366" s="7" t="s">
        <v>5</v>
      </c>
      <c r="K366" s="7">
        <v>7.38</v>
      </c>
      <c r="L366" s="5">
        <v>58.5</v>
      </c>
      <c r="M366" s="7">
        <v>7.67</v>
      </c>
      <c r="N366" s="3">
        <v>78</v>
      </c>
      <c r="O366" s="3">
        <v>125</v>
      </c>
      <c r="P366" s="3">
        <v>61</v>
      </c>
      <c r="Q366" s="3">
        <v>280</v>
      </c>
      <c r="R366" s="3">
        <v>86</v>
      </c>
      <c r="S366" s="9">
        <v>1430</v>
      </c>
      <c r="T366" s="3">
        <f t="shared" si="33"/>
        <v>47</v>
      </c>
      <c r="U366" s="9">
        <f t="shared" si="34"/>
        <v>37.6</v>
      </c>
      <c r="V366" s="9">
        <f t="shared" si="35"/>
        <v>11.44</v>
      </c>
      <c r="W366" s="13" t="s">
        <v>240</v>
      </c>
    </row>
    <row r="367" spans="1:23">
      <c r="A367" s="2">
        <v>46036</v>
      </c>
      <c r="B367" s="9">
        <f t="shared" ref="B367:B375" si="36">TEXT((A367-DATEVALUE("1/1/"&amp;TEXT(A367,"yy"))+1),"000")+365+365+365+365</f>
        <v>1474</v>
      </c>
      <c r="C367" s="3" t="s">
        <v>80</v>
      </c>
      <c r="D367" s="3" t="s">
        <v>9</v>
      </c>
      <c r="E367" s="13" t="s">
        <v>104</v>
      </c>
      <c r="F367" s="5">
        <v>1.2</v>
      </c>
      <c r="G367" s="3">
        <v>859</v>
      </c>
      <c r="H367" s="5">
        <v>2.8</v>
      </c>
      <c r="I367" s="9">
        <v>389.3</v>
      </c>
      <c r="J367" s="7" t="s">
        <v>5</v>
      </c>
      <c r="K367" s="7">
        <v>7.15</v>
      </c>
      <c r="L367" s="5">
        <v>50.2</v>
      </c>
      <c r="M367" s="7">
        <v>6.78</v>
      </c>
      <c r="N367" s="3">
        <v>181</v>
      </c>
      <c r="O367" s="3">
        <v>205</v>
      </c>
      <c r="P367" s="3">
        <v>149</v>
      </c>
      <c r="Q367" s="3">
        <v>205</v>
      </c>
      <c r="R367" s="3">
        <v>368</v>
      </c>
      <c r="S367" s="9">
        <v>1610</v>
      </c>
      <c r="T367" s="3">
        <f t="shared" si="33"/>
        <v>24</v>
      </c>
      <c r="U367" s="9">
        <f t="shared" si="34"/>
        <v>11.707317073170733</v>
      </c>
      <c r="V367" s="9">
        <f t="shared" si="35"/>
        <v>7.8536585365853657</v>
      </c>
      <c r="W367" s="13" t="s">
        <v>236</v>
      </c>
    </row>
    <row r="368" spans="1:23">
      <c r="A368" s="2">
        <v>46036</v>
      </c>
      <c r="B368" s="9">
        <f t="shared" si="36"/>
        <v>1474</v>
      </c>
      <c r="C368" s="3" t="s">
        <v>80</v>
      </c>
      <c r="D368" s="3" t="s">
        <v>42</v>
      </c>
      <c r="E368" s="13" t="s">
        <v>104</v>
      </c>
      <c r="F368" s="5" t="s">
        <v>5</v>
      </c>
      <c r="G368" s="3">
        <v>906</v>
      </c>
      <c r="H368" s="5">
        <v>2.9</v>
      </c>
      <c r="I368" s="9">
        <v>456.8</v>
      </c>
      <c r="J368" s="7" t="s">
        <v>5</v>
      </c>
      <c r="K368" s="7">
        <v>7.15</v>
      </c>
      <c r="L368" s="5">
        <v>37</v>
      </c>
      <c r="M368" s="7">
        <v>4.9800000000000004</v>
      </c>
      <c r="N368" s="3">
        <v>370</v>
      </c>
      <c r="O368" s="3">
        <v>476</v>
      </c>
      <c r="P368" s="3">
        <v>312</v>
      </c>
      <c r="Q368" s="3">
        <v>358</v>
      </c>
      <c r="R368" s="3">
        <v>263</v>
      </c>
      <c r="S368" s="9">
        <v>2960</v>
      </c>
      <c r="T368" s="3">
        <f t="shared" si="33"/>
        <v>106</v>
      </c>
      <c r="U368" s="9">
        <f t="shared" si="34"/>
        <v>22.268907563025213</v>
      </c>
      <c r="V368" s="9">
        <f t="shared" si="35"/>
        <v>6.2184873949579833</v>
      </c>
      <c r="W368" s="13" t="s">
        <v>239</v>
      </c>
    </row>
    <row r="369" spans="1:23">
      <c r="A369" s="2">
        <v>46036</v>
      </c>
      <c r="B369" s="9">
        <f t="shared" si="36"/>
        <v>1474</v>
      </c>
      <c r="C369" s="3" t="s">
        <v>80</v>
      </c>
      <c r="D369" s="3" t="s">
        <v>7</v>
      </c>
      <c r="E369" s="13" t="s">
        <v>104</v>
      </c>
      <c r="F369" s="5" t="s">
        <v>5</v>
      </c>
      <c r="G369" s="3">
        <v>925</v>
      </c>
      <c r="H369" s="5">
        <v>2.9</v>
      </c>
      <c r="I369" s="9">
        <v>207.6</v>
      </c>
      <c r="J369" s="7" t="s">
        <v>5</v>
      </c>
      <c r="K369" s="7">
        <v>7.4</v>
      </c>
      <c r="L369" s="5">
        <v>60.3</v>
      </c>
      <c r="M369" s="7">
        <v>8.14</v>
      </c>
      <c r="N369" s="3">
        <v>41</v>
      </c>
      <c r="O369" s="3">
        <v>80</v>
      </c>
      <c r="P369" s="3">
        <v>30</v>
      </c>
      <c r="Q369" s="3">
        <v>168</v>
      </c>
      <c r="R369" s="3">
        <v>53</v>
      </c>
      <c r="S369" s="9">
        <v>798</v>
      </c>
      <c r="T369" s="3">
        <f t="shared" si="33"/>
        <v>39</v>
      </c>
      <c r="U369" s="9">
        <f t="shared" si="34"/>
        <v>48.75</v>
      </c>
      <c r="V369" s="9">
        <f t="shared" si="35"/>
        <v>9.9749999999999996</v>
      </c>
      <c r="W369" s="13" t="s">
        <v>74</v>
      </c>
    </row>
    <row r="370" spans="1:23">
      <c r="A370" s="2">
        <v>46036</v>
      </c>
      <c r="B370" s="9">
        <f>TEXT((A370-DATEVALUE("1/1/"&amp;TEXT(A370,"yy"))+1),"000")+365+365+365+365</f>
        <v>1474</v>
      </c>
      <c r="C370" s="3" t="s">
        <v>80</v>
      </c>
      <c r="D370" s="3" t="s">
        <v>49</v>
      </c>
      <c r="E370" s="13" t="s">
        <v>104</v>
      </c>
      <c r="F370" s="5" t="s">
        <v>5</v>
      </c>
      <c r="G370" s="3">
        <v>936</v>
      </c>
      <c r="H370" s="5">
        <v>3.2</v>
      </c>
      <c r="I370" s="9">
        <v>527</v>
      </c>
      <c r="J370" s="7" t="s">
        <v>5</v>
      </c>
      <c r="K370" s="7">
        <v>7.26</v>
      </c>
      <c r="L370" s="5">
        <v>44.7</v>
      </c>
      <c r="M370" s="7">
        <v>5.97</v>
      </c>
      <c r="N370" s="3">
        <v>273</v>
      </c>
      <c r="O370" s="3">
        <v>361</v>
      </c>
      <c r="P370" s="3">
        <v>215</v>
      </c>
      <c r="Q370" s="3">
        <v>29</v>
      </c>
      <c r="R370" s="3">
        <v>22</v>
      </c>
      <c r="S370" s="9">
        <v>2570</v>
      </c>
      <c r="T370" s="3">
        <f t="shared" si="33"/>
        <v>88</v>
      </c>
      <c r="U370" s="9">
        <f t="shared" si="34"/>
        <v>24.37673130193906</v>
      </c>
      <c r="V370" s="9">
        <f t="shared" si="35"/>
        <v>7.1191135734072022</v>
      </c>
      <c r="W370" s="13" t="s">
        <v>238</v>
      </c>
    </row>
    <row r="371" spans="1:23">
      <c r="A371" s="2">
        <v>46036</v>
      </c>
      <c r="B371" s="9">
        <f t="shared" si="36"/>
        <v>1474</v>
      </c>
      <c r="C371" s="3" t="s">
        <v>80</v>
      </c>
      <c r="D371" s="3" t="s">
        <v>4</v>
      </c>
      <c r="E371" s="13" t="s">
        <v>104</v>
      </c>
      <c r="F371" s="5" t="s">
        <v>5</v>
      </c>
      <c r="G371" s="3">
        <v>951</v>
      </c>
      <c r="H371" s="5">
        <v>7.1</v>
      </c>
      <c r="I371" s="9">
        <v>184.5</v>
      </c>
      <c r="J371" s="7" t="s">
        <v>5</v>
      </c>
      <c r="K371" s="7">
        <v>8.56</v>
      </c>
      <c r="L371" s="5">
        <v>85.8</v>
      </c>
      <c r="M371" s="7">
        <v>10.39</v>
      </c>
      <c r="N371" s="3">
        <v>39</v>
      </c>
      <c r="O371" s="3">
        <v>42</v>
      </c>
      <c r="P371" s="3">
        <v>30</v>
      </c>
      <c r="Q371" s="3">
        <v>0</v>
      </c>
      <c r="R371" s="3">
        <v>40</v>
      </c>
      <c r="S371" s="9">
        <v>113</v>
      </c>
      <c r="T371" s="3">
        <f t="shared" si="33"/>
        <v>3</v>
      </c>
      <c r="U371" s="9">
        <f t="shared" si="34"/>
        <v>7.1428571428571423</v>
      </c>
      <c r="V371" s="9">
        <f t="shared" si="35"/>
        <v>2.6904761904761907</v>
      </c>
      <c r="W371" s="13" t="s">
        <v>217</v>
      </c>
    </row>
    <row r="372" spans="1:23">
      <c r="A372" s="2">
        <v>46036</v>
      </c>
      <c r="B372" s="9">
        <f t="shared" si="36"/>
        <v>1474</v>
      </c>
      <c r="C372" s="3" t="s">
        <v>80</v>
      </c>
      <c r="D372" s="3" t="s">
        <v>6</v>
      </c>
      <c r="E372" s="13" t="s">
        <v>104</v>
      </c>
      <c r="F372" s="5" t="s">
        <v>5</v>
      </c>
      <c r="G372" s="3">
        <v>1004</v>
      </c>
      <c r="H372" s="5">
        <v>1.8</v>
      </c>
      <c r="I372" s="9">
        <v>199.6</v>
      </c>
      <c r="J372" s="7" t="s">
        <v>5</v>
      </c>
      <c r="K372" s="7">
        <v>8.07</v>
      </c>
      <c r="L372" s="5">
        <v>104.8</v>
      </c>
      <c r="M372" s="7">
        <v>14.58</v>
      </c>
      <c r="N372" s="3">
        <v>0</v>
      </c>
      <c r="O372" s="3">
        <v>42</v>
      </c>
      <c r="P372" s="3">
        <v>11</v>
      </c>
      <c r="Q372" s="3">
        <v>21</v>
      </c>
      <c r="R372" s="3">
        <v>42</v>
      </c>
      <c r="S372" s="9">
        <v>475</v>
      </c>
      <c r="T372" s="3" t="s">
        <v>5</v>
      </c>
      <c r="U372" s="9" t="s">
        <v>5</v>
      </c>
      <c r="V372" s="9">
        <f t="shared" si="35"/>
        <v>11.30952380952381</v>
      </c>
      <c r="W372" s="13" t="s">
        <v>237</v>
      </c>
    </row>
    <row r="373" spans="1:23">
      <c r="A373" s="2">
        <v>46036</v>
      </c>
      <c r="B373" s="9">
        <f t="shared" si="36"/>
        <v>1474</v>
      </c>
      <c r="C373" s="3" t="s">
        <v>80</v>
      </c>
      <c r="D373" s="3" t="s">
        <v>33</v>
      </c>
      <c r="E373" s="13" t="s">
        <v>102</v>
      </c>
      <c r="F373" s="5">
        <v>3.08</v>
      </c>
      <c r="G373" s="3" t="s">
        <v>5</v>
      </c>
      <c r="H373" s="7" t="s">
        <v>5</v>
      </c>
      <c r="I373" s="7" t="s">
        <v>5</v>
      </c>
      <c r="J373" s="7" t="s">
        <v>5</v>
      </c>
      <c r="K373" s="7" t="s">
        <v>5</v>
      </c>
      <c r="L373" s="7" t="s">
        <v>5</v>
      </c>
      <c r="M373" s="7" t="s">
        <v>5</v>
      </c>
      <c r="N373" s="7" t="s">
        <v>5</v>
      </c>
      <c r="O373" s="7" t="s">
        <v>5</v>
      </c>
      <c r="P373" s="7" t="s">
        <v>5</v>
      </c>
      <c r="Q373" s="7" t="s">
        <v>5</v>
      </c>
      <c r="R373" s="7" t="s">
        <v>5</v>
      </c>
      <c r="S373" s="7" t="s">
        <v>5</v>
      </c>
      <c r="T373" s="7" t="s">
        <v>5</v>
      </c>
      <c r="U373" s="7" t="s">
        <v>5</v>
      </c>
      <c r="V373" s="7" t="s">
        <v>5</v>
      </c>
      <c r="W373" s="13" t="s">
        <v>235</v>
      </c>
    </row>
    <row r="374" spans="1:23">
      <c r="A374" s="2">
        <v>46036</v>
      </c>
      <c r="B374" s="9">
        <f t="shared" si="36"/>
        <v>1474</v>
      </c>
      <c r="C374" s="3" t="s">
        <v>80</v>
      </c>
      <c r="D374" s="3" t="s">
        <v>21</v>
      </c>
      <c r="E374" s="13" t="s">
        <v>102</v>
      </c>
      <c r="F374" s="5" t="s">
        <v>5</v>
      </c>
      <c r="G374" s="3" t="s">
        <v>5</v>
      </c>
      <c r="H374" s="7" t="s">
        <v>5</v>
      </c>
      <c r="I374" s="7" t="s">
        <v>5</v>
      </c>
      <c r="J374" s="7" t="s">
        <v>5</v>
      </c>
      <c r="K374" s="7" t="s">
        <v>5</v>
      </c>
      <c r="L374" s="7" t="s">
        <v>5</v>
      </c>
      <c r="M374" s="7" t="s">
        <v>5</v>
      </c>
      <c r="N374" s="7" t="s">
        <v>5</v>
      </c>
      <c r="O374" s="7" t="s">
        <v>5</v>
      </c>
      <c r="P374" s="7" t="s">
        <v>5</v>
      </c>
      <c r="Q374" s="7" t="s">
        <v>5</v>
      </c>
      <c r="R374" s="7" t="s">
        <v>5</v>
      </c>
      <c r="S374" s="7" t="s">
        <v>5</v>
      </c>
      <c r="T374" s="7" t="s">
        <v>5</v>
      </c>
      <c r="U374" s="7" t="s">
        <v>5</v>
      </c>
      <c r="V374" s="7" t="s">
        <v>5</v>
      </c>
      <c r="W374" s="7" t="s">
        <v>5</v>
      </c>
    </row>
    <row r="375" spans="1:23">
      <c r="A375" s="2">
        <v>46036</v>
      </c>
      <c r="B375" s="9">
        <f t="shared" si="36"/>
        <v>1474</v>
      </c>
      <c r="C375" s="3" t="s">
        <v>80</v>
      </c>
      <c r="D375" s="3" t="s">
        <v>20</v>
      </c>
      <c r="E375" s="13" t="s">
        <v>102</v>
      </c>
      <c r="F375" s="5">
        <v>1.4</v>
      </c>
      <c r="G375" s="3" t="s">
        <v>5</v>
      </c>
      <c r="H375" s="7" t="s">
        <v>5</v>
      </c>
      <c r="I375" s="7" t="s">
        <v>5</v>
      </c>
      <c r="J375" s="7" t="s">
        <v>5</v>
      </c>
      <c r="K375" s="7" t="s">
        <v>5</v>
      </c>
      <c r="L375" s="7" t="s">
        <v>5</v>
      </c>
      <c r="M375" s="7" t="s">
        <v>5</v>
      </c>
      <c r="N375" s="7" t="s">
        <v>5</v>
      </c>
      <c r="O375" s="7" t="s">
        <v>5</v>
      </c>
      <c r="P375" s="7" t="s">
        <v>5</v>
      </c>
      <c r="Q375" s="7" t="s">
        <v>5</v>
      </c>
      <c r="R375" s="7" t="s">
        <v>5</v>
      </c>
      <c r="S375" s="7" t="s">
        <v>5</v>
      </c>
      <c r="T375" s="7" t="s">
        <v>5</v>
      </c>
      <c r="U375" s="7" t="s">
        <v>5</v>
      </c>
      <c r="V375" s="7" t="s">
        <v>5</v>
      </c>
      <c r="W375" s="7" t="s">
        <v>5</v>
      </c>
    </row>
    <row r="376" spans="1:23">
      <c r="A376" s="2"/>
    </row>
  </sheetData>
  <sortState xmlns:xlrd2="http://schemas.microsoft.com/office/spreadsheetml/2017/richdata2" ref="A2:W320">
    <sortCondition ref="A2:A320"/>
    <sortCondition ref="D2:D32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75" zoomScaleNormal="75" workbookViewId="0">
      <selection activeCell="AB91" sqref="AB91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sites</vt:lpstr>
      <vt:lpstr>Metadata</vt:lpstr>
      <vt:lpstr>Lakeside_data</vt:lpstr>
      <vt:lpstr>Figures</vt:lpstr>
    </vt:vector>
  </TitlesOfParts>
  <Company>Department of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mskinner</dc:creator>
  <cp:lastModifiedBy>Skinner, Megan M</cp:lastModifiedBy>
  <dcterms:created xsi:type="dcterms:W3CDTF">2022-05-11T23:42:03Z</dcterms:created>
  <dcterms:modified xsi:type="dcterms:W3CDTF">2026-02-02T16:39:28Z</dcterms:modified>
</cp:coreProperties>
</file>