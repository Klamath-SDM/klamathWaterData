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26835" windowHeight="10290"/>
  </bookViews>
  <sheets>
    <sheet name="J-CAN" sheetId="1" r:id="rId1"/>
    <sheet name="ST-48" sheetId="2" r:id="rId2"/>
    <sheet name="SPILL" sheetId="3" r:id="rId3"/>
    <sheet name="D-PLNT HRS" sheetId="4" r:id="rId4"/>
    <sheet name="D-PLNT A.F." sheetId="5" r:id="rId5"/>
    <sheet name="STRAITS" sheetId="6" r:id="rId6"/>
  </sheets>
  <definedNames>
    <definedName name="_xlnm.Print_Area" localSheetId="3">'D-PLNT HRS'!$A$1:$M$37</definedName>
    <definedName name="_xlnm.Print_Area" localSheetId="5">STRAITS!$A$1:$K$56</definedName>
  </definedNames>
  <calcPr calcId="145621" iterate="1" iterateCount="1"/>
</workbook>
</file>

<file path=xl/calcChain.xml><?xml version="1.0" encoding="utf-8"?>
<calcChain xmlns="http://schemas.openxmlformats.org/spreadsheetml/2006/main">
  <c r="I4" i="6" l="1"/>
  <c r="J4" i="6"/>
  <c r="J5" i="6" s="1"/>
  <c r="K5" i="6" s="1"/>
  <c r="K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B37" i="5"/>
  <c r="C37" i="5"/>
  <c r="D37" i="5"/>
  <c r="E37" i="5"/>
  <c r="F37" i="5"/>
  <c r="G37" i="5"/>
  <c r="H37" i="5"/>
  <c r="I37" i="5"/>
  <c r="J37" i="5"/>
  <c r="K37" i="5"/>
  <c r="L37" i="5"/>
  <c r="M37" i="5"/>
  <c r="B38" i="5"/>
  <c r="C38" i="5"/>
  <c r="D38" i="5"/>
  <c r="E38" i="5"/>
  <c r="F38" i="5"/>
  <c r="G38" i="5"/>
  <c r="H38" i="5"/>
  <c r="I38" i="5"/>
  <c r="J38" i="5"/>
  <c r="K38" i="5"/>
  <c r="L38" i="5"/>
  <c r="M38" i="5"/>
  <c r="B39" i="5"/>
  <c r="C39" i="5"/>
  <c r="D39" i="5"/>
  <c r="E39" i="5"/>
  <c r="F39" i="5" s="1"/>
  <c r="G39" i="5" s="1"/>
  <c r="H39" i="5" s="1"/>
  <c r="I39" i="5"/>
  <c r="J39" i="5" s="1"/>
  <c r="K39" i="5" s="1"/>
  <c r="L39" i="5" s="1"/>
  <c r="M39" i="5"/>
  <c r="N41" i="5"/>
  <c r="N42" i="5"/>
  <c r="N43" i="5"/>
  <c r="N44" i="5"/>
  <c r="N45" i="5"/>
  <c r="N46" i="5"/>
  <c r="N47" i="5"/>
  <c r="N48" i="5"/>
  <c r="N49" i="5"/>
  <c r="N50" i="5"/>
  <c r="B52" i="5"/>
  <c r="C52" i="5"/>
  <c r="D52" i="5"/>
  <c r="E52" i="5"/>
  <c r="F52" i="5"/>
  <c r="G52" i="5"/>
  <c r="H52" i="5"/>
  <c r="I52" i="5"/>
  <c r="J52" i="5"/>
  <c r="K52" i="5"/>
  <c r="L52" i="5"/>
  <c r="M52" i="5"/>
  <c r="B53" i="5"/>
  <c r="C53" i="5"/>
  <c r="D53" i="5" s="1"/>
  <c r="E53" i="5" s="1"/>
  <c r="F53" i="5" s="1"/>
  <c r="G53" i="5" s="1"/>
  <c r="H53" i="5" s="1"/>
  <c r="I53" i="5" s="1"/>
  <c r="J53" i="5" s="1"/>
  <c r="K53" i="5" s="1"/>
  <c r="L53" i="5" s="1"/>
  <c r="M53" i="5" s="1"/>
  <c r="B36" i="4"/>
  <c r="C36" i="4"/>
  <c r="D36" i="4"/>
  <c r="E36" i="4"/>
  <c r="F36" i="4"/>
  <c r="G36" i="4"/>
  <c r="H36" i="4"/>
  <c r="I36" i="4"/>
  <c r="J36" i="4"/>
  <c r="K36" i="4"/>
  <c r="L36" i="4"/>
  <c r="M36" i="4"/>
  <c r="B37" i="4"/>
  <c r="C37" i="4" s="1"/>
  <c r="D37" i="4" s="1"/>
  <c r="E37" i="4" s="1"/>
  <c r="F37" i="4"/>
  <c r="G37" i="4" s="1"/>
  <c r="H37" i="4" s="1"/>
  <c r="I37" i="4" s="1"/>
  <c r="J37" i="4" s="1"/>
  <c r="K37" i="4" s="1"/>
  <c r="L37" i="4" s="1"/>
  <c r="M37" i="4" s="1"/>
  <c r="B36" i="3"/>
  <c r="C36" i="3"/>
  <c r="D36" i="3"/>
  <c r="E36" i="3"/>
  <c r="F36" i="3"/>
  <c r="G36" i="3"/>
  <c r="H36" i="3"/>
  <c r="I36" i="3"/>
  <c r="J36" i="3"/>
  <c r="K36" i="3"/>
  <c r="L36" i="3"/>
  <c r="M36" i="3"/>
  <c r="M37" i="3" s="1"/>
  <c r="B37" i="3"/>
  <c r="B38" i="3" s="1"/>
  <c r="C38" i="3" s="1"/>
  <c r="D38" i="3" s="1"/>
  <c r="E38" i="3" s="1"/>
  <c r="F38" i="3" s="1"/>
  <c r="G38" i="3" s="1"/>
  <c r="H38" i="3" s="1"/>
  <c r="I38" i="3" s="1"/>
  <c r="J38" i="3" s="1"/>
  <c r="K38" i="3" s="1"/>
  <c r="L38" i="3" s="1"/>
  <c r="M38" i="3" s="1"/>
  <c r="C37" i="3"/>
  <c r="D37" i="3"/>
  <c r="E37" i="3"/>
  <c r="F37" i="3"/>
  <c r="G37" i="3"/>
  <c r="H37" i="3"/>
  <c r="I37" i="3"/>
  <c r="J37" i="3"/>
  <c r="K37" i="3"/>
  <c r="L37" i="3"/>
  <c r="N40" i="3"/>
  <c r="N41" i="3"/>
  <c r="N42" i="3"/>
  <c r="N43" i="3"/>
  <c r="N44" i="3"/>
  <c r="N45" i="3"/>
  <c r="N46" i="3"/>
  <c r="N47" i="3"/>
  <c r="N48" i="3"/>
  <c r="N49" i="3"/>
  <c r="B51" i="3"/>
  <c r="C51" i="3"/>
  <c r="D51" i="3"/>
  <c r="E51" i="3"/>
  <c r="F51" i="3"/>
  <c r="G51" i="3"/>
  <c r="H51" i="3"/>
  <c r="I51" i="3"/>
  <c r="J51" i="3"/>
  <c r="K51" i="3"/>
  <c r="L51" i="3"/>
  <c r="M51" i="3"/>
  <c r="B52" i="3"/>
  <c r="C52" i="3"/>
  <c r="D52" i="3"/>
  <c r="E52" i="3" s="1"/>
  <c r="F52" i="3" s="1"/>
  <c r="G52" i="3" s="1"/>
  <c r="H52" i="3" s="1"/>
  <c r="I52" i="3" s="1"/>
  <c r="J52" i="3" s="1"/>
  <c r="K52" i="3" s="1"/>
  <c r="L52" i="3" s="1"/>
  <c r="M52" i="3" s="1"/>
  <c r="B36" i="2"/>
  <c r="C36" i="2"/>
  <c r="D36" i="2"/>
  <c r="E36" i="2"/>
  <c r="F36" i="2"/>
  <c r="G36" i="2"/>
  <c r="H36" i="2"/>
  <c r="I36" i="2"/>
  <c r="J36" i="2"/>
  <c r="K36" i="2"/>
  <c r="L36" i="2"/>
  <c r="M36" i="2"/>
  <c r="B37" i="2"/>
  <c r="C37" i="2"/>
  <c r="D37" i="2"/>
  <c r="E37" i="2"/>
  <c r="F37" i="2"/>
  <c r="G37" i="2"/>
  <c r="H37" i="2"/>
  <c r="I37" i="2"/>
  <c r="J37" i="2"/>
  <c r="K37" i="2"/>
  <c r="L37" i="2"/>
  <c r="M37" i="2"/>
  <c r="B38" i="2"/>
  <c r="C38" i="2"/>
  <c r="D38" i="2" s="1"/>
  <c r="E38" i="2" s="1"/>
  <c r="F38" i="2" s="1"/>
  <c r="G38" i="2" s="1"/>
  <c r="H38" i="2" s="1"/>
  <c r="I38" i="2" s="1"/>
  <c r="J38" i="2" s="1"/>
  <c r="K38" i="2" s="1"/>
  <c r="L38" i="2" s="1"/>
  <c r="M38" i="2" s="1"/>
  <c r="N40" i="2"/>
  <c r="N41" i="2"/>
  <c r="N42" i="2"/>
  <c r="N43" i="2"/>
  <c r="N44" i="2"/>
  <c r="N45" i="2"/>
  <c r="N46" i="2"/>
  <c r="N47" i="2"/>
  <c r="N48" i="2"/>
  <c r="N49" i="2"/>
  <c r="B51" i="2"/>
  <c r="C51" i="2"/>
  <c r="D51" i="2"/>
  <c r="E51" i="2"/>
  <c r="E52" i="2" s="1"/>
  <c r="F52" i="2" s="1"/>
  <c r="G52" i="2" s="1"/>
  <c r="H52" i="2" s="1"/>
  <c r="I52" i="2" s="1"/>
  <c r="J52" i="2" s="1"/>
  <c r="K52" i="2" s="1"/>
  <c r="L52" i="2" s="1"/>
  <c r="M52" i="2" s="1"/>
  <c r="F51" i="2"/>
  <c r="G51" i="2"/>
  <c r="H51" i="2"/>
  <c r="I51" i="2"/>
  <c r="J51" i="2"/>
  <c r="K51" i="2"/>
  <c r="L51" i="2"/>
  <c r="M51" i="2"/>
  <c r="B52" i="2"/>
  <c r="C52" i="2" s="1"/>
  <c r="D52" i="2" s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 s="1"/>
  <c r="F38" i="1" s="1"/>
  <c r="G38" i="1" s="1"/>
  <c r="H38" i="1"/>
  <c r="I38" i="1" s="1"/>
  <c r="J38" i="1" s="1"/>
  <c r="K38" i="1" s="1"/>
  <c r="L38" i="1" s="1"/>
  <c r="M38" i="1" s="1"/>
  <c r="N40" i="1"/>
  <c r="N41" i="1"/>
  <c r="N42" i="1"/>
  <c r="N43" i="1"/>
  <c r="N44" i="1"/>
  <c r="N45" i="1"/>
  <c r="N46" i="1"/>
  <c r="N47" i="1"/>
  <c r="N48" i="1"/>
  <c r="N49" i="1"/>
  <c r="B51" i="1"/>
  <c r="C51" i="1"/>
  <c r="D51" i="1"/>
  <c r="E51" i="1"/>
  <c r="F51" i="1"/>
  <c r="G51" i="1"/>
  <c r="H51" i="1"/>
  <c r="I51" i="1"/>
  <c r="J51" i="1"/>
  <c r="K51" i="1"/>
  <c r="L51" i="1"/>
  <c r="M51" i="1"/>
  <c r="D52" i="1"/>
  <c r="E52" i="1" s="1"/>
  <c r="F52" i="1" s="1"/>
  <c r="G52" i="1" s="1"/>
  <c r="H52" i="1" s="1"/>
  <c r="I52" i="1" s="1"/>
  <c r="J52" i="1" s="1"/>
  <c r="K52" i="1" s="1"/>
  <c r="L52" i="1" s="1"/>
  <c r="M52" i="1" s="1"/>
  <c r="N52" i="3" l="1"/>
  <c r="N53" i="5"/>
  <c r="N52" i="1"/>
  <c r="N52" i="2"/>
  <c r="J6" i="6"/>
  <c r="K6" i="6" l="1"/>
  <c r="J7" i="6"/>
  <c r="K7" i="6" l="1"/>
  <c r="J8" i="6"/>
  <c r="J9" i="6" l="1"/>
  <c r="K8" i="6"/>
  <c r="K9" i="6" l="1"/>
  <c r="J10" i="6"/>
  <c r="K10" i="6" l="1"/>
  <c r="J11" i="6"/>
  <c r="K11" i="6" l="1"/>
  <c r="J12" i="6"/>
  <c r="J13" i="6" l="1"/>
  <c r="K12" i="6"/>
  <c r="K13" i="6" l="1"/>
  <c r="J14" i="6"/>
  <c r="K14" i="6" l="1"/>
  <c r="J15" i="6"/>
  <c r="K15" i="6" l="1"/>
  <c r="J16" i="6"/>
  <c r="J17" i="6" l="1"/>
  <c r="K16" i="6"/>
  <c r="K17" i="6" l="1"/>
  <c r="J18" i="6"/>
  <c r="K18" i="6" l="1"/>
  <c r="J19" i="6"/>
  <c r="J20" i="6" l="1"/>
  <c r="K19" i="6"/>
  <c r="J21" i="6" l="1"/>
  <c r="K20" i="6"/>
  <c r="K21" i="6" l="1"/>
  <c r="J22" i="6"/>
  <c r="K22" i="6" l="1"/>
  <c r="J23" i="6"/>
  <c r="K23" i="6" l="1"/>
  <c r="J24" i="6"/>
  <c r="J25" i="6" l="1"/>
  <c r="K24" i="6"/>
  <c r="K25" i="6" l="1"/>
  <c r="J26" i="6"/>
  <c r="K26" i="6" l="1"/>
  <c r="J27" i="6"/>
  <c r="K27" i="6" l="1"/>
  <c r="J28" i="6"/>
  <c r="J29" i="6" l="1"/>
  <c r="K28" i="6"/>
  <c r="K29" i="6" l="1"/>
  <c r="J30" i="6"/>
  <c r="K30" i="6" l="1"/>
  <c r="J31" i="6"/>
  <c r="J32" i="6" l="1"/>
  <c r="K31" i="6"/>
  <c r="J33" i="6" l="1"/>
  <c r="K32" i="6"/>
  <c r="K33" i="6" l="1"/>
  <c r="J34" i="6"/>
  <c r="K34" i="6" l="1"/>
  <c r="J35" i="6"/>
  <c r="K35" i="6" l="1"/>
  <c r="J36" i="6"/>
  <c r="J37" i="6" l="1"/>
  <c r="K36" i="6"/>
  <c r="K37" i="6" l="1"/>
  <c r="J38" i="6"/>
  <c r="K38" i="6" l="1"/>
  <c r="J39" i="6"/>
  <c r="J40" i="6" l="1"/>
  <c r="K39" i="6"/>
  <c r="J41" i="6" l="1"/>
  <c r="K40" i="6"/>
  <c r="K41" i="6" l="1"/>
  <c r="J42" i="6"/>
  <c r="K42" i="6" l="1"/>
  <c r="J43" i="6"/>
  <c r="K43" i="6" l="1"/>
  <c r="J44" i="6"/>
  <c r="J45" i="6" l="1"/>
  <c r="K44" i="6"/>
  <c r="K45" i="6" l="1"/>
  <c r="J46" i="6"/>
  <c r="K46" i="6" l="1"/>
  <c r="J47" i="6"/>
  <c r="K47" i="6" l="1"/>
  <c r="J48" i="6"/>
  <c r="J49" i="6" l="1"/>
  <c r="K48" i="6"/>
  <c r="K49" i="6" l="1"/>
  <c r="J50" i="6"/>
  <c r="K50" i="6" l="1"/>
  <c r="J51" i="6"/>
  <c r="K51" i="6" l="1"/>
  <c r="J52" i="6"/>
  <c r="J53" i="6" l="1"/>
  <c r="K52" i="6"/>
  <c r="K53" i="6" l="1"/>
  <c r="J54" i="6"/>
  <c r="K54" i="6" l="1"/>
  <c r="J55" i="6"/>
  <c r="K55" i="6" l="1"/>
  <c r="J56" i="6"/>
  <c r="K56" i="6" s="1"/>
</calcChain>
</file>

<file path=xl/sharedStrings.xml><?xml version="1.0" encoding="utf-8"?>
<sst xmlns="http://schemas.openxmlformats.org/spreadsheetml/2006/main" count="435" uniqueCount="91">
  <si>
    <t xml:space="preserve"> </t>
  </si>
  <si>
    <t>AVG</t>
  </si>
  <si>
    <t>00</t>
  </si>
  <si>
    <t>AAF</t>
  </si>
  <si>
    <t>AF</t>
  </si>
  <si>
    <t>CFS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</si>
  <si>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</si>
  <si>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</si>
  <si>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</si>
  <si>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</si>
  <si>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</si>
  <si>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</si>
  <si>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</si>
  <si>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</si>
  <si>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</si>
  <si>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</si>
  <si>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</si>
  <si>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 xml:space="preserve">JAN </t>
  </si>
  <si>
    <t>DAY</t>
  </si>
  <si>
    <t>J-CANAL HEADWORKS 2001</t>
  </si>
  <si>
    <t>STATION 48 2001</t>
  </si>
  <si>
    <t>JAN</t>
  </si>
  <si>
    <t>LOST RIVER SPILL-AND-ROSE-DAM 2001</t>
  </si>
  <si>
    <t>ACCUHRS</t>
  </si>
  <si>
    <t>HRS</t>
  </si>
  <si>
    <t>D-PLANT HOURS 2001</t>
  </si>
  <si>
    <t>D-PLANT ACRE FEET 2001</t>
  </si>
  <si>
    <t>Week 53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</si>
  <si>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</si>
  <si>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</si>
  <si>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</si>
  <si>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</si>
  <si>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</si>
  <si>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</si>
  <si>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</si>
  <si>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</si>
  <si>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</si>
  <si>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</si>
  <si>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</si>
  <si>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</si>
  <si>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</si>
  <si>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</si>
  <si>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</si>
  <si>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</si>
  <si>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</si>
  <si>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</si>
  <si>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</si>
  <si>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</si>
  <si>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</si>
  <si>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</si>
  <si>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</si>
  <si>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</si>
  <si>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Week 28</t>
  </si>
  <si>
    <t>Week 27</t>
  </si>
  <si>
    <t>Week 26</t>
  </si>
  <si>
    <t>Week 25</t>
  </si>
  <si>
    <t>Week 24</t>
  </si>
  <si>
    <t>Week 23</t>
  </si>
  <si>
    <t>Week 22</t>
  </si>
  <si>
    <t>Week 21</t>
  </si>
  <si>
    <t>Week 20</t>
  </si>
  <si>
    <t>Week 19</t>
  </si>
  <si>
    <t>Week 18</t>
  </si>
  <si>
    <t>Week 17</t>
  </si>
  <si>
    <t>Week 16</t>
  </si>
  <si>
    <t>Week 15</t>
  </si>
  <si>
    <t>Week 14</t>
  </si>
  <si>
    <t>Week 13</t>
  </si>
  <si>
    <t>Week 12</t>
  </si>
  <si>
    <t>Week 11</t>
  </si>
  <si>
    <t>Week 10</t>
  </si>
  <si>
    <t>Week 9</t>
  </si>
  <si>
    <t>Week 8</t>
  </si>
  <si>
    <t>Week 7</t>
  </si>
  <si>
    <t>Week 6</t>
  </si>
  <si>
    <t>Week 5</t>
  </si>
  <si>
    <t>Week 4</t>
  </si>
  <si>
    <t>Week 3</t>
  </si>
  <si>
    <t>Week 2</t>
  </si>
  <si>
    <t>Week 1</t>
  </si>
  <si>
    <t>ACCU. A.F.</t>
  </si>
  <si>
    <t>ACCU. C.F.S</t>
  </si>
  <si>
    <t>TOTAL C.F.S.</t>
  </si>
  <si>
    <t>Sun</t>
  </si>
  <si>
    <t>Sat</t>
  </si>
  <si>
    <t>Fri</t>
  </si>
  <si>
    <t>Thu</t>
  </si>
  <si>
    <t>Wed</t>
  </si>
  <si>
    <t>Tue</t>
  </si>
  <si>
    <t>Mon</t>
  </si>
  <si>
    <t>TO STRAITS DRAIN @ REFUGE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</si>
</sst>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.0_);\(#,##0.0\)"/>
    <numFmt numFmtId="166" formatCode="0.0"/>
  </numFmts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1" fontId="0" fillId="0" borderId="0" xfId="0" applyNumberFormat="1"/>
    <xf numFmtId="41" fontId="0" fillId="0" borderId="0" xfId="1" applyNumberFormat="1" applyFont="1"/>
    <xf numFmtId="164" fontId="0" fillId="0" borderId="0" xfId="1" applyNumberFormat="1" applyFont="1"/>
    <xf numFmtId="0" fontId="0" fillId="0" borderId="0" xfId="0" quotePrefix="1" applyAlignment="1">
      <alignment horizontal="right"/>
    </xf>
    <xf numFmtId="0" fontId="0" fillId="2" borderId="0" xfId="0" applyFill="1" applyProtection="1">
      <protection locked="0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164" fontId="0" fillId="0" borderId="0" xfId="1" applyNumberFormat="1" applyFont="1" applyAlignment="1">
      <alignment horizontal="right"/>
    </xf>
    <xf numFmtId="164" fontId="0" fillId="0" borderId="0" xfId="1" applyNumberFormat="1" applyFont="1" applyAlignment="1"/>
    <xf numFmtId="43" fontId="0" fillId="0" borderId="0" xfId="1" applyFont="1"/>
    <xf numFmtId="0" fontId="2" fillId="0" borderId="0" xfId="0" quotePrefix="1" applyFont="1" applyAlignment="1">
      <alignment horizontal="right"/>
    </xf>
    <xf numFmtId="0" fontId="2" fillId="0" borderId="0" xfId="0" applyFont="1" applyAlignment="1" applyProtection="1">
      <alignment horizontal="right"/>
    </xf>
    <xf numFmtId="0" fontId="0" fillId="0" borderId="0" xfId="0" applyAlignment="1">
      <alignment horizontal="left"/>
    </xf>
    <xf numFmtId="165" fontId="0" fillId="0" borderId="0" xfId="1" applyNumberFormat="1" applyFont="1"/>
    <xf numFmtId="166" fontId="0" fillId="2" borderId="0" xfId="0" applyNumberFormat="1" applyFill="1" applyProtection="1">
      <protection locked="0"/>
    </xf>
    <xf numFmtId="166" fontId="0" fillId="0" borderId="0" xfId="0" quotePrefix="1" applyNumberFormat="1" applyAlignment="1">
      <alignment horizontal="left"/>
    </xf>
    <xf numFmtId="1" fontId="0" fillId="0" borderId="0" xfId="0" quotePrefix="1" applyNumberFormat="1" applyAlignment="1">
      <alignment horizontal="right"/>
    </xf>
    <xf numFmtId="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tabSelected="1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4" width="9.7109375" customWidth="1"/>
  </cols>
  <sheetData>
    <row r="1" spans="1:13" x14ac:dyDescent="0.2">
      <c r="A1" s="8" t="s">
        <v>19</v>
      </c>
      <c r="K1" s="8" t="s">
        <v>19</v>
      </c>
    </row>
    <row r="3" spans="1:13" x14ac:dyDescent="0.2">
      <c r="A3" s="7" t="s">
        <v>18</v>
      </c>
      <c r="B3" s="7" t="s">
        <v>17</v>
      </c>
      <c r="C3" s="7" t="s">
        <v>16</v>
      </c>
      <c r="D3" s="7" t="s">
        <v>15</v>
      </c>
      <c r="E3" s="7" t="s">
        <v>14</v>
      </c>
      <c r="F3" s="7" t="s">
        <v>13</v>
      </c>
      <c r="G3" s="7" t="s">
        <v>12</v>
      </c>
      <c r="H3" s="7" t="s">
        <v>11</v>
      </c>
      <c r="I3" s="7" t="s">
        <v>10</v>
      </c>
      <c r="J3" s="7" t="s">
        <v>9</v>
      </c>
      <c r="K3" s="7" t="s">
        <v>8</v>
      </c>
      <c r="L3" s="7" t="s">
        <v>7</v>
      </c>
      <c r="M3" s="7" t="s">
        <v>6</v>
      </c>
    </row>
    <row r="4" spans="1:13" x14ac:dyDescent="0.2">
      <c r="A4" s="6">
        <v>1</v>
      </c>
      <c r="B4" s="5">
        <v>0</v>
      </c>
      <c r="C4" s="5">
        <v>0</v>
      </c>
      <c r="D4" s="5">
        <v>0</v>
      </c>
      <c r="E4" s="5">
        <v>20</v>
      </c>
      <c r="F4" s="5">
        <v>0</v>
      </c>
      <c r="G4" s="5">
        <v>15</v>
      </c>
      <c r="H4" s="5">
        <v>20</v>
      </c>
      <c r="I4" s="5">
        <v>320</v>
      </c>
      <c r="J4" s="5">
        <v>82</v>
      </c>
      <c r="K4" s="5">
        <v>0</v>
      </c>
      <c r="L4" s="5">
        <v>140</v>
      </c>
      <c r="M4" s="5">
        <v>0</v>
      </c>
    </row>
    <row r="5" spans="1:13" x14ac:dyDescent="0.2">
      <c r="A5" s="6">
        <v>2</v>
      </c>
      <c r="B5" s="5">
        <v>0</v>
      </c>
      <c r="C5" s="5">
        <v>0</v>
      </c>
      <c r="D5" s="5">
        <v>0</v>
      </c>
      <c r="E5" s="5">
        <v>20</v>
      </c>
      <c r="F5" s="5">
        <v>0</v>
      </c>
      <c r="G5" s="5">
        <v>15</v>
      </c>
      <c r="H5" s="5">
        <v>20</v>
      </c>
      <c r="I5" s="5">
        <v>295</v>
      </c>
      <c r="J5" s="5">
        <v>36</v>
      </c>
      <c r="K5" s="5">
        <v>0</v>
      </c>
      <c r="L5" s="5">
        <v>140</v>
      </c>
      <c r="M5" s="5">
        <v>0</v>
      </c>
    </row>
    <row r="6" spans="1:13" x14ac:dyDescent="0.2">
      <c r="A6" s="6">
        <v>3</v>
      </c>
      <c r="B6" s="5">
        <v>0</v>
      </c>
      <c r="C6" s="5">
        <v>0</v>
      </c>
      <c r="D6" s="5">
        <v>0</v>
      </c>
      <c r="E6" s="5">
        <v>20</v>
      </c>
      <c r="F6" s="5">
        <v>0</v>
      </c>
      <c r="G6" s="5">
        <v>15</v>
      </c>
      <c r="H6" s="5">
        <v>20</v>
      </c>
      <c r="I6" s="5">
        <v>290</v>
      </c>
      <c r="J6" s="5">
        <v>20</v>
      </c>
      <c r="K6" s="5">
        <v>0</v>
      </c>
      <c r="L6" s="5">
        <v>114</v>
      </c>
      <c r="M6" s="5">
        <v>0</v>
      </c>
    </row>
    <row r="7" spans="1:13" x14ac:dyDescent="0.2">
      <c r="A7" s="6">
        <v>4</v>
      </c>
      <c r="B7" s="5">
        <v>0</v>
      </c>
      <c r="C7" s="5">
        <v>0</v>
      </c>
      <c r="D7" s="5">
        <v>0</v>
      </c>
      <c r="E7" s="5">
        <v>20</v>
      </c>
      <c r="F7" s="5">
        <v>0</v>
      </c>
      <c r="G7" s="5">
        <v>15</v>
      </c>
      <c r="H7" s="5">
        <v>20</v>
      </c>
      <c r="I7" s="5">
        <v>320</v>
      </c>
      <c r="J7" s="5">
        <v>20</v>
      </c>
      <c r="K7" s="5">
        <v>0</v>
      </c>
      <c r="L7" s="5">
        <v>109</v>
      </c>
      <c r="M7" s="5">
        <v>0</v>
      </c>
    </row>
    <row r="8" spans="1:13" x14ac:dyDescent="0.2">
      <c r="A8" s="6">
        <v>5</v>
      </c>
      <c r="B8" s="5">
        <v>0</v>
      </c>
      <c r="C8" s="5">
        <v>0</v>
      </c>
      <c r="D8" s="5">
        <v>0</v>
      </c>
      <c r="E8" s="5">
        <v>20</v>
      </c>
      <c r="F8" s="5">
        <v>0</v>
      </c>
      <c r="G8" s="5">
        <v>15</v>
      </c>
      <c r="H8" s="5">
        <v>20</v>
      </c>
      <c r="I8" s="5">
        <v>330</v>
      </c>
      <c r="J8" s="5">
        <v>20</v>
      </c>
      <c r="K8" s="5">
        <v>0</v>
      </c>
      <c r="L8" s="5">
        <v>115</v>
      </c>
      <c r="M8" s="5">
        <v>0</v>
      </c>
    </row>
    <row r="9" spans="1:13" x14ac:dyDescent="0.2">
      <c r="A9" s="6">
        <v>6</v>
      </c>
      <c r="B9" s="5">
        <v>0</v>
      </c>
      <c r="C9" s="5">
        <v>0</v>
      </c>
      <c r="D9" s="5">
        <v>0</v>
      </c>
      <c r="E9" s="5">
        <v>20</v>
      </c>
      <c r="F9" s="5">
        <v>0</v>
      </c>
      <c r="G9" s="5">
        <v>15</v>
      </c>
      <c r="H9" s="5">
        <v>20</v>
      </c>
      <c r="I9" s="5">
        <v>320</v>
      </c>
      <c r="J9" s="5">
        <v>20</v>
      </c>
      <c r="K9" s="5">
        <v>0</v>
      </c>
      <c r="L9" s="5">
        <v>115</v>
      </c>
      <c r="M9" s="5">
        <v>0</v>
      </c>
    </row>
    <row r="10" spans="1:13" x14ac:dyDescent="0.2">
      <c r="A10" s="6">
        <v>7</v>
      </c>
      <c r="B10" s="5">
        <v>0</v>
      </c>
      <c r="C10" s="5">
        <v>0</v>
      </c>
      <c r="D10" s="5">
        <v>0</v>
      </c>
      <c r="E10" s="5">
        <v>20</v>
      </c>
      <c r="F10" s="5">
        <v>0</v>
      </c>
      <c r="G10" s="5">
        <v>15</v>
      </c>
      <c r="H10" s="5">
        <v>20</v>
      </c>
      <c r="I10" s="5">
        <v>325</v>
      </c>
      <c r="J10" s="5">
        <v>20</v>
      </c>
      <c r="K10" s="5">
        <v>0</v>
      </c>
      <c r="L10" s="5">
        <v>110</v>
      </c>
      <c r="M10" s="5">
        <v>0</v>
      </c>
    </row>
    <row r="11" spans="1:13" x14ac:dyDescent="0.2">
      <c r="A11" s="6">
        <v>8</v>
      </c>
      <c r="B11" s="5">
        <v>0</v>
      </c>
      <c r="C11" s="5">
        <v>0</v>
      </c>
      <c r="D11" s="5">
        <v>0</v>
      </c>
      <c r="E11" s="5">
        <v>20</v>
      </c>
      <c r="F11" s="5">
        <v>0</v>
      </c>
      <c r="G11" s="5">
        <v>15</v>
      </c>
      <c r="H11" s="5">
        <v>20</v>
      </c>
      <c r="I11" s="5">
        <v>326</v>
      </c>
      <c r="J11" s="5">
        <v>20</v>
      </c>
      <c r="K11" s="5">
        <v>0</v>
      </c>
      <c r="L11" s="5">
        <v>110</v>
      </c>
      <c r="M11" s="5">
        <v>0</v>
      </c>
    </row>
    <row r="12" spans="1:13" x14ac:dyDescent="0.2">
      <c r="A12" s="6">
        <v>9</v>
      </c>
      <c r="B12" s="5">
        <v>0</v>
      </c>
      <c r="C12" s="5">
        <v>0</v>
      </c>
      <c r="D12" s="5">
        <v>0</v>
      </c>
      <c r="E12" s="5">
        <v>20</v>
      </c>
      <c r="F12" s="5">
        <v>0</v>
      </c>
      <c r="G12" s="5">
        <v>15</v>
      </c>
      <c r="H12" s="5">
        <v>20</v>
      </c>
      <c r="I12" s="5">
        <v>321</v>
      </c>
      <c r="J12" s="5">
        <v>20</v>
      </c>
      <c r="K12" s="5">
        <v>0</v>
      </c>
      <c r="L12" s="5">
        <v>110</v>
      </c>
      <c r="M12" s="5">
        <v>0</v>
      </c>
    </row>
    <row r="13" spans="1:13" x14ac:dyDescent="0.2">
      <c r="A13" s="6">
        <v>10</v>
      </c>
      <c r="B13" s="5">
        <v>0</v>
      </c>
      <c r="C13" s="5">
        <v>0</v>
      </c>
      <c r="D13" s="5">
        <v>0</v>
      </c>
      <c r="E13" s="5">
        <v>20</v>
      </c>
      <c r="F13" s="5">
        <v>0</v>
      </c>
      <c r="G13" s="5">
        <v>15</v>
      </c>
      <c r="H13" s="5">
        <v>20</v>
      </c>
      <c r="I13" s="5">
        <v>326</v>
      </c>
      <c r="J13" s="5">
        <v>0</v>
      </c>
      <c r="K13" s="5">
        <v>0</v>
      </c>
      <c r="L13" s="5">
        <v>110</v>
      </c>
      <c r="M13" s="5">
        <v>0</v>
      </c>
    </row>
    <row r="14" spans="1:13" x14ac:dyDescent="0.2">
      <c r="A14" s="6">
        <v>11</v>
      </c>
      <c r="B14" s="5">
        <v>0</v>
      </c>
      <c r="C14" s="5">
        <v>0</v>
      </c>
      <c r="D14" s="5">
        <v>0</v>
      </c>
      <c r="E14" s="5">
        <v>20</v>
      </c>
      <c r="F14" s="5">
        <v>0</v>
      </c>
      <c r="G14" s="5">
        <v>15</v>
      </c>
      <c r="H14" s="5">
        <v>20</v>
      </c>
      <c r="I14" s="5">
        <v>345</v>
      </c>
      <c r="J14" s="5">
        <v>0</v>
      </c>
      <c r="K14" s="5">
        <v>0</v>
      </c>
      <c r="L14" s="5">
        <v>100</v>
      </c>
      <c r="M14" s="5">
        <v>0</v>
      </c>
    </row>
    <row r="15" spans="1:13" x14ac:dyDescent="0.2">
      <c r="A15" s="6">
        <v>12</v>
      </c>
      <c r="B15" s="5">
        <v>0</v>
      </c>
      <c r="C15" s="5">
        <v>0</v>
      </c>
      <c r="D15" s="5">
        <v>13</v>
      </c>
      <c r="E15" s="5">
        <v>20</v>
      </c>
      <c r="F15" s="5">
        <v>0</v>
      </c>
      <c r="G15" s="5">
        <v>15</v>
      </c>
      <c r="H15" s="5">
        <v>20</v>
      </c>
      <c r="I15" s="5">
        <v>403</v>
      </c>
      <c r="J15" s="5">
        <v>0</v>
      </c>
      <c r="K15" s="5">
        <v>0</v>
      </c>
      <c r="L15" s="5">
        <v>95</v>
      </c>
      <c r="M15" s="5">
        <v>0</v>
      </c>
    </row>
    <row r="16" spans="1:13" x14ac:dyDescent="0.2">
      <c r="A16" s="6">
        <v>13</v>
      </c>
      <c r="B16" s="5">
        <v>0</v>
      </c>
      <c r="C16" s="5">
        <v>0</v>
      </c>
      <c r="D16" s="5">
        <v>20</v>
      </c>
      <c r="E16" s="5">
        <v>8</v>
      </c>
      <c r="F16" s="5">
        <v>0</v>
      </c>
      <c r="G16" s="5">
        <v>15</v>
      </c>
      <c r="H16" s="5">
        <v>20</v>
      </c>
      <c r="I16" s="5">
        <v>360</v>
      </c>
      <c r="J16" s="5">
        <v>0</v>
      </c>
      <c r="K16" s="5">
        <v>0</v>
      </c>
      <c r="L16" s="5">
        <v>95</v>
      </c>
      <c r="M16" s="5">
        <v>0</v>
      </c>
    </row>
    <row r="17" spans="1:13" x14ac:dyDescent="0.2">
      <c r="A17" s="6">
        <v>14</v>
      </c>
      <c r="B17" s="5">
        <v>0</v>
      </c>
      <c r="C17" s="5">
        <v>0</v>
      </c>
      <c r="D17" s="5">
        <v>20</v>
      </c>
      <c r="E17" s="5">
        <v>0</v>
      </c>
      <c r="F17" s="5">
        <v>0</v>
      </c>
      <c r="G17" s="5">
        <v>15</v>
      </c>
      <c r="H17" s="5">
        <v>20</v>
      </c>
      <c r="I17" s="5">
        <v>358</v>
      </c>
      <c r="J17" s="5">
        <v>0</v>
      </c>
      <c r="K17" s="5">
        <v>0</v>
      </c>
      <c r="L17" s="5">
        <v>95</v>
      </c>
      <c r="M17" s="5">
        <v>0</v>
      </c>
    </row>
    <row r="18" spans="1:13" x14ac:dyDescent="0.2">
      <c r="A18" s="6">
        <v>15</v>
      </c>
      <c r="B18" s="5">
        <v>0</v>
      </c>
      <c r="C18" s="5">
        <v>0</v>
      </c>
      <c r="D18" s="5">
        <v>20</v>
      </c>
      <c r="E18" s="5">
        <v>0</v>
      </c>
      <c r="F18" s="5">
        <v>0</v>
      </c>
      <c r="G18" s="5">
        <v>15</v>
      </c>
      <c r="H18" s="5">
        <v>20</v>
      </c>
      <c r="I18" s="5">
        <v>341</v>
      </c>
      <c r="J18" s="5">
        <v>0</v>
      </c>
      <c r="K18" s="5">
        <v>0</v>
      </c>
      <c r="L18" s="5">
        <v>95</v>
      </c>
      <c r="M18" s="5">
        <v>0</v>
      </c>
    </row>
    <row r="19" spans="1:13" x14ac:dyDescent="0.2">
      <c r="A19" s="6">
        <v>16</v>
      </c>
      <c r="B19" s="5">
        <v>0</v>
      </c>
      <c r="C19" s="5">
        <v>0</v>
      </c>
      <c r="D19" s="5">
        <v>20</v>
      </c>
      <c r="E19" s="5">
        <v>0</v>
      </c>
      <c r="F19" s="5">
        <v>0</v>
      </c>
      <c r="G19" s="5">
        <v>15</v>
      </c>
      <c r="H19" s="5">
        <v>20</v>
      </c>
      <c r="I19" s="5">
        <v>322</v>
      </c>
      <c r="J19" s="5">
        <v>0</v>
      </c>
      <c r="K19" s="5">
        <v>28</v>
      </c>
      <c r="L19" s="5">
        <v>95</v>
      </c>
      <c r="M19" s="5">
        <v>0</v>
      </c>
    </row>
    <row r="20" spans="1:13" x14ac:dyDescent="0.2">
      <c r="A20" s="6">
        <v>17</v>
      </c>
      <c r="B20" s="5">
        <v>0</v>
      </c>
      <c r="C20" s="5">
        <v>0</v>
      </c>
      <c r="D20" s="5">
        <v>20</v>
      </c>
      <c r="E20" s="5">
        <v>0</v>
      </c>
      <c r="F20" s="5">
        <v>0</v>
      </c>
      <c r="G20" s="5">
        <v>15</v>
      </c>
      <c r="H20" s="5">
        <v>20</v>
      </c>
      <c r="I20" s="5">
        <v>350</v>
      </c>
      <c r="J20" s="5">
        <v>0</v>
      </c>
      <c r="K20" s="5">
        <v>50</v>
      </c>
      <c r="L20" s="5">
        <v>95</v>
      </c>
      <c r="M20" s="5">
        <v>0</v>
      </c>
    </row>
    <row r="21" spans="1:13" x14ac:dyDescent="0.2">
      <c r="A21" s="6">
        <v>18</v>
      </c>
      <c r="B21" s="5">
        <v>0</v>
      </c>
      <c r="C21" s="5">
        <v>0</v>
      </c>
      <c r="D21" s="5">
        <v>20</v>
      </c>
      <c r="E21" s="5">
        <v>0</v>
      </c>
      <c r="F21" s="5">
        <v>0</v>
      </c>
      <c r="G21" s="5">
        <v>18</v>
      </c>
      <c r="H21" s="5">
        <v>20</v>
      </c>
      <c r="I21" s="5">
        <v>325</v>
      </c>
      <c r="J21" s="5">
        <v>0</v>
      </c>
      <c r="K21" s="5">
        <v>60</v>
      </c>
      <c r="L21" s="5">
        <v>80</v>
      </c>
      <c r="M21" s="5">
        <v>0</v>
      </c>
    </row>
    <row r="22" spans="1:13" x14ac:dyDescent="0.2">
      <c r="A22" s="6">
        <v>19</v>
      </c>
      <c r="B22" s="5">
        <v>0</v>
      </c>
      <c r="C22" s="5">
        <v>0</v>
      </c>
      <c r="D22" s="5">
        <v>20</v>
      </c>
      <c r="E22" s="5">
        <v>39</v>
      </c>
      <c r="F22" s="5">
        <v>0</v>
      </c>
      <c r="G22" s="5">
        <v>18</v>
      </c>
      <c r="H22" s="5">
        <v>20</v>
      </c>
      <c r="I22" s="5">
        <v>340</v>
      </c>
      <c r="J22" s="5">
        <v>0</v>
      </c>
      <c r="K22" s="5">
        <v>60</v>
      </c>
      <c r="L22" s="5">
        <v>90</v>
      </c>
      <c r="M22" s="5">
        <v>0</v>
      </c>
    </row>
    <row r="23" spans="1:13" x14ac:dyDescent="0.2">
      <c r="A23" s="6">
        <v>20</v>
      </c>
      <c r="B23" s="5">
        <v>0</v>
      </c>
      <c r="C23" s="5">
        <v>0</v>
      </c>
      <c r="D23" s="5">
        <v>20</v>
      </c>
      <c r="E23" s="5">
        <v>66</v>
      </c>
      <c r="F23" s="5">
        <v>0</v>
      </c>
      <c r="G23" s="5">
        <v>18</v>
      </c>
      <c r="H23" s="5">
        <v>20</v>
      </c>
      <c r="I23" s="5">
        <v>350</v>
      </c>
      <c r="J23" s="5">
        <v>0</v>
      </c>
      <c r="K23" s="5">
        <v>63</v>
      </c>
      <c r="L23" s="5">
        <v>90</v>
      </c>
      <c r="M23" s="5">
        <v>0</v>
      </c>
    </row>
    <row r="24" spans="1:13" x14ac:dyDescent="0.2">
      <c r="A24" s="6">
        <v>21</v>
      </c>
      <c r="B24" s="5">
        <v>0</v>
      </c>
      <c r="C24" s="5">
        <v>0</v>
      </c>
      <c r="D24" s="5">
        <v>20</v>
      </c>
      <c r="E24" s="5">
        <v>68</v>
      </c>
      <c r="F24" s="5">
        <v>0</v>
      </c>
      <c r="G24" s="5">
        <v>18</v>
      </c>
      <c r="H24" s="5">
        <v>20</v>
      </c>
      <c r="I24" s="5">
        <v>304</v>
      </c>
      <c r="J24" s="5">
        <v>0</v>
      </c>
      <c r="K24" s="5">
        <v>75</v>
      </c>
      <c r="L24" s="5">
        <v>85</v>
      </c>
      <c r="M24" s="5">
        <v>0</v>
      </c>
    </row>
    <row r="25" spans="1:13" x14ac:dyDescent="0.2">
      <c r="A25" s="6">
        <v>22</v>
      </c>
      <c r="B25" s="5">
        <v>0</v>
      </c>
      <c r="C25" s="5">
        <v>0</v>
      </c>
      <c r="D25" s="5">
        <v>20</v>
      </c>
      <c r="E25" s="5">
        <v>67</v>
      </c>
      <c r="F25" s="5">
        <v>0</v>
      </c>
      <c r="G25" s="5">
        <v>18</v>
      </c>
      <c r="H25" s="5">
        <v>20</v>
      </c>
      <c r="I25" s="5">
        <v>252</v>
      </c>
      <c r="J25" s="5">
        <v>0</v>
      </c>
      <c r="K25" s="5">
        <v>96</v>
      </c>
      <c r="L25" s="5">
        <v>85</v>
      </c>
      <c r="M25" s="5">
        <v>0</v>
      </c>
    </row>
    <row r="26" spans="1:13" x14ac:dyDescent="0.2">
      <c r="A26" s="6">
        <v>23</v>
      </c>
      <c r="B26" s="5">
        <v>0</v>
      </c>
      <c r="C26" s="5">
        <v>0</v>
      </c>
      <c r="D26" s="5">
        <v>20</v>
      </c>
      <c r="E26" s="5">
        <v>62</v>
      </c>
      <c r="F26" s="5">
        <v>0</v>
      </c>
      <c r="G26" s="5">
        <v>17</v>
      </c>
      <c r="H26" s="5">
        <v>20</v>
      </c>
      <c r="I26" s="5">
        <v>248</v>
      </c>
      <c r="J26" s="5">
        <v>0</v>
      </c>
      <c r="K26" s="5">
        <v>120</v>
      </c>
      <c r="L26" s="5">
        <v>85</v>
      </c>
      <c r="M26" s="5">
        <v>0</v>
      </c>
    </row>
    <row r="27" spans="1:13" x14ac:dyDescent="0.2">
      <c r="A27" s="6">
        <v>24</v>
      </c>
      <c r="B27" s="5">
        <v>0</v>
      </c>
      <c r="C27" s="5">
        <v>0</v>
      </c>
      <c r="D27" s="5">
        <v>20</v>
      </c>
      <c r="E27" s="5">
        <v>60</v>
      </c>
      <c r="F27" s="5">
        <v>11</v>
      </c>
      <c r="G27" s="5">
        <v>17</v>
      </c>
      <c r="H27" s="5">
        <v>20</v>
      </c>
      <c r="I27" s="5">
        <v>200</v>
      </c>
      <c r="J27" s="5">
        <v>0</v>
      </c>
      <c r="K27" s="5">
        <v>120</v>
      </c>
      <c r="L27" s="5">
        <v>75</v>
      </c>
      <c r="M27" s="5">
        <v>0</v>
      </c>
    </row>
    <row r="28" spans="1:13" x14ac:dyDescent="0.2">
      <c r="A28" s="6">
        <v>25</v>
      </c>
      <c r="B28" s="5">
        <v>0</v>
      </c>
      <c r="C28" s="5">
        <v>0</v>
      </c>
      <c r="D28" s="5">
        <v>20</v>
      </c>
      <c r="E28" s="5">
        <v>60</v>
      </c>
      <c r="F28" s="5">
        <v>15</v>
      </c>
      <c r="G28" s="5">
        <v>18</v>
      </c>
      <c r="H28" s="5">
        <v>87</v>
      </c>
      <c r="I28" s="5">
        <v>175</v>
      </c>
      <c r="J28" s="5">
        <v>0</v>
      </c>
      <c r="K28" s="5">
        <v>120</v>
      </c>
      <c r="L28" s="5">
        <v>75</v>
      </c>
      <c r="M28" s="5">
        <v>0</v>
      </c>
    </row>
    <row r="29" spans="1:13" x14ac:dyDescent="0.2">
      <c r="A29" s="6">
        <v>26</v>
      </c>
      <c r="B29" s="5">
        <v>0</v>
      </c>
      <c r="C29" s="5">
        <v>0</v>
      </c>
      <c r="D29" s="5">
        <v>20</v>
      </c>
      <c r="E29" s="5">
        <v>16</v>
      </c>
      <c r="F29" s="5">
        <v>15</v>
      </c>
      <c r="G29" s="5">
        <v>18</v>
      </c>
      <c r="H29" s="5">
        <v>132</v>
      </c>
      <c r="I29" s="5">
        <v>165</v>
      </c>
      <c r="J29" s="5">
        <v>0</v>
      </c>
      <c r="K29" s="5">
        <v>120</v>
      </c>
      <c r="L29" s="5">
        <v>75</v>
      </c>
      <c r="M29" s="5">
        <v>0</v>
      </c>
    </row>
    <row r="30" spans="1:13" x14ac:dyDescent="0.2">
      <c r="A30" s="6">
        <v>27</v>
      </c>
      <c r="B30" s="5">
        <v>0</v>
      </c>
      <c r="C30" s="5">
        <v>0</v>
      </c>
      <c r="D30" s="5">
        <v>20</v>
      </c>
      <c r="E30" s="5">
        <v>0</v>
      </c>
      <c r="F30" s="5">
        <v>15</v>
      </c>
      <c r="G30" s="5">
        <v>20</v>
      </c>
      <c r="H30" s="5">
        <v>171</v>
      </c>
      <c r="I30" s="5">
        <v>152</v>
      </c>
      <c r="J30" s="5">
        <v>0</v>
      </c>
      <c r="K30" s="5">
        <v>120</v>
      </c>
      <c r="L30" s="5">
        <v>75</v>
      </c>
      <c r="M30" s="5">
        <v>0</v>
      </c>
    </row>
    <row r="31" spans="1:13" x14ac:dyDescent="0.2">
      <c r="A31" s="6">
        <v>28</v>
      </c>
      <c r="B31" s="5">
        <v>0</v>
      </c>
      <c r="C31" s="5">
        <v>0</v>
      </c>
      <c r="D31" s="5">
        <v>20</v>
      </c>
      <c r="E31" s="5">
        <v>0</v>
      </c>
      <c r="F31" s="5">
        <v>15</v>
      </c>
      <c r="G31" s="5">
        <v>20</v>
      </c>
      <c r="H31" s="5">
        <v>176</v>
      </c>
      <c r="I31" s="5">
        <v>156</v>
      </c>
      <c r="J31" s="5">
        <v>0</v>
      </c>
      <c r="K31" s="5">
        <v>130</v>
      </c>
      <c r="L31" s="5">
        <v>75</v>
      </c>
      <c r="M31" s="5">
        <v>0</v>
      </c>
    </row>
    <row r="32" spans="1:13" x14ac:dyDescent="0.2">
      <c r="A32" s="6">
        <v>29</v>
      </c>
      <c r="B32" s="5">
        <v>0</v>
      </c>
      <c r="C32" s="5">
        <v>0</v>
      </c>
      <c r="D32" s="5">
        <v>20</v>
      </c>
      <c r="E32" s="5">
        <v>0</v>
      </c>
      <c r="F32" s="5">
        <v>15</v>
      </c>
      <c r="G32" s="5">
        <v>20</v>
      </c>
      <c r="H32" s="5">
        <v>186</v>
      </c>
      <c r="I32" s="5">
        <v>145</v>
      </c>
      <c r="J32" s="5">
        <v>0</v>
      </c>
      <c r="K32" s="5">
        <v>140</v>
      </c>
      <c r="L32" s="5">
        <v>33</v>
      </c>
      <c r="M32" s="5">
        <v>0</v>
      </c>
    </row>
    <row r="33" spans="1:14" x14ac:dyDescent="0.2">
      <c r="A33" s="6">
        <v>30</v>
      </c>
      <c r="B33" s="5">
        <v>0</v>
      </c>
      <c r="C33" t="s">
        <v>0</v>
      </c>
      <c r="D33" s="5">
        <v>20</v>
      </c>
      <c r="E33" s="5">
        <v>0</v>
      </c>
      <c r="F33" s="5">
        <v>15</v>
      </c>
      <c r="G33" s="5">
        <v>20</v>
      </c>
      <c r="H33" s="5">
        <v>250</v>
      </c>
      <c r="I33" s="5">
        <v>137</v>
      </c>
      <c r="J33" s="5">
        <v>0</v>
      </c>
      <c r="K33" s="5">
        <v>140</v>
      </c>
      <c r="L33" s="5">
        <v>0</v>
      </c>
      <c r="M33" s="5">
        <v>0</v>
      </c>
    </row>
    <row r="34" spans="1:14" x14ac:dyDescent="0.2">
      <c r="A34" s="6">
        <v>31</v>
      </c>
      <c r="B34" s="5">
        <v>0</v>
      </c>
      <c r="C34" t="s">
        <v>0</v>
      </c>
      <c r="D34" s="5">
        <v>20</v>
      </c>
      <c r="E34" t="s">
        <v>0</v>
      </c>
      <c r="F34" s="5">
        <v>15</v>
      </c>
      <c r="G34" t="s">
        <v>0</v>
      </c>
      <c r="H34" s="5">
        <v>290</v>
      </c>
      <c r="I34" s="5">
        <v>124</v>
      </c>
      <c r="J34" t="s">
        <v>0</v>
      </c>
      <c r="K34" s="5">
        <v>140</v>
      </c>
      <c r="L34" t="s">
        <v>0</v>
      </c>
      <c r="M34" s="5">
        <v>0</v>
      </c>
    </row>
    <row r="36" spans="1:14" x14ac:dyDescent="0.2">
      <c r="A36" t="s">
        <v>5</v>
      </c>
      <c r="B36" s="2">
        <f>SUM(B4:B35)</f>
        <v>0</v>
      </c>
      <c r="C36" s="2">
        <f>SUM(C4:C35)</f>
        <v>0</v>
      </c>
      <c r="D36" s="2">
        <f>SUM(D4:D35)</f>
        <v>393</v>
      </c>
      <c r="E36" s="2">
        <f>SUM(E4:E35)</f>
        <v>686</v>
      </c>
      <c r="F36" s="2">
        <f>SUM(F4:F35)</f>
        <v>116</v>
      </c>
      <c r="G36" s="2">
        <f>SUM(G4:G35)</f>
        <v>495</v>
      </c>
      <c r="H36" s="2">
        <f>SUM(H4:H35)</f>
        <v>1772</v>
      </c>
      <c r="I36" s="2">
        <f>SUM(I4:I35)</f>
        <v>8725</v>
      </c>
      <c r="J36" s="2">
        <f>SUM(J4:J35)</f>
        <v>258</v>
      </c>
      <c r="K36" s="2">
        <f>SUM(K4:K35)</f>
        <v>1582</v>
      </c>
      <c r="L36" s="2">
        <f>SUM(L4:L35)</f>
        <v>2766</v>
      </c>
      <c r="M36" s="2">
        <f>SUM(M4:M35)</f>
        <v>0</v>
      </c>
      <c r="N36" s="2"/>
    </row>
    <row r="37" spans="1:14" x14ac:dyDescent="0.2">
      <c r="A37" t="s">
        <v>4</v>
      </c>
      <c r="B37" s="2">
        <f>+B36*1.98</f>
        <v>0</v>
      </c>
      <c r="C37" s="2">
        <f>+C36*1.98</f>
        <v>0</v>
      </c>
      <c r="D37" s="2">
        <f>+D36*1.98</f>
        <v>778.14</v>
      </c>
      <c r="E37" s="2">
        <f>+E36*1.98</f>
        <v>1358.28</v>
      </c>
      <c r="F37" s="2">
        <f>+F36*1.98</f>
        <v>229.68</v>
      </c>
      <c r="G37" s="2">
        <f>+G36*1.98</f>
        <v>980.1</v>
      </c>
      <c r="H37" s="2">
        <f>+H36*1.98</f>
        <v>3508.56</v>
      </c>
      <c r="I37" s="2">
        <f>+I36*1.98</f>
        <v>17275.5</v>
      </c>
      <c r="J37" s="2">
        <f>+J36*1.98</f>
        <v>510.84</v>
      </c>
      <c r="K37" s="2">
        <f>+K36*1.98</f>
        <v>3132.36</v>
      </c>
      <c r="L37" s="2">
        <f>+L36*1.98</f>
        <v>5476.68</v>
      </c>
      <c r="M37" s="2">
        <f>+M36*1.98</f>
        <v>0</v>
      </c>
      <c r="N37" s="2"/>
    </row>
    <row r="38" spans="1:14" x14ac:dyDescent="0.2">
      <c r="A38" t="s">
        <v>3</v>
      </c>
      <c r="B38" s="2">
        <f>+B37</f>
        <v>0</v>
      </c>
      <c r="C38" s="2">
        <f>+B38+C37</f>
        <v>0</v>
      </c>
      <c r="D38" s="2">
        <f>+C38+D37</f>
        <v>778.14</v>
      </c>
      <c r="E38" s="2">
        <f>+D38+E37</f>
        <v>2136.42</v>
      </c>
      <c r="F38" s="2">
        <f>+E38+F37</f>
        <v>2366.1</v>
      </c>
      <c r="G38" s="2">
        <f>+F38+G37</f>
        <v>3346.2</v>
      </c>
      <c r="H38" s="2">
        <f>+G38+H37</f>
        <v>6854.76</v>
      </c>
      <c r="I38" s="2">
        <f>+H38+I37</f>
        <v>24130.260000000002</v>
      </c>
      <c r="J38" s="2">
        <f>+I38+J37</f>
        <v>24641.100000000002</v>
      </c>
      <c r="K38" s="2">
        <f>+J38+K37</f>
        <v>27773.460000000003</v>
      </c>
      <c r="L38" s="2">
        <f>+K38+L37</f>
        <v>33250.14</v>
      </c>
      <c r="M38" s="2">
        <f>+L38+M37</f>
        <v>33250.14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91</v>
      </c>
      <c r="B40" s="2">
        <v>0</v>
      </c>
      <c r="C40" s="2">
        <v>0</v>
      </c>
      <c r="D40" s="2">
        <v>2467</v>
      </c>
      <c r="E40" s="2">
        <v>17089</v>
      </c>
      <c r="F40" s="2">
        <v>11880</v>
      </c>
      <c r="G40" s="2">
        <v>31050</v>
      </c>
      <c r="H40" s="2">
        <v>29948</v>
      </c>
      <c r="I40" s="2">
        <v>25770</v>
      </c>
      <c r="J40" s="2">
        <v>19034</v>
      </c>
      <c r="K40" s="2">
        <v>8031</v>
      </c>
      <c r="L40" s="2">
        <v>42</v>
      </c>
      <c r="M40" s="2">
        <v>0</v>
      </c>
      <c r="N40" s="2">
        <f>SUM(B40:M40)</f>
        <v>145311</v>
      </c>
    </row>
    <row r="41" spans="1:14" x14ac:dyDescent="0.2">
      <c r="A41">
        <v>92</v>
      </c>
      <c r="B41" s="2">
        <v>0</v>
      </c>
      <c r="C41" s="2">
        <v>0</v>
      </c>
      <c r="D41" s="2">
        <v>1394</v>
      </c>
      <c r="E41" s="2">
        <v>24768</v>
      </c>
      <c r="F41" s="2">
        <v>28639</v>
      </c>
      <c r="G41" s="2">
        <v>30292</v>
      </c>
      <c r="H41" s="2">
        <v>21441</v>
      </c>
      <c r="I41" s="2">
        <v>21321</v>
      </c>
      <c r="J41" s="2">
        <v>8039</v>
      </c>
      <c r="K41" s="2">
        <v>0</v>
      </c>
      <c r="L41" s="2">
        <v>0</v>
      </c>
      <c r="M41" s="2">
        <v>0</v>
      </c>
      <c r="N41" s="2">
        <f>SUM(B41:M41)</f>
        <v>135894</v>
      </c>
    </row>
    <row r="42" spans="1:14" x14ac:dyDescent="0.2">
      <c r="A42">
        <v>93</v>
      </c>
      <c r="B42" s="2">
        <v>0</v>
      </c>
      <c r="C42" s="2">
        <v>0</v>
      </c>
      <c r="D42" s="2">
        <v>697</v>
      </c>
      <c r="E42" s="2">
        <v>5853</v>
      </c>
      <c r="F42" s="2">
        <v>19216</v>
      </c>
      <c r="G42" s="2">
        <v>26184</v>
      </c>
      <c r="H42" s="2">
        <v>28233</v>
      </c>
      <c r="I42" s="2">
        <v>21558</v>
      </c>
      <c r="J42" s="2">
        <v>13050</v>
      </c>
      <c r="K42" s="2">
        <v>4437</v>
      </c>
      <c r="L42" s="2">
        <v>259</v>
      </c>
      <c r="M42" s="2">
        <v>0</v>
      </c>
      <c r="N42" s="2">
        <f>SUM(B42:M42)</f>
        <v>119487</v>
      </c>
    </row>
    <row r="43" spans="1:14" x14ac:dyDescent="0.2">
      <c r="A43">
        <v>94</v>
      </c>
      <c r="B43" s="2">
        <v>0</v>
      </c>
      <c r="C43" s="2">
        <v>0</v>
      </c>
      <c r="D43" s="2">
        <v>7332</v>
      </c>
      <c r="E43" s="2">
        <v>24204</v>
      </c>
      <c r="F43" s="2">
        <v>14705</v>
      </c>
      <c r="G43" s="2">
        <v>31557</v>
      </c>
      <c r="H43" s="2">
        <v>31607</v>
      </c>
      <c r="I43" s="2">
        <v>26477</v>
      </c>
      <c r="J43" s="2">
        <v>8682</v>
      </c>
      <c r="K43" s="2">
        <v>0</v>
      </c>
      <c r="L43" s="2">
        <v>0</v>
      </c>
      <c r="M43" s="2">
        <v>0</v>
      </c>
      <c r="N43" s="2">
        <f>SUM(B43:M43)</f>
        <v>144564</v>
      </c>
    </row>
    <row r="44" spans="1:14" x14ac:dyDescent="0.2">
      <c r="A44">
        <v>95</v>
      </c>
      <c r="B44" s="2">
        <v>0</v>
      </c>
      <c r="C44" s="2">
        <v>0</v>
      </c>
      <c r="D44" s="2">
        <v>1327</v>
      </c>
      <c r="E44" s="2">
        <v>6061</v>
      </c>
      <c r="F44" s="2">
        <v>12098</v>
      </c>
      <c r="G44" s="2">
        <v>22386</v>
      </c>
      <c r="H44" s="2">
        <v>28211</v>
      </c>
      <c r="I44" s="2">
        <v>26130</v>
      </c>
      <c r="J44" s="2">
        <v>17173</v>
      </c>
      <c r="K44" s="2">
        <v>5718</v>
      </c>
      <c r="L44" s="2">
        <v>596</v>
      </c>
      <c r="M44" s="2">
        <v>0</v>
      </c>
      <c r="N44" s="2">
        <f>SUM(B44:M44)</f>
        <v>119700</v>
      </c>
    </row>
    <row r="45" spans="1:14" x14ac:dyDescent="0.2">
      <c r="A45">
        <v>96</v>
      </c>
      <c r="B45" s="2">
        <v>0</v>
      </c>
      <c r="C45" s="2">
        <v>0</v>
      </c>
      <c r="D45" s="2">
        <v>752</v>
      </c>
      <c r="E45" s="2">
        <v>7884</v>
      </c>
      <c r="F45" s="2">
        <v>16547</v>
      </c>
      <c r="G45" s="2">
        <v>32777</v>
      </c>
      <c r="H45" s="2">
        <v>30375</v>
      </c>
      <c r="I45" s="2">
        <v>23459</v>
      </c>
      <c r="J45" s="2">
        <v>16133</v>
      </c>
      <c r="K45" s="2">
        <v>5199</v>
      </c>
      <c r="L45" s="2">
        <v>723</v>
      </c>
      <c r="M45" s="2">
        <v>0</v>
      </c>
      <c r="N45" s="2">
        <f>SUM(B45:M45)</f>
        <v>133849</v>
      </c>
    </row>
    <row r="46" spans="1:14" x14ac:dyDescent="0.2">
      <c r="A46">
        <v>97</v>
      </c>
      <c r="B46" s="2">
        <v>0</v>
      </c>
      <c r="C46" s="2">
        <v>0</v>
      </c>
      <c r="D46" s="3">
        <v>4099</v>
      </c>
      <c r="E46" s="3">
        <v>12850</v>
      </c>
      <c r="F46" s="3">
        <v>23186</v>
      </c>
      <c r="G46" s="3">
        <v>28078</v>
      </c>
      <c r="H46" s="3">
        <v>28805</v>
      </c>
      <c r="I46" s="3">
        <v>23819</v>
      </c>
      <c r="J46" s="3">
        <v>11973</v>
      </c>
      <c r="K46" s="3">
        <v>4019</v>
      </c>
      <c r="L46" s="3">
        <v>366</v>
      </c>
      <c r="M46" s="2">
        <v>0</v>
      </c>
      <c r="N46" s="2">
        <f>SUM(B46:M46)</f>
        <v>137195</v>
      </c>
    </row>
    <row r="47" spans="1:14" x14ac:dyDescent="0.2">
      <c r="A47">
        <v>98</v>
      </c>
      <c r="B47" s="2">
        <v>0</v>
      </c>
      <c r="C47" s="2">
        <v>0</v>
      </c>
      <c r="D47" s="3">
        <v>2235</v>
      </c>
      <c r="E47" s="3">
        <v>5918</v>
      </c>
      <c r="F47" s="3">
        <v>6928</v>
      </c>
      <c r="G47" s="3">
        <v>13058</v>
      </c>
      <c r="H47" s="3">
        <v>29627</v>
      </c>
      <c r="I47" s="3">
        <v>25702</v>
      </c>
      <c r="J47" s="3">
        <v>15713</v>
      </c>
      <c r="K47" s="3">
        <v>4178</v>
      </c>
      <c r="L47" s="3">
        <v>877</v>
      </c>
      <c r="M47" s="2">
        <v>0</v>
      </c>
      <c r="N47" s="2">
        <f>SUM(B47:M47)</f>
        <v>104236</v>
      </c>
    </row>
    <row r="48" spans="1:14" x14ac:dyDescent="0.2">
      <c r="A48">
        <v>99</v>
      </c>
      <c r="B48" s="2">
        <v>0</v>
      </c>
      <c r="C48" s="2">
        <v>0</v>
      </c>
      <c r="D48" s="3">
        <v>1618</v>
      </c>
      <c r="E48" s="3">
        <v>7150</v>
      </c>
      <c r="F48" s="3">
        <v>21964</v>
      </c>
      <c r="G48" s="3">
        <v>29619</v>
      </c>
      <c r="H48" s="3">
        <v>31086</v>
      </c>
      <c r="I48" s="3">
        <v>21693</v>
      </c>
      <c r="J48" s="3">
        <v>14937</v>
      </c>
      <c r="K48" s="3">
        <v>6102</v>
      </c>
      <c r="L48" s="3">
        <v>2366</v>
      </c>
      <c r="M48" s="2">
        <v>0</v>
      </c>
      <c r="N48" s="2">
        <f>SUM(B48:M48)</f>
        <v>136535</v>
      </c>
    </row>
    <row r="49" spans="1:14" x14ac:dyDescent="0.2">
      <c r="A49" s="4" t="s">
        <v>2</v>
      </c>
      <c r="B49" s="2">
        <v>0</v>
      </c>
      <c r="C49" s="2">
        <v>0</v>
      </c>
      <c r="D49" s="3">
        <v>2273</v>
      </c>
      <c r="E49" s="3">
        <v>8417</v>
      </c>
      <c r="F49" s="3">
        <v>21313</v>
      </c>
      <c r="G49" s="3">
        <v>31512</v>
      </c>
      <c r="H49" s="3">
        <v>28474</v>
      </c>
      <c r="I49" s="3">
        <v>25174</v>
      </c>
      <c r="J49" s="3">
        <v>9286</v>
      </c>
      <c r="K49" s="3">
        <v>4419</v>
      </c>
      <c r="L49" s="3">
        <v>962</v>
      </c>
      <c r="M49" s="2">
        <v>0</v>
      </c>
      <c r="N49" s="2">
        <f>SUM(B49:M49)</f>
        <v>131830</v>
      </c>
    </row>
    <row r="51" spans="1:14" x14ac:dyDescent="0.2">
      <c r="A51" t="s">
        <v>1</v>
      </c>
      <c r="B51" s="1">
        <f>AVERAGE(B40:B49)</f>
        <v>0</v>
      </c>
      <c r="C51" s="1">
        <f>AVERAGE(C40:C49)</f>
        <v>0</v>
      </c>
      <c r="D51" s="1">
        <f>AVERAGE(D40:D49)</f>
        <v>2419.4</v>
      </c>
      <c r="E51" s="1">
        <f>AVERAGE(E40:E49)</f>
        <v>12019.4</v>
      </c>
      <c r="F51" s="1">
        <f>AVERAGE(F40:F49)</f>
        <v>17647.599999999999</v>
      </c>
      <c r="G51" s="1">
        <f>AVERAGE(G40:G49)</f>
        <v>27651.3</v>
      </c>
      <c r="H51" s="1">
        <f>AVERAGE(H40:H49)</f>
        <v>28780.7</v>
      </c>
      <c r="I51" s="1">
        <f>AVERAGE(I40:I49)</f>
        <v>24110.3</v>
      </c>
      <c r="J51" s="1">
        <f>AVERAGE(J40:J49)</f>
        <v>13402</v>
      </c>
      <c r="K51" s="1">
        <f>AVERAGE(K40:K49)</f>
        <v>4210.3</v>
      </c>
      <c r="L51" s="1">
        <f>AVERAGE(L40:L49)</f>
        <v>619.1</v>
      </c>
      <c r="M51" s="1">
        <f>AVERAGE(M40:M49)</f>
        <v>0</v>
      </c>
    </row>
    <row r="52" spans="1:14" x14ac:dyDescent="0.2">
      <c r="B52" s="1" t="s">
        <v>0</v>
      </c>
      <c r="C52" s="1" t="s">
        <v>0</v>
      </c>
      <c r="D52" s="1">
        <f>+D51</f>
        <v>2419.4</v>
      </c>
      <c r="E52" s="1">
        <f>+D52+E51</f>
        <v>14438.8</v>
      </c>
      <c r="F52" s="1">
        <f>+E52+F51</f>
        <v>32086.399999999998</v>
      </c>
      <c r="G52" s="1">
        <f>+F52+G51</f>
        <v>59737.7</v>
      </c>
      <c r="H52" s="1">
        <f>+G52+H51</f>
        <v>88518.399999999994</v>
      </c>
      <c r="I52" s="1">
        <f>+H52+I51</f>
        <v>112628.7</v>
      </c>
      <c r="J52" s="1">
        <f>+I52+J51</f>
        <v>126030.7</v>
      </c>
      <c r="K52" s="1">
        <f>+J52+K51</f>
        <v>130241</v>
      </c>
      <c r="L52" s="1">
        <f>+K52+L51</f>
        <v>130860.1</v>
      </c>
      <c r="M52" s="1">
        <f>+L52+M51</f>
        <v>130860.1</v>
      </c>
      <c r="N52" s="1">
        <f>AVERAGE(N40:N49)</f>
        <v>130860.1</v>
      </c>
    </row>
  </sheetData>
  <sheetProtection sheet="1" objects="1" scenarios="1"/>
  <pageMargins left="0.16" right="0.12" top="1" bottom="1" header="0.44" footer="0.5"/>
  <pageSetup scale="76" orientation="portrait" r:id="rId1"/>
  <headerFooter alignWithMargins="0"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" width="9.7109375" customWidth="1"/>
    <col min="2" max="2" width="10" customWidth="1"/>
    <col min="3" max="14" width="9.7109375" customWidth="1"/>
  </cols>
  <sheetData>
    <row r="1" spans="1:13" x14ac:dyDescent="0.2">
      <c r="A1" s="8" t="s">
        <v>20</v>
      </c>
      <c r="K1" s="8" t="s">
        <v>20</v>
      </c>
    </row>
    <row r="3" spans="1:13" x14ac:dyDescent="0.2">
      <c r="A3" s="12" t="s">
        <v>18</v>
      </c>
      <c r="B3" s="12" t="s">
        <v>17</v>
      </c>
      <c r="C3" s="12" t="s">
        <v>16</v>
      </c>
      <c r="D3" s="12" t="s">
        <v>15</v>
      </c>
      <c r="E3" s="12" t="s">
        <v>14</v>
      </c>
      <c r="F3" s="12" t="s">
        <v>13</v>
      </c>
      <c r="G3" s="12" t="s">
        <v>12</v>
      </c>
      <c r="H3" s="12" t="s">
        <v>11</v>
      </c>
      <c r="I3" s="12" t="s">
        <v>10</v>
      </c>
      <c r="J3" s="12" t="s">
        <v>9</v>
      </c>
      <c r="K3" s="12" t="s">
        <v>8</v>
      </c>
      <c r="L3" s="12" t="s">
        <v>7</v>
      </c>
      <c r="M3" s="12" t="s">
        <v>6</v>
      </c>
    </row>
    <row r="4" spans="1:13" x14ac:dyDescent="0.2">
      <c r="A4" s="6">
        <v>1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416</v>
      </c>
      <c r="J4" s="5">
        <v>0</v>
      </c>
      <c r="K4" s="5">
        <v>0</v>
      </c>
      <c r="L4" s="5">
        <v>0</v>
      </c>
      <c r="M4" s="5">
        <v>0</v>
      </c>
    </row>
    <row r="5" spans="1:13" x14ac:dyDescent="0.2">
      <c r="A5" s="6">
        <v>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423</v>
      </c>
      <c r="J5" s="5">
        <v>0</v>
      </c>
      <c r="K5" s="5">
        <v>0</v>
      </c>
      <c r="L5" s="5">
        <v>0</v>
      </c>
      <c r="M5" s="5">
        <v>0</v>
      </c>
    </row>
    <row r="6" spans="1:13" x14ac:dyDescent="0.2">
      <c r="A6" s="6">
        <v>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479</v>
      </c>
      <c r="J6" s="5">
        <v>0</v>
      </c>
      <c r="K6" s="5">
        <v>0</v>
      </c>
      <c r="L6" s="5">
        <v>0</v>
      </c>
      <c r="M6" s="5">
        <v>0</v>
      </c>
    </row>
    <row r="7" spans="1:13" x14ac:dyDescent="0.2">
      <c r="A7" s="6">
        <v>4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500</v>
      </c>
      <c r="J7" s="5">
        <v>0</v>
      </c>
      <c r="K7" s="5">
        <v>0</v>
      </c>
      <c r="L7" s="5">
        <v>0</v>
      </c>
      <c r="M7" s="5">
        <v>0</v>
      </c>
    </row>
    <row r="8" spans="1:13" x14ac:dyDescent="0.2">
      <c r="A8" s="6">
        <v>5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500</v>
      </c>
      <c r="J8" s="5">
        <v>0</v>
      </c>
      <c r="K8" s="5">
        <v>0</v>
      </c>
      <c r="L8" s="5">
        <v>0</v>
      </c>
      <c r="M8" s="5">
        <v>0</v>
      </c>
    </row>
    <row r="9" spans="1:13" x14ac:dyDescent="0.2">
      <c r="A9" s="6">
        <v>6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469</v>
      </c>
      <c r="J9" s="5">
        <v>0</v>
      </c>
      <c r="K9" s="5">
        <v>0</v>
      </c>
      <c r="L9" s="5">
        <v>0</v>
      </c>
      <c r="M9" s="5">
        <v>0</v>
      </c>
    </row>
    <row r="10" spans="1:13" x14ac:dyDescent="0.2">
      <c r="A10" s="6">
        <v>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456</v>
      </c>
      <c r="J10" s="5">
        <v>0</v>
      </c>
      <c r="K10" s="5">
        <v>0</v>
      </c>
      <c r="L10" s="5">
        <v>0</v>
      </c>
      <c r="M10" s="5">
        <v>0</v>
      </c>
    </row>
    <row r="11" spans="1:13" x14ac:dyDescent="0.2">
      <c r="A11" s="6">
        <v>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450</v>
      </c>
      <c r="J11" s="5">
        <v>0</v>
      </c>
      <c r="K11" s="5">
        <v>0</v>
      </c>
      <c r="L11" s="5">
        <v>0</v>
      </c>
      <c r="M11" s="5">
        <v>0</v>
      </c>
    </row>
    <row r="12" spans="1:13" x14ac:dyDescent="0.2">
      <c r="A12" s="6">
        <v>9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450</v>
      </c>
      <c r="J12" s="5">
        <v>0</v>
      </c>
      <c r="K12" s="5">
        <v>0</v>
      </c>
      <c r="L12" s="5">
        <v>0</v>
      </c>
      <c r="M12" s="5">
        <v>0</v>
      </c>
    </row>
    <row r="13" spans="1:13" x14ac:dyDescent="0.2">
      <c r="A13" s="6">
        <v>10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450</v>
      </c>
      <c r="J13" s="5">
        <v>0</v>
      </c>
      <c r="K13" s="5">
        <v>0</v>
      </c>
      <c r="L13" s="5">
        <v>0</v>
      </c>
      <c r="M13" s="5">
        <v>0</v>
      </c>
    </row>
    <row r="14" spans="1:13" x14ac:dyDescent="0.2">
      <c r="A14" s="6">
        <v>11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450</v>
      </c>
      <c r="J14" s="5">
        <v>0</v>
      </c>
      <c r="K14" s="5">
        <v>0</v>
      </c>
      <c r="L14" s="5">
        <v>0</v>
      </c>
      <c r="M14" s="5">
        <v>0</v>
      </c>
    </row>
    <row r="15" spans="1:13" x14ac:dyDescent="0.2">
      <c r="A15" s="6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450</v>
      </c>
      <c r="J15" s="5">
        <v>0</v>
      </c>
      <c r="K15" s="5">
        <v>0</v>
      </c>
      <c r="L15" s="5">
        <v>0</v>
      </c>
      <c r="M15" s="5">
        <v>0</v>
      </c>
    </row>
    <row r="16" spans="1:13" x14ac:dyDescent="0.2">
      <c r="A16" s="6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316</v>
      </c>
      <c r="J16" s="5">
        <v>0</v>
      </c>
      <c r="K16" s="5">
        <v>0</v>
      </c>
      <c r="L16" s="5">
        <v>0</v>
      </c>
      <c r="M16" s="5">
        <v>0</v>
      </c>
    </row>
    <row r="17" spans="1:13" x14ac:dyDescent="0.2">
      <c r="A17" s="6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250</v>
      </c>
      <c r="J17" s="5">
        <v>0</v>
      </c>
      <c r="K17" s="5">
        <v>0</v>
      </c>
      <c r="L17" s="5">
        <v>0</v>
      </c>
      <c r="M17" s="5">
        <v>0</v>
      </c>
    </row>
    <row r="18" spans="1:13" x14ac:dyDescent="0.2">
      <c r="A18" s="6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279</v>
      </c>
      <c r="J18" s="5">
        <v>0</v>
      </c>
      <c r="K18" s="5">
        <v>0</v>
      </c>
      <c r="L18" s="5">
        <v>0</v>
      </c>
      <c r="M18" s="5">
        <v>0</v>
      </c>
    </row>
    <row r="19" spans="1:13" x14ac:dyDescent="0.2">
      <c r="A19" s="6">
        <v>16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335</v>
      </c>
      <c r="J19" s="5">
        <v>0</v>
      </c>
      <c r="K19" s="5">
        <v>0</v>
      </c>
      <c r="L19" s="5">
        <v>0</v>
      </c>
      <c r="M19" s="5">
        <v>0</v>
      </c>
    </row>
    <row r="20" spans="1:13" x14ac:dyDescent="0.2">
      <c r="A20" s="6">
        <v>17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332</v>
      </c>
      <c r="J20" s="5">
        <v>0</v>
      </c>
      <c r="K20" s="5">
        <v>0</v>
      </c>
      <c r="L20" s="5">
        <v>0</v>
      </c>
      <c r="M20" s="5">
        <v>0</v>
      </c>
    </row>
    <row r="21" spans="1:13" x14ac:dyDescent="0.2">
      <c r="A21" s="6">
        <v>18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271</v>
      </c>
      <c r="J21" s="5">
        <v>0</v>
      </c>
      <c r="K21" s="5">
        <v>0</v>
      </c>
      <c r="L21" s="5">
        <v>0</v>
      </c>
      <c r="M21" s="5">
        <v>0</v>
      </c>
    </row>
    <row r="22" spans="1:13" x14ac:dyDescent="0.2">
      <c r="A22" s="6">
        <v>19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215</v>
      </c>
      <c r="J22" s="5">
        <v>0</v>
      </c>
      <c r="K22" s="5">
        <v>0</v>
      </c>
      <c r="L22" s="5">
        <v>0</v>
      </c>
      <c r="M22" s="5">
        <v>0</v>
      </c>
    </row>
    <row r="23" spans="1:13" x14ac:dyDescent="0.2">
      <c r="A23" s="6">
        <v>20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210</v>
      </c>
      <c r="J23" s="5">
        <v>0</v>
      </c>
      <c r="K23" s="5">
        <v>0</v>
      </c>
      <c r="L23" s="5">
        <v>0</v>
      </c>
      <c r="M23" s="5">
        <v>0</v>
      </c>
    </row>
    <row r="24" spans="1:13" x14ac:dyDescent="0.2">
      <c r="A24" s="6">
        <v>21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148</v>
      </c>
      <c r="J24" s="5">
        <v>10</v>
      </c>
      <c r="K24" s="5">
        <v>0</v>
      </c>
      <c r="L24" s="5">
        <v>0</v>
      </c>
      <c r="M24" s="5">
        <v>0</v>
      </c>
    </row>
    <row r="25" spans="1:13" x14ac:dyDescent="0.2">
      <c r="A25" s="6">
        <v>22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100</v>
      </c>
      <c r="J25" s="5">
        <v>25</v>
      </c>
      <c r="K25" s="5">
        <v>0</v>
      </c>
      <c r="L25" s="5">
        <v>0</v>
      </c>
      <c r="M25" s="5">
        <v>0</v>
      </c>
    </row>
    <row r="26" spans="1:13" x14ac:dyDescent="0.2">
      <c r="A26" s="6">
        <v>23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50</v>
      </c>
      <c r="J26" s="5">
        <v>25</v>
      </c>
      <c r="K26" s="5">
        <v>0</v>
      </c>
      <c r="L26" s="5">
        <v>0</v>
      </c>
      <c r="M26" s="5">
        <v>0</v>
      </c>
    </row>
    <row r="27" spans="1:13" x14ac:dyDescent="0.2">
      <c r="A27" s="6">
        <v>24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40</v>
      </c>
      <c r="K27" s="5">
        <v>0</v>
      </c>
      <c r="L27" s="5">
        <v>0</v>
      </c>
      <c r="M27" s="5">
        <v>0</v>
      </c>
    </row>
    <row r="28" spans="1:13" x14ac:dyDescent="0.2">
      <c r="A28" s="6">
        <v>25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58</v>
      </c>
      <c r="I28" s="5">
        <v>0</v>
      </c>
      <c r="J28" s="5">
        <v>59</v>
      </c>
      <c r="K28" s="5">
        <v>0</v>
      </c>
      <c r="L28" s="5">
        <v>0</v>
      </c>
      <c r="M28" s="5">
        <v>0</v>
      </c>
    </row>
    <row r="29" spans="1:13" x14ac:dyDescent="0.2">
      <c r="A29" s="6">
        <v>26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125</v>
      </c>
      <c r="I29" s="5">
        <v>0</v>
      </c>
      <c r="J29" s="5">
        <v>108</v>
      </c>
      <c r="K29" s="5">
        <v>0</v>
      </c>
      <c r="L29" s="5">
        <v>0</v>
      </c>
      <c r="M29" s="5">
        <v>0</v>
      </c>
    </row>
    <row r="30" spans="1:13" x14ac:dyDescent="0.2">
      <c r="A30" s="6">
        <v>27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185</v>
      </c>
      <c r="I30" s="5">
        <v>0</v>
      </c>
      <c r="J30" s="5">
        <v>100</v>
      </c>
      <c r="K30" s="5">
        <v>0</v>
      </c>
      <c r="L30" s="5">
        <v>0</v>
      </c>
      <c r="M30" s="5">
        <v>0</v>
      </c>
    </row>
    <row r="31" spans="1:13" x14ac:dyDescent="0.2">
      <c r="A31" s="6">
        <v>28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271</v>
      </c>
      <c r="I31" s="5">
        <v>0</v>
      </c>
      <c r="J31" s="5">
        <v>20</v>
      </c>
      <c r="K31" s="5">
        <v>0</v>
      </c>
      <c r="L31" s="5">
        <v>0</v>
      </c>
      <c r="M31" s="5">
        <v>0</v>
      </c>
    </row>
    <row r="32" spans="1:13" x14ac:dyDescent="0.2">
      <c r="A32" s="6">
        <v>29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365</v>
      </c>
      <c r="I32" s="5">
        <v>0</v>
      </c>
      <c r="J32" s="5">
        <v>20</v>
      </c>
      <c r="K32" s="5">
        <v>0</v>
      </c>
      <c r="L32" s="5">
        <v>0</v>
      </c>
      <c r="M32" s="5">
        <v>0</v>
      </c>
    </row>
    <row r="33" spans="1:14" x14ac:dyDescent="0.2">
      <c r="A33" s="6">
        <v>30</v>
      </c>
      <c r="B33" s="5">
        <v>0</v>
      </c>
      <c r="C33" s="8" t="s">
        <v>0</v>
      </c>
      <c r="D33" s="5">
        <v>0</v>
      </c>
      <c r="E33" s="5">
        <v>0</v>
      </c>
      <c r="F33" s="5">
        <v>0</v>
      </c>
      <c r="G33" s="5">
        <v>0</v>
      </c>
      <c r="H33" s="5">
        <v>417</v>
      </c>
      <c r="I33" s="5">
        <v>0</v>
      </c>
      <c r="J33" s="5">
        <v>15</v>
      </c>
      <c r="K33" s="5">
        <v>0</v>
      </c>
      <c r="L33" s="5">
        <v>0</v>
      </c>
      <c r="M33" s="5">
        <v>0</v>
      </c>
    </row>
    <row r="34" spans="1:14" x14ac:dyDescent="0.2">
      <c r="A34" s="6">
        <v>31</v>
      </c>
      <c r="B34" s="5">
        <v>0</v>
      </c>
      <c r="C34" s="8" t="s">
        <v>0</v>
      </c>
      <c r="D34" s="5">
        <v>0</v>
      </c>
      <c r="E34" s="8" t="s">
        <v>0</v>
      </c>
      <c r="F34" s="5">
        <v>0</v>
      </c>
      <c r="G34" s="8" t="s">
        <v>0</v>
      </c>
      <c r="H34" s="5">
        <v>450</v>
      </c>
      <c r="I34" s="5">
        <v>0</v>
      </c>
      <c r="J34" s="8" t="s">
        <v>0</v>
      </c>
      <c r="K34" s="5">
        <v>0</v>
      </c>
      <c r="L34" s="8" t="s">
        <v>0</v>
      </c>
      <c r="M34" s="5">
        <v>0</v>
      </c>
    </row>
    <row r="36" spans="1:14" x14ac:dyDescent="0.2">
      <c r="A36" s="8" t="s">
        <v>5</v>
      </c>
      <c r="B36" s="2">
        <f>SUM(B4:B35)</f>
        <v>0</v>
      </c>
      <c r="C36" s="2">
        <f>SUM(C4:C35)</f>
        <v>0</v>
      </c>
      <c r="D36" s="2">
        <f>SUM(D4:D35)</f>
        <v>0</v>
      </c>
      <c r="E36" s="2">
        <f>SUM(E4:E35)</f>
        <v>0</v>
      </c>
      <c r="F36" s="2">
        <f>SUM(F4:F35)</f>
        <v>0</v>
      </c>
      <c r="G36" s="2">
        <f>SUM(G4:G35)</f>
        <v>0</v>
      </c>
      <c r="H36" s="2">
        <f>SUM(H4:H35)</f>
        <v>1871</v>
      </c>
      <c r="I36" s="2">
        <f>SUM(I4:I35)</f>
        <v>7999</v>
      </c>
      <c r="J36" s="2">
        <f>SUM(J4:J35)</f>
        <v>422</v>
      </c>
      <c r="K36" s="2">
        <f>SUM(K4:K35)</f>
        <v>0</v>
      </c>
      <c r="L36" s="2">
        <f>SUM(L4:L35)</f>
        <v>0</v>
      </c>
      <c r="M36" s="2">
        <f>SUM(M4:M35)</f>
        <v>0</v>
      </c>
      <c r="N36" s="2"/>
    </row>
    <row r="37" spans="1:14" x14ac:dyDescent="0.2">
      <c r="A37" s="8" t="s">
        <v>4</v>
      </c>
      <c r="B37" s="2">
        <f>B36*1.98</f>
        <v>0</v>
      </c>
      <c r="C37" s="2">
        <f>C36*1.98</f>
        <v>0</v>
      </c>
      <c r="D37" s="2">
        <f>D36*1.98</f>
        <v>0</v>
      </c>
      <c r="E37" s="2">
        <f>E36*1.98</f>
        <v>0</v>
      </c>
      <c r="F37" s="2">
        <f>F36*1.98</f>
        <v>0</v>
      </c>
      <c r="G37" s="2">
        <f>G36*1.98</f>
        <v>0</v>
      </c>
      <c r="H37" s="2">
        <f>H36*1.98</f>
        <v>3704.58</v>
      </c>
      <c r="I37" s="2">
        <f>I36*1.98</f>
        <v>15838.02</v>
      </c>
      <c r="J37" s="2">
        <f>J36*1.98</f>
        <v>835.56</v>
      </c>
      <c r="K37" s="2">
        <f>K36*1.98</f>
        <v>0</v>
      </c>
      <c r="L37" s="2">
        <f>L36*1.98</f>
        <v>0</v>
      </c>
      <c r="M37" s="2">
        <f>M36*1.98</f>
        <v>0</v>
      </c>
      <c r="N37" s="2"/>
    </row>
    <row r="38" spans="1:14" x14ac:dyDescent="0.2">
      <c r="A38" s="8" t="s">
        <v>3</v>
      </c>
      <c r="B38" s="2">
        <f>+B37</f>
        <v>0</v>
      </c>
      <c r="C38" s="2">
        <f>+B38+C37</f>
        <v>0</v>
      </c>
      <c r="D38" s="2">
        <f>+C38+D37</f>
        <v>0</v>
      </c>
      <c r="E38" s="2">
        <f>+D38+E37</f>
        <v>0</v>
      </c>
      <c r="F38" s="2">
        <f>+E38+F37</f>
        <v>0</v>
      </c>
      <c r="G38" s="2">
        <f>+F38+G37</f>
        <v>0</v>
      </c>
      <c r="H38" s="2">
        <f>+G38+H37</f>
        <v>3704.58</v>
      </c>
      <c r="I38" s="2">
        <f>+H38+I37</f>
        <v>19542.599999999999</v>
      </c>
      <c r="J38" s="2">
        <f>+I38+J37</f>
        <v>20378.16</v>
      </c>
      <c r="K38" s="2">
        <f>+J38+K37</f>
        <v>20378.16</v>
      </c>
      <c r="L38" s="2">
        <f>+K38+L37</f>
        <v>20378.16</v>
      </c>
      <c r="M38" s="2">
        <f>+L38+M37</f>
        <v>20378.16</v>
      </c>
      <c r="N38" s="2"/>
    </row>
    <row r="39" spans="1:14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91</v>
      </c>
      <c r="B40" s="9">
        <v>0</v>
      </c>
      <c r="C40" s="10">
        <v>0</v>
      </c>
      <c r="D40" s="3">
        <v>2285</v>
      </c>
      <c r="E40" s="3">
        <v>16030</v>
      </c>
      <c r="F40" s="3">
        <v>2501</v>
      </c>
      <c r="G40" s="3">
        <v>20087</v>
      </c>
      <c r="H40" s="3">
        <v>19105</v>
      </c>
      <c r="I40" s="3">
        <v>13310</v>
      </c>
      <c r="J40" s="3">
        <v>5635</v>
      </c>
      <c r="K40" s="3">
        <v>4221</v>
      </c>
      <c r="L40" s="3">
        <v>0</v>
      </c>
      <c r="M40" s="3">
        <v>0</v>
      </c>
      <c r="N40" s="2">
        <f>SUM(B40:M40)</f>
        <v>83174</v>
      </c>
    </row>
    <row r="41" spans="1:14" x14ac:dyDescent="0.2">
      <c r="A41">
        <v>92</v>
      </c>
      <c r="B41" s="9">
        <v>0</v>
      </c>
      <c r="C41" s="10">
        <v>0</v>
      </c>
      <c r="D41" s="3">
        <v>1509</v>
      </c>
      <c r="E41" s="3">
        <v>20095</v>
      </c>
      <c r="F41" s="3">
        <v>17309</v>
      </c>
      <c r="G41" s="3">
        <v>19630</v>
      </c>
      <c r="H41" s="3">
        <v>15501</v>
      </c>
      <c r="I41" s="3">
        <v>15002</v>
      </c>
      <c r="J41" s="3">
        <v>4520</v>
      </c>
      <c r="K41" s="3">
        <v>0</v>
      </c>
      <c r="L41" s="3">
        <v>0</v>
      </c>
      <c r="M41" s="3">
        <v>0</v>
      </c>
      <c r="N41" s="2">
        <f>SUM(B41:M41)</f>
        <v>93566</v>
      </c>
    </row>
    <row r="42" spans="1:14" x14ac:dyDescent="0.2">
      <c r="A42">
        <v>93</v>
      </c>
      <c r="B42" s="9">
        <v>0</v>
      </c>
      <c r="C42" s="10">
        <v>0</v>
      </c>
      <c r="D42" s="11">
        <v>0</v>
      </c>
      <c r="E42" s="3">
        <v>3291</v>
      </c>
      <c r="F42" s="3">
        <v>12799</v>
      </c>
      <c r="G42" s="3">
        <v>17788</v>
      </c>
      <c r="H42" s="3">
        <v>20465</v>
      </c>
      <c r="I42" s="3">
        <v>12327</v>
      </c>
      <c r="J42" s="3">
        <v>2942</v>
      </c>
      <c r="K42" s="3">
        <v>83</v>
      </c>
      <c r="L42" s="3">
        <v>0</v>
      </c>
      <c r="M42" s="3">
        <v>0</v>
      </c>
      <c r="N42" s="2">
        <f>SUM(B42:M42)</f>
        <v>69695</v>
      </c>
    </row>
    <row r="43" spans="1:14" x14ac:dyDescent="0.2">
      <c r="A43">
        <v>94</v>
      </c>
      <c r="B43" s="9">
        <v>0</v>
      </c>
      <c r="C43" s="10">
        <v>0</v>
      </c>
      <c r="D43" s="3">
        <v>8070</v>
      </c>
      <c r="E43" s="3">
        <v>24914</v>
      </c>
      <c r="F43" s="3">
        <v>8162</v>
      </c>
      <c r="G43" s="3">
        <v>23255</v>
      </c>
      <c r="H43" s="3">
        <v>25128</v>
      </c>
      <c r="I43" s="3">
        <v>20491</v>
      </c>
      <c r="J43" s="3">
        <v>4483</v>
      </c>
      <c r="K43" s="3">
        <v>0</v>
      </c>
      <c r="L43" s="3">
        <v>0</v>
      </c>
      <c r="M43" s="3">
        <v>0</v>
      </c>
      <c r="N43" s="2">
        <f>SUM(B43:M43)</f>
        <v>114503</v>
      </c>
    </row>
    <row r="44" spans="1:14" x14ac:dyDescent="0.2">
      <c r="A44">
        <v>95</v>
      </c>
      <c r="B44" s="9">
        <v>1501</v>
      </c>
      <c r="C44" s="10">
        <v>0</v>
      </c>
      <c r="D44" s="3">
        <v>99</v>
      </c>
      <c r="E44" s="3">
        <v>2378</v>
      </c>
      <c r="F44" s="3">
        <v>5265</v>
      </c>
      <c r="G44" s="3">
        <v>13953</v>
      </c>
      <c r="H44" s="3">
        <v>19715</v>
      </c>
      <c r="I44" s="3">
        <v>16624</v>
      </c>
      <c r="J44" s="3">
        <v>3928</v>
      </c>
      <c r="K44" s="3">
        <v>430</v>
      </c>
      <c r="L44" s="3">
        <v>127</v>
      </c>
      <c r="M44" s="3">
        <v>0</v>
      </c>
      <c r="N44" s="2">
        <f>SUM(B44:M44)</f>
        <v>64020</v>
      </c>
    </row>
    <row r="45" spans="1:14" x14ac:dyDescent="0.2">
      <c r="A45">
        <v>96</v>
      </c>
      <c r="B45" s="9">
        <v>0</v>
      </c>
      <c r="C45" s="10">
        <v>0</v>
      </c>
      <c r="D45" s="3">
        <v>238</v>
      </c>
      <c r="E45" s="3">
        <v>4473</v>
      </c>
      <c r="F45" s="3">
        <v>6397</v>
      </c>
      <c r="G45" s="3">
        <v>20905</v>
      </c>
      <c r="H45" s="3">
        <v>22820</v>
      </c>
      <c r="I45" s="3">
        <v>13369</v>
      </c>
      <c r="J45" s="3">
        <v>3388</v>
      </c>
      <c r="K45" s="3">
        <v>97</v>
      </c>
      <c r="L45" s="3">
        <v>0</v>
      </c>
      <c r="M45" s="3">
        <v>0</v>
      </c>
      <c r="N45" s="2">
        <f>SUM(B45:M45)</f>
        <v>71687</v>
      </c>
    </row>
    <row r="46" spans="1:14" x14ac:dyDescent="0.2">
      <c r="A46">
        <v>97</v>
      </c>
      <c r="B46" s="9">
        <v>0</v>
      </c>
      <c r="C46" s="9">
        <v>0</v>
      </c>
      <c r="D46" s="9">
        <v>3497</v>
      </c>
      <c r="E46" s="9">
        <v>8999</v>
      </c>
      <c r="F46" s="9">
        <v>14216</v>
      </c>
      <c r="G46" s="9">
        <v>17537</v>
      </c>
      <c r="H46" s="9">
        <v>17068</v>
      </c>
      <c r="I46" s="9">
        <v>13965</v>
      </c>
      <c r="J46" s="9">
        <v>3675</v>
      </c>
      <c r="K46" s="9">
        <v>0</v>
      </c>
      <c r="L46" s="9">
        <v>0</v>
      </c>
      <c r="M46" s="9">
        <v>0</v>
      </c>
      <c r="N46" s="2">
        <f>SUM(B46:M46)</f>
        <v>78957</v>
      </c>
    </row>
    <row r="47" spans="1:14" x14ac:dyDescent="0.2">
      <c r="A47">
        <v>98</v>
      </c>
      <c r="B47" s="9">
        <v>0</v>
      </c>
      <c r="C47" s="9">
        <v>0</v>
      </c>
      <c r="D47" s="9">
        <v>743</v>
      </c>
      <c r="E47" s="9">
        <v>2063</v>
      </c>
      <c r="F47" s="9">
        <v>744</v>
      </c>
      <c r="G47" s="9">
        <v>4025</v>
      </c>
      <c r="H47" s="9">
        <v>22208</v>
      </c>
      <c r="I47" s="9">
        <v>10248</v>
      </c>
      <c r="J47" s="9">
        <v>1932</v>
      </c>
      <c r="K47" s="9">
        <v>0</v>
      </c>
      <c r="L47" s="9">
        <v>87</v>
      </c>
      <c r="M47" s="9">
        <v>0</v>
      </c>
      <c r="N47" s="2">
        <f>SUM(B47:M47)</f>
        <v>42050</v>
      </c>
    </row>
    <row r="48" spans="1:14" x14ac:dyDescent="0.2">
      <c r="A48">
        <v>99</v>
      </c>
      <c r="B48" s="9">
        <v>0</v>
      </c>
      <c r="C48" s="9">
        <v>0</v>
      </c>
      <c r="D48" s="9">
        <v>246</v>
      </c>
      <c r="E48" s="9">
        <v>1552</v>
      </c>
      <c r="F48" s="9">
        <v>12187</v>
      </c>
      <c r="G48" s="9">
        <v>18723</v>
      </c>
      <c r="H48" s="9">
        <v>20960</v>
      </c>
      <c r="I48" s="9">
        <v>9615</v>
      </c>
      <c r="J48" s="9">
        <v>2685</v>
      </c>
      <c r="K48" s="9">
        <v>1243</v>
      </c>
      <c r="L48" s="9">
        <v>1333</v>
      </c>
      <c r="M48" s="9">
        <v>0</v>
      </c>
      <c r="N48" s="2">
        <f>SUM(B48:M48)</f>
        <v>68544</v>
      </c>
    </row>
    <row r="49" spans="1:14" x14ac:dyDescent="0.2">
      <c r="A49" s="4" t="s">
        <v>2</v>
      </c>
      <c r="B49" s="9">
        <v>0</v>
      </c>
      <c r="C49" s="9">
        <v>0</v>
      </c>
      <c r="D49" s="9">
        <v>1289</v>
      </c>
      <c r="E49" s="9">
        <v>4164</v>
      </c>
      <c r="F49" s="9">
        <v>12832</v>
      </c>
      <c r="G49" s="9">
        <v>23326</v>
      </c>
      <c r="H49" s="9">
        <v>19341</v>
      </c>
      <c r="I49" s="9">
        <v>15490</v>
      </c>
      <c r="J49" s="9">
        <v>305</v>
      </c>
      <c r="K49" s="9">
        <v>4750</v>
      </c>
      <c r="L49" s="9">
        <v>0</v>
      </c>
      <c r="M49" s="9">
        <v>0</v>
      </c>
      <c r="N49" s="2">
        <f>SUM(B49:M49)</f>
        <v>81497</v>
      </c>
    </row>
    <row r="51" spans="1:14" x14ac:dyDescent="0.2">
      <c r="A51" s="8" t="s">
        <v>1</v>
      </c>
      <c r="B51" s="1">
        <f>AVERAGE(B40:B49)</f>
        <v>150.1</v>
      </c>
      <c r="C51" s="1">
        <f>AVERAGE(C40:C49)</f>
        <v>0</v>
      </c>
      <c r="D51" s="1">
        <f>AVERAGE(D40:D49)</f>
        <v>1797.6</v>
      </c>
      <c r="E51" s="1">
        <f>AVERAGE(E40:E49)</f>
        <v>8795.9</v>
      </c>
      <c r="F51" s="1">
        <f>AVERAGE(F40:F49)</f>
        <v>9241.2000000000007</v>
      </c>
      <c r="G51" s="1">
        <f>AVERAGE(G40:G49)</f>
        <v>17922.900000000001</v>
      </c>
      <c r="H51" s="1">
        <f>AVERAGE(H40:H49)</f>
        <v>20231.099999999999</v>
      </c>
      <c r="I51" s="1">
        <f>AVERAGE(I40:I49)</f>
        <v>14044.1</v>
      </c>
      <c r="J51" s="1">
        <f>AVERAGE(J40:J49)</f>
        <v>3349.3</v>
      </c>
      <c r="K51" s="1">
        <f>AVERAGE(K40:K49)</f>
        <v>1082.4000000000001</v>
      </c>
      <c r="L51" s="1">
        <f>AVERAGE(L40:L49)</f>
        <v>154.69999999999999</v>
      </c>
      <c r="M51" s="1">
        <f>AVERAGE(M40:M49)</f>
        <v>0</v>
      </c>
    </row>
    <row r="52" spans="1:14" x14ac:dyDescent="0.2">
      <c r="B52" s="1">
        <f>+B51</f>
        <v>150.1</v>
      </c>
      <c r="C52" s="1">
        <f>+B52+C51</f>
        <v>150.1</v>
      </c>
      <c r="D52" s="1">
        <f>+C52+D51</f>
        <v>1947.6999999999998</v>
      </c>
      <c r="E52" s="1">
        <f>+D52+E51</f>
        <v>10743.599999999999</v>
      </c>
      <c r="F52" s="1">
        <f>+E52+F51</f>
        <v>19984.8</v>
      </c>
      <c r="G52" s="1">
        <f>+F52+G51</f>
        <v>37907.699999999997</v>
      </c>
      <c r="H52" s="1">
        <f>+G52+H51</f>
        <v>58138.799999999996</v>
      </c>
      <c r="I52" s="1">
        <f>+H52+I51</f>
        <v>72182.899999999994</v>
      </c>
      <c r="J52" s="1">
        <f>+I52+J51</f>
        <v>75532.2</v>
      </c>
      <c r="K52" s="1">
        <f>+J52+K51</f>
        <v>76614.599999999991</v>
      </c>
      <c r="L52" s="1">
        <f>+K52+L51</f>
        <v>76769.299999999988</v>
      </c>
      <c r="M52" s="1">
        <f>+L52+M51</f>
        <v>76769.299999999988</v>
      </c>
      <c r="N52" s="1">
        <f>AVERAGE(N40:N49)</f>
        <v>76769.3</v>
      </c>
    </row>
  </sheetData>
  <sheetProtection sheet="1" objects="1" scenarios="1"/>
  <pageMargins left="0.13" right="0.14000000000000001" top="1" bottom="1" header="0.49" footer="0.5"/>
  <pageSetup scale="76" orientation="portrait" r:id="rId1"/>
  <headerFooter alignWithMargins="0">
    <oddHeader>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4" width="9.7109375" customWidth="1"/>
  </cols>
  <sheetData>
    <row r="1" spans="1:13" x14ac:dyDescent="0.2">
      <c r="A1" s="8" t="s">
        <v>22</v>
      </c>
      <c r="J1" s="8" t="s">
        <v>22</v>
      </c>
    </row>
    <row r="3" spans="1:13" x14ac:dyDescent="0.2">
      <c r="A3" s="12" t="s">
        <v>18</v>
      </c>
      <c r="B3" s="13" t="s">
        <v>21</v>
      </c>
      <c r="C3" s="13" t="s">
        <v>16</v>
      </c>
      <c r="D3" s="13" t="s">
        <v>15</v>
      </c>
      <c r="E3" s="13" t="s">
        <v>14</v>
      </c>
      <c r="F3" s="13" t="s">
        <v>13</v>
      </c>
      <c r="G3" s="13" t="s">
        <v>12</v>
      </c>
      <c r="H3" s="13" t="s">
        <v>11</v>
      </c>
      <c r="I3" s="13" t="s">
        <v>10</v>
      </c>
      <c r="J3" s="13" t="s">
        <v>9</v>
      </c>
      <c r="K3" s="13" t="s">
        <v>8</v>
      </c>
      <c r="L3" s="13" t="s">
        <v>7</v>
      </c>
      <c r="M3" s="13" t="s">
        <v>6</v>
      </c>
    </row>
    <row r="4" spans="1:13" x14ac:dyDescent="0.2">
      <c r="A4" s="6">
        <v>1</v>
      </c>
      <c r="B4" s="5">
        <v>26</v>
      </c>
      <c r="C4" s="5">
        <v>20</v>
      </c>
      <c r="D4" s="5">
        <v>15</v>
      </c>
      <c r="E4" s="5">
        <v>0</v>
      </c>
      <c r="F4" s="5">
        <v>82</v>
      </c>
      <c r="G4" s="5">
        <v>60</v>
      </c>
      <c r="H4" s="5">
        <v>167</v>
      </c>
      <c r="I4" s="5">
        <v>115</v>
      </c>
      <c r="J4" s="5">
        <v>240</v>
      </c>
      <c r="K4" s="5">
        <v>288</v>
      </c>
      <c r="L4" s="5">
        <v>0</v>
      </c>
      <c r="M4" s="5">
        <v>130</v>
      </c>
    </row>
    <row r="5" spans="1:13" x14ac:dyDescent="0.2">
      <c r="A5" s="6">
        <v>2</v>
      </c>
      <c r="B5" s="5">
        <v>21</v>
      </c>
      <c r="C5" s="5">
        <v>20</v>
      </c>
      <c r="D5" s="5">
        <v>5</v>
      </c>
      <c r="E5" s="5">
        <v>0</v>
      </c>
      <c r="F5" s="5">
        <v>48</v>
      </c>
      <c r="G5" s="5">
        <v>60</v>
      </c>
      <c r="H5" s="5">
        <v>160</v>
      </c>
      <c r="I5" s="5">
        <v>130</v>
      </c>
      <c r="J5" s="5">
        <v>120</v>
      </c>
      <c r="K5" s="5">
        <v>195</v>
      </c>
      <c r="L5" s="5">
        <v>0</v>
      </c>
      <c r="M5" s="5">
        <v>130</v>
      </c>
    </row>
    <row r="6" spans="1:13" x14ac:dyDescent="0.2">
      <c r="A6" s="6">
        <v>3</v>
      </c>
      <c r="B6" s="5">
        <v>20</v>
      </c>
      <c r="C6" s="5">
        <v>20</v>
      </c>
      <c r="D6" s="5">
        <v>0</v>
      </c>
      <c r="E6" s="5">
        <v>0</v>
      </c>
      <c r="F6" s="5">
        <v>53</v>
      </c>
      <c r="G6" s="5">
        <v>60</v>
      </c>
      <c r="H6" s="5">
        <v>146</v>
      </c>
      <c r="I6" s="5">
        <v>130</v>
      </c>
      <c r="J6" s="5">
        <v>20</v>
      </c>
      <c r="K6" s="5">
        <v>150</v>
      </c>
      <c r="L6" s="5">
        <v>0</v>
      </c>
      <c r="M6" s="5">
        <v>130</v>
      </c>
    </row>
    <row r="7" spans="1:13" x14ac:dyDescent="0.2">
      <c r="A7" s="6">
        <v>4</v>
      </c>
      <c r="B7" s="5">
        <v>20</v>
      </c>
      <c r="C7" s="5">
        <v>20</v>
      </c>
      <c r="D7" s="5">
        <v>5</v>
      </c>
      <c r="E7" s="5">
        <v>0</v>
      </c>
      <c r="F7" s="5">
        <v>56</v>
      </c>
      <c r="G7" s="5">
        <v>67</v>
      </c>
      <c r="H7" s="5">
        <v>140</v>
      </c>
      <c r="I7" s="5">
        <v>142</v>
      </c>
      <c r="J7" s="5">
        <v>20</v>
      </c>
      <c r="K7" s="5">
        <v>170</v>
      </c>
      <c r="L7" s="5">
        <v>0</v>
      </c>
      <c r="M7" s="5">
        <v>130</v>
      </c>
    </row>
    <row r="8" spans="1:13" x14ac:dyDescent="0.2">
      <c r="A8" s="6">
        <v>5</v>
      </c>
      <c r="B8" s="5">
        <v>20</v>
      </c>
      <c r="C8" s="5">
        <v>20</v>
      </c>
      <c r="D8" s="5">
        <v>28</v>
      </c>
      <c r="E8" s="5">
        <v>0</v>
      </c>
      <c r="F8" s="5">
        <v>44</v>
      </c>
      <c r="G8" s="5">
        <v>86</v>
      </c>
      <c r="H8" s="5">
        <v>140</v>
      </c>
      <c r="I8" s="5">
        <v>174</v>
      </c>
      <c r="J8" s="5">
        <v>20</v>
      </c>
      <c r="K8" s="5">
        <v>180</v>
      </c>
      <c r="L8" s="5">
        <v>0</v>
      </c>
      <c r="M8" s="5">
        <v>91</v>
      </c>
    </row>
    <row r="9" spans="1:13" x14ac:dyDescent="0.2">
      <c r="A9" s="6">
        <v>6</v>
      </c>
      <c r="B9" s="5">
        <v>20</v>
      </c>
      <c r="C9" s="5">
        <v>30</v>
      </c>
      <c r="D9" s="5">
        <v>25</v>
      </c>
      <c r="E9" s="5">
        <v>0</v>
      </c>
      <c r="F9" s="5">
        <v>30</v>
      </c>
      <c r="G9" s="5">
        <v>94</v>
      </c>
      <c r="H9" s="5">
        <v>140</v>
      </c>
      <c r="I9" s="5">
        <v>200</v>
      </c>
      <c r="J9" s="5">
        <v>31</v>
      </c>
      <c r="K9" s="5">
        <v>180</v>
      </c>
      <c r="L9" s="5">
        <v>0</v>
      </c>
      <c r="M9" s="5">
        <v>40</v>
      </c>
    </row>
    <row r="10" spans="1:13" x14ac:dyDescent="0.2">
      <c r="A10" s="6">
        <v>7</v>
      </c>
      <c r="B10" s="5">
        <v>20</v>
      </c>
      <c r="C10" s="5">
        <v>98</v>
      </c>
      <c r="D10" s="5">
        <v>23</v>
      </c>
      <c r="E10" s="5">
        <v>0</v>
      </c>
      <c r="F10" s="5">
        <v>30</v>
      </c>
      <c r="G10" s="5">
        <v>100</v>
      </c>
      <c r="H10" s="5">
        <v>140</v>
      </c>
      <c r="I10" s="5">
        <v>200</v>
      </c>
      <c r="J10" s="5">
        <v>87</v>
      </c>
      <c r="K10" s="5">
        <v>180</v>
      </c>
      <c r="L10" s="5">
        <v>0</v>
      </c>
      <c r="M10" s="5">
        <v>40</v>
      </c>
    </row>
    <row r="11" spans="1:13" x14ac:dyDescent="0.2">
      <c r="A11" s="6">
        <v>8</v>
      </c>
      <c r="B11" s="5">
        <v>23</v>
      </c>
      <c r="C11" s="5">
        <v>25</v>
      </c>
      <c r="D11" s="5">
        <v>20</v>
      </c>
      <c r="E11" s="5">
        <v>0</v>
      </c>
      <c r="F11" s="5">
        <v>26</v>
      </c>
      <c r="G11" s="5">
        <v>108</v>
      </c>
      <c r="H11" s="5">
        <v>140</v>
      </c>
      <c r="I11" s="5">
        <v>200</v>
      </c>
      <c r="J11" s="5">
        <v>140</v>
      </c>
      <c r="K11" s="5">
        <v>143</v>
      </c>
      <c r="L11" s="5">
        <v>0</v>
      </c>
      <c r="M11" s="5">
        <v>40</v>
      </c>
    </row>
    <row r="12" spans="1:13" x14ac:dyDescent="0.2">
      <c r="A12" s="6">
        <v>9</v>
      </c>
      <c r="B12" s="5">
        <v>30</v>
      </c>
      <c r="C12" s="5">
        <v>25</v>
      </c>
      <c r="D12" s="5">
        <v>20</v>
      </c>
      <c r="E12" s="5">
        <v>0</v>
      </c>
      <c r="F12" s="5">
        <v>12</v>
      </c>
      <c r="G12" s="5">
        <v>120</v>
      </c>
      <c r="H12" s="5">
        <v>133</v>
      </c>
      <c r="I12" s="5">
        <v>187</v>
      </c>
      <c r="J12" s="5">
        <v>160</v>
      </c>
      <c r="K12" s="5">
        <v>120</v>
      </c>
      <c r="L12" s="5">
        <v>0</v>
      </c>
      <c r="M12" s="5">
        <v>40</v>
      </c>
    </row>
    <row r="13" spans="1:13" x14ac:dyDescent="0.2">
      <c r="A13" s="6">
        <v>10</v>
      </c>
      <c r="B13" s="5">
        <v>30</v>
      </c>
      <c r="C13" s="5">
        <v>25</v>
      </c>
      <c r="D13" s="5">
        <v>13</v>
      </c>
      <c r="E13" s="5">
        <v>0</v>
      </c>
      <c r="F13" s="5">
        <v>5</v>
      </c>
      <c r="G13" s="5">
        <v>120</v>
      </c>
      <c r="H13" s="5">
        <v>120</v>
      </c>
      <c r="I13" s="5">
        <v>160</v>
      </c>
      <c r="J13" s="5">
        <v>160</v>
      </c>
      <c r="K13" s="5">
        <v>120</v>
      </c>
      <c r="L13" s="5">
        <v>0</v>
      </c>
      <c r="M13" s="5">
        <v>40</v>
      </c>
    </row>
    <row r="14" spans="1:13" x14ac:dyDescent="0.2">
      <c r="A14" s="6">
        <v>11</v>
      </c>
      <c r="B14" s="5">
        <v>32</v>
      </c>
      <c r="C14" s="5">
        <v>25</v>
      </c>
      <c r="D14" s="5">
        <v>0</v>
      </c>
      <c r="E14" s="5">
        <v>0</v>
      </c>
      <c r="F14" s="5">
        <v>5</v>
      </c>
      <c r="G14" s="5">
        <v>120</v>
      </c>
      <c r="H14" s="5">
        <v>124</v>
      </c>
      <c r="I14" s="5">
        <v>140</v>
      </c>
      <c r="J14" s="5">
        <v>160</v>
      </c>
      <c r="K14" s="5">
        <v>120</v>
      </c>
      <c r="L14" s="5">
        <v>0</v>
      </c>
      <c r="M14" s="5">
        <v>40</v>
      </c>
    </row>
    <row r="15" spans="1:13" x14ac:dyDescent="0.2">
      <c r="A15" s="6">
        <v>12</v>
      </c>
      <c r="B15" s="5">
        <v>40</v>
      </c>
      <c r="C15" s="5">
        <v>16</v>
      </c>
      <c r="D15" s="5">
        <v>0</v>
      </c>
      <c r="E15" s="5">
        <v>0</v>
      </c>
      <c r="F15" s="5">
        <v>5</v>
      </c>
      <c r="G15" s="5">
        <v>120</v>
      </c>
      <c r="H15" s="5">
        <v>130</v>
      </c>
      <c r="I15" s="5">
        <v>152</v>
      </c>
      <c r="J15" s="5">
        <v>133</v>
      </c>
      <c r="K15" s="5">
        <v>150</v>
      </c>
      <c r="L15" s="5">
        <v>0</v>
      </c>
      <c r="M15" s="5">
        <v>40</v>
      </c>
    </row>
    <row r="16" spans="1:13" x14ac:dyDescent="0.2">
      <c r="A16" s="6">
        <v>13</v>
      </c>
      <c r="B16" s="5">
        <v>40</v>
      </c>
      <c r="C16" s="5">
        <v>0</v>
      </c>
      <c r="D16" s="5">
        <v>0</v>
      </c>
      <c r="E16" s="5">
        <v>10</v>
      </c>
      <c r="F16" s="5">
        <v>5</v>
      </c>
      <c r="G16" s="5">
        <v>120</v>
      </c>
      <c r="H16" s="5">
        <v>130</v>
      </c>
      <c r="I16" s="5">
        <v>276</v>
      </c>
      <c r="J16" s="5">
        <v>80</v>
      </c>
      <c r="K16" s="5">
        <v>210</v>
      </c>
      <c r="L16" s="5">
        <v>0</v>
      </c>
      <c r="M16" s="5">
        <v>32</v>
      </c>
    </row>
    <row r="17" spans="1:13" x14ac:dyDescent="0.2">
      <c r="A17" s="6">
        <v>14</v>
      </c>
      <c r="B17" s="5">
        <v>40</v>
      </c>
      <c r="C17" s="5">
        <v>0</v>
      </c>
      <c r="D17" s="5">
        <v>0</v>
      </c>
      <c r="E17" s="5">
        <v>5</v>
      </c>
      <c r="F17" s="5">
        <v>7</v>
      </c>
      <c r="G17" s="5">
        <v>120</v>
      </c>
      <c r="H17" s="5">
        <v>130</v>
      </c>
      <c r="I17" s="5">
        <v>210</v>
      </c>
      <c r="J17" s="5">
        <v>80</v>
      </c>
      <c r="K17" s="5">
        <v>210</v>
      </c>
      <c r="L17" s="5">
        <v>0</v>
      </c>
      <c r="M17" s="5">
        <v>20</v>
      </c>
    </row>
    <row r="18" spans="1:13" x14ac:dyDescent="0.2">
      <c r="A18" s="6">
        <v>15</v>
      </c>
      <c r="B18" s="5">
        <v>40</v>
      </c>
      <c r="C18" s="5">
        <v>0</v>
      </c>
      <c r="D18" s="5">
        <v>0</v>
      </c>
      <c r="E18" s="5">
        <v>0</v>
      </c>
      <c r="F18" s="5">
        <v>29</v>
      </c>
      <c r="G18" s="5">
        <v>120</v>
      </c>
      <c r="H18" s="5">
        <v>130</v>
      </c>
      <c r="I18" s="5">
        <v>175</v>
      </c>
      <c r="J18" s="5">
        <v>80</v>
      </c>
      <c r="K18" s="5">
        <v>210</v>
      </c>
      <c r="L18" s="5">
        <v>0</v>
      </c>
      <c r="M18" s="5">
        <v>20</v>
      </c>
    </row>
    <row r="19" spans="1:13" x14ac:dyDescent="0.2">
      <c r="A19" s="6">
        <v>16</v>
      </c>
      <c r="B19" s="5">
        <v>40</v>
      </c>
      <c r="C19" s="5">
        <v>0</v>
      </c>
      <c r="D19" s="5">
        <v>0</v>
      </c>
      <c r="E19" s="5">
        <v>0</v>
      </c>
      <c r="F19" s="5">
        <v>74</v>
      </c>
      <c r="G19" s="5">
        <v>110</v>
      </c>
      <c r="H19" s="5">
        <v>152</v>
      </c>
      <c r="I19" s="5">
        <v>160</v>
      </c>
      <c r="J19" s="5">
        <v>71</v>
      </c>
      <c r="K19" s="5">
        <v>160</v>
      </c>
      <c r="L19" s="5">
        <v>0</v>
      </c>
      <c r="M19" s="5">
        <v>20</v>
      </c>
    </row>
    <row r="20" spans="1:13" x14ac:dyDescent="0.2">
      <c r="A20" s="6">
        <v>17</v>
      </c>
      <c r="B20" s="5">
        <v>26</v>
      </c>
      <c r="C20" s="5">
        <v>0</v>
      </c>
      <c r="D20" s="5">
        <v>0</v>
      </c>
      <c r="E20" s="5">
        <v>3</v>
      </c>
      <c r="F20" s="5">
        <v>100</v>
      </c>
      <c r="G20" s="5">
        <v>95</v>
      </c>
      <c r="H20" s="5">
        <v>167</v>
      </c>
      <c r="I20" s="5">
        <v>188</v>
      </c>
      <c r="J20" s="5">
        <v>60</v>
      </c>
      <c r="K20" s="5">
        <v>101</v>
      </c>
      <c r="L20" s="5">
        <v>0</v>
      </c>
      <c r="M20" s="5">
        <v>20</v>
      </c>
    </row>
    <row r="21" spans="1:13" x14ac:dyDescent="0.2">
      <c r="A21" s="6">
        <v>18</v>
      </c>
      <c r="B21" s="5">
        <v>20</v>
      </c>
      <c r="C21" s="5">
        <v>0</v>
      </c>
      <c r="D21" s="5">
        <v>0</v>
      </c>
      <c r="E21" s="5">
        <v>13</v>
      </c>
      <c r="F21" s="5">
        <v>110</v>
      </c>
      <c r="G21" s="5">
        <v>83</v>
      </c>
      <c r="H21" s="5">
        <v>170</v>
      </c>
      <c r="I21" s="5">
        <v>228</v>
      </c>
      <c r="J21" s="5">
        <v>54</v>
      </c>
      <c r="K21" s="5">
        <v>70</v>
      </c>
      <c r="L21" s="5">
        <v>0</v>
      </c>
      <c r="M21" s="5">
        <v>20</v>
      </c>
    </row>
    <row r="22" spans="1:13" x14ac:dyDescent="0.2">
      <c r="A22" s="6">
        <v>19</v>
      </c>
      <c r="B22" s="5">
        <v>20</v>
      </c>
      <c r="C22" s="5">
        <v>0</v>
      </c>
      <c r="D22" s="5">
        <v>0</v>
      </c>
      <c r="E22" s="5">
        <v>34</v>
      </c>
      <c r="F22" s="5">
        <v>143</v>
      </c>
      <c r="G22" s="5">
        <v>86</v>
      </c>
      <c r="H22" s="5">
        <v>170</v>
      </c>
      <c r="I22" s="5">
        <v>261</v>
      </c>
      <c r="J22" s="5">
        <v>110</v>
      </c>
      <c r="K22" s="5">
        <v>70</v>
      </c>
      <c r="L22" s="5">
        <v>0</v>
      </c>
      <c r="M22" s="5">
        <v>20</v>
      </c>
    </row>
    <row r="23" spans="1:13" x14ac:dyDescent="0.2">
      <c r="A23" s="6">
        <v>20</v>
      </c>
      <c r="B23" s="5">
        <v>20</v>
      </c>
      <c r="C23" s="5">
        <v>0</v>
      </c>
      <c r="D23" s="5">
        <v>0</v>
      </c>
      <c r="E23" s="5">
        <v>40</v>
      </c>
      <c r="F23" s="5">
        <v>150</v>
      </c>
      <c r="G23" s="5">
        <v>90</v>
      </c>
      <c r="H23" s="5">
        <v>170</v>
      </c>
      <c r="I23" s="5">
        <v>286</v>
      </c>
      <c r="J23" s="5">
        <v>194</v>
      </c>
      <c r="K23" s="5">
        <v>50</v>
      </c>
      <c r="L23" s="5">
        <v>0</v>
      </c>
      <c r="M23" s="5">
        <v>20</v>
      </c>
    </row>
    <row r="24" spans="1:13" x14ac:dyDescent="0.2">
      <c r="A24" s="6">
        <v>21</v>
      </c>
      <c r="B24" s="5">
        <v>20</v>
      </c>
      <c r="C24" s="5">
        <v>0</v>
      </c>
      <c r="D24" s="5">
        <v>0</v>
      </c>
      <c r="E24" s="5">
        <v>40</v>
      </c>
      <c r="F24" s="5">
        <v>150</v>
      </c>
      <c r="G24" s="5">
        <v>98</v>
      </c>
      <c r="H24" s="5">
        <v>159</v>
      </c>
      <c r="I24" s="5">
        <v>355</v>
      </c>
      <c r="J24" s="5">
        <v>217</v>
      </c>
      <c r="K24" s="5">
        <v>24</v>
      </c>
      <c r="L24" s="5">
        <v>0</v>
      </c>
      <c r="M24" s="5">
        <v>20</v>
      </c>
    </row>
    <row r="25" spans="1:13" x14ac:dyDescent="0.2">
      <c r="A25" s="6">
        <v>22</v>
      </c>
      <c r="B25" s="5">
        <v>20</v>
      </c>
      <c r="C25" s="5">
        <v>0</v>
      </c>
      <c r="D25" s="5">
        <v>0</v>
      </c>
      <c r="E25" s="5">
        <v>52</v>
      </c>
      <c r="F25" s="5">
        <v>150</v>
      </c>
      <c r="G25" s="5">
        <v>110</v>
      </c>
      <c r="H25" s="5">
        <v>150</v>
      </c>
      <c r="I25" s="5">
        <v>378</v>
      </c>
      <c r="J25" s="5">
        <v>230</v>
      </c>
      <c r="K25" s="5">
        <v>13</v>
      </c>
      <c r="L25" s="5">
        <v>0</v>
      </c>
      <c r="M25" s="5">
        <v>20</v>
      </c>
    </row>
    <row r="26" spans="1:13" x14ac:dyDescent="0.2">
      <c r="A26" s="6">
        <v>23</v>
      </c>
      <c r="B26" s="5">
        <v>20</v>
      </c>
      <c r="C26" s="5">
        <v>17</v>
      </c>
      <c r="D26" s="5">
        <v>0</v>
      </c>
      <c r="E26" s="5">
        <v>55</v>
      </c>
      <c r="F26" s="5">
        <v>138</v>
      </c>
      <c r="G26" s="5">
        <v>110</v>
      </c>
      <c r="H26" s="5">
        <v>150</v>
      </c>
      <c r="I26" s="5">
        <v>316</v>
      </c>
      <c r="J26" s="5">
        <v>230</v>
      </c>
      <c r="K26" s="5">
        <v>0</v>
      </c>
      <c r="L26" s="5">
        <v>0</v>
      </c>
      <c r="M26" s="5">
        <v>20</v>
      </c>
    </row>
    <row r="27" spans="1:13" x14ac:dyDescent="0.2">
      <c r="A27" s="6">
        <v>24</v>
      </c>
      <c r="B27" s="5">
        <v>20</v>
      </c>
      <c r="C27" s="5">
        <v>25</v>
      </c>
      <c r="D27" s="5">
        <v>0</v>
      </c>
      <c r="E27" s="5">
        <v>39</v>
      </c>
      <c r="F27" s="5">
        <v>101</v>
      </c>
      <c r="G27" s="5">
        <v>110</v>
      </c>
      <c r="H27" s="5">
        <v>150</v>
      </c>
      <c r="I27" s="5">
        <v>300</v>
      </c>
      <c r="J27" s="5">
        <v>230</v>
      </c>
      <c r="K27" s="5">
        <v>0</v>
      </c>
      <c r="L27" s="5">
        <v>0</v>
      </c>
      <c r="M27" s="5">
        <v>20</v>
      </c>
    </row>
    <row r="28" spans="1:13" x14ac:dyDescent="0.2">
      <c r="A28" s="6">
        <v>25</v>
      </c>
      <c r="B28" s="5">
        <v>20</v>
      </c>
      <c r="C28" s="5">
        <v>25</v>
      </c>
      <c r="D28" s="5">
        <v>0</v>
      </c>
      <c r="E28" s="5">
        <v>35</v>
      </c>
      <c r="F28" s="5">
        <v>70</v>
      </c>
      <c r="G28" s="5">
        <v>112</v>
      </c>
      <c r="H28" s="5">
        <v>118</v>
      </c>
      <c r="I28" s="5">
        <v>253</v>
      </c>
      <c r="J28" s="5">
        <v>230</v>
      </c>
      <c r="K28" s="5">
        <v>0</v>
      </c>
      <c r="L28" s="5">
        <v>0</v>
      </c>
      <c r="M28" s="5">
        <v>20</v>
      </c>
    </row>
    <row r="29" spans="1:13" x14ac:dyDescent="0.2">
      <c r="A29" s="6">
        <v>26</v>
      </c>
      <c r="B29" s="5">
        <v>20</v>
      </c>
      <c r="C29" s="5">
        <v>19</v>
      </c>
      <c r="D29" s="5">
        <v>0</v>
      </c>
      <c r="E29" s="5">
        <v>77</v>
      </c>
      <c r="F29" s="5">
        <v>60</v>
      </c>
      <c r="G29" s="5">
        <v>122</v>
      </c>
      <c r="H29" s="5">
        <v>100</v>
      </c>
      <c r="I29" s="5">
        <v>220</v>
      </c>
      <c r="J29" s="5">
        <v>297</v>
      </c>
      <c r="K29" s="5">
        <v>0</v>
      </c>
      <c r="L29" s="5">
        <v>17</v>
      </c>
      <c r="M29" s="5">
        <v>20</v>
      </c>
    </row>
    <row r="30" spans="1:13" x14ac:dyDescent="0.2">
      <c r="A30" s="6">
        <v>27</v>
      </c>
      <c r="B30" s="5">
        <v>20</v>
      </c>
      <c r="C30" s="5">
        <v>15</v>
      </c>
      <c r="D30" s="5">
        <v>0</v>
      </c>
      <c r="E30" s="5">
        <v>115</v>
      </c>
      <c r="F30" s="5">
        <v>60</v>
      </c>
      <c r="G30" s="5">
        <v>136</v>
      </c>
      <c r="H30" s="5">
        <v>100</v>
      </c>
      <c r="I30" s="5">
        <v>220</v>
      </c>
      <c r="J30" s="5">
        <v>355</v>
      </c>
      <c r="K30" s="5">
        <v>0</v>
      </c>
      <c r="L30" s="5">
        <v>58</v>
      </c>
      <c r="M30" s="5">
        <v>20</v>
      </c>
    </row>
    <row r="31" spans="1:13" x14ac:dyDescent="0.2">
      <c r="A31" s="6">
        <v>28</v>
      </c>
      <c r="B31" s="5">
        <v>20</v>
      </c>
      <c r="C31" s="5">
        <v>15</v>
      </c>
      <c r="D31" s="5">
        <v>0</v>
      </c>
      <c r="E31" s="5">
        <v>123</v>
      </c>
      <c r="F31" s="5">
        <v>60</v>
      </c>
      <c r="G31" s="5">
        <v>143</v>
      </c>
      <c r="H31" s="5">
        <v>72</v>
      </c>
      <c r="I31" s="5">
        <v>220</v>
      </c>
      <c r="J31" s="5">
        <v>370</v>
      </c>
      <c r="K31" s="5">
        <v>0</v>
      </c>
      <c r="L31" s="5">
        <v>60</v>
      </c>
      <c r="M31" s="5">
        <v>20</v>
      </c>
    </row>
    <row r="32" spans="1:13" x14ac:dyDescent="0.2">
      <c r="A32" s="6">
        <v>29</v>
      </c>
      <c r="B32" s="5">
        <v>20</v>
      </c>
      <c r="C32" s="5">
        <v>0</v>
      </c>
      <c r="D32" s="5">
        <v>0</v>
      </c>
      <c r="E32" s="5">
        <v>130</v>
      </c>
      <c r="F32" s="5">
        <v>60</v>
      </c>
      <c r="G32" s="5">
        <v>170</v>
      </c>
      <c r="H32" s="5">
        <v>40</v>
      </c>
      <c r="I32" s="5">
        <v>240</v>
      </c>
      <c r="J32" s="5">
        <v>370</v>
      </c>
      <c r="K32" s="5">
        <v>0</v>
      </c>
      <c r="L32" s="5">
        <v>94</v>
      </c>
      <c r="M32" s="5">
        <v>20</v>
      </c>
    </row>
    <row r="33" spans="1:14" x14ac:dyDescent="0.2">
      <c r="A33" s="6">
        <v>30</v>
      </c>
      <c r="B33" s="5">
        <v>20</v>
      </c>
      <c r="C33" s="8" t="s">
        <v>0</v>
      </c>
      <c r="D33" s="5">
        <v>0</v>
      </c>
      <c r="E33" s="5">
        <v>116</v>
      </c>
      <c r="F33" s="5">
        <v>60</v>
      </c>
      <c r="G33" s="5">
        <v>185</v>
      </c>
      <c r="H33" s="5">
        <v>48</v>
      </c>
      <c r="I33" s="5">
        <v>240</v>
      </c>
      <c r="J33" s="5">
        <v>326</v>
      </c>
      <c r="K33" s="5">
        <v>0</v>
      </c>
      <c r="L33" s="5">
        <v>130</v>
      </c>
      <c r="M33" s="5">
        <v>20</v>
      </c>
    </row>
    <row r="34" spans="1:14" x14ac:dyDescent="0.2">
      <c r="A34" s="6">
        <v>31</v>
      </c>
      <c r="B34" s="5">
        <v>20</v>
      </c>
      <c r="C34" s="8" t="s">
        <v>0</v>
      </c>
      <c r="D34" s="5">
        <v>0</v>
      </c>
      <c r="E34" s="8" t="s">
        <v>0</v>
      </c>
      <c r="F34" s="5">
        <v>60</v>
      </c>
      <c r="G34" s="8" t="s">
        <v>0</v>
      </c>
      <c r="H34" s="5">
        <v>78</v>
      </c>
      <c r="I34" s="5">
        <v>240</v>
      </c>
      <c r="J34" s="8" t="s">
        <v>0</v>
      </c>
      <c r="K34" s="5">
        <v>0</v>
      </c>
      <c r="L34" s="8" t="s">
        <v>0</v>
      </c>
      <c r="M34" s="5">
        <v>20</v>
      </c>
    </row>
    <row r="36" spans="1:14" x14ac:dyDescent="0.2">
      <c r="A36" s="8" t="s">
        <v>5</v>
      </c>
      <c r="B36" s="2">
        <f>SUM(B4:B35)</f>
        <v>768</v>
      </c>
      <c r="C36" s="2">
        <f>SUM(C4:C35)</f>
        <v>460</v>
      </c>
      <c r="D36" s="2">
        <f>SUM(D4:D35)</f>
        <v>154</v>
      </c>
      <c r="E36" s="2">
        <f>SUM(E4:E35)</f>
        <v>887</v>
      </c>
      <c r="F36" s="2">
        <f>SUM(F4:F35)</f>
        <v>1983</v>
      </c>
      <c r="G36" s="2">
        <f>SUM(G4:G35)</f>
        <v>3235</v>
      </c>
      <c r="H36" s="2">
        <f>SUM(H4:H35)</f>
        <v>4064</v>
      </c>
      <c r="I36" s="2">
        <f>SUM(I4:I35)</f>
        <v>6696</v>
      </c>
      <c r="J36" s="2">
        <f>SUM(J4:J35)</f>
        <v>4875</v>
      </c>
      <c r="K36" s="2">
        <f>SUM(K4:K35)</f>
        <v>3114</v>
      </c>
      <c r="L36" s="2">
        <f>SUM(L4:L35)</f>
        <v>359</v>
      </c>
      <c r="M36" s="2">
        <f>SUM(M4:M35)</f>
        <v>1283</v>
      </c>
      <c r="N36" s="2"/>
    </row>
    <row r="37" spans="1:14" x14ac:dyDescent="0.2">
      <c r="A37" s="8" t="s">
        <v>4</v>
      </c>
      <c r="B37" s="2">
        <f>B36*1.98</f>
        <v>1520.6399999999999</v>
      </c>
      <c r="C37" s="2">
        <f>C36*1.98</f>
        <v>910.8</v>
      </c>
      <c r="D37" s="2">
        <f>D36*1.98</f>
        <v>304.92</v>
      </c>
      <c r="E37" s="2">
        <f>E36*1.98</f>
        <v>1756.26</v>
      </c>
      <c r="F37" s="2">
        <f>F36*1.98</f>
        <v>3926.34</v>
      </c>
      <c r="G37" s="2">
        <f>G36*1.98</f>
        <v>6405.3</v>
      </c>
      <c r="H37" s="2">
        <f>H36*1.98</f>
        <v>8046.72</v>
      </c>
      <c r="I37" s="2">
        <f>I36*1.98</f>
        <v>13258.08</v>
      </c>
      <c r="J37" s="2">
        <f>J36*1.98</f>
        <v>9652.5</v>
      </c>
      <c r="K37" s="2">
        <f>K36*1.98</f>
        <v>6165.72</v>
      </c>
      <c r="L37" s="2">
        <f>L36*1.98</f>
        <v>710.82</v>
      </c>
      <c r="M37" s="2">
        <f>M36*1.98</f>
        <v>2540.34</v>
      </c>
      <c r="N37" s="2"/>
    </row>
    <row r="38" spans="1:14" x14ac:dyDescent="0.2">
      <c r="A38" s="8" t="s">
        <v>3</v>
      </c>
      <c r="B38" s="2">
        <f>+B37</f>
        <v>1520.6399999999999</v>
      </c>
      <c r="C38" s="2">
        <f>+B38+C37</f>
        <v>2431.4399999999996</v>
      </c>
      <c r="D38" s="2">
        <f>+C38+D37</f>
        <v>2736.3599999999997</v>
      </c>
      <c r="E38" s="2">
        <f>+D38+E37</f>
        <v>4492.62</v>
      </c>
      <c r="F38" s="2">
        <f>+E38+F37</f>
        <v>8418.9599999999991</v>
      </c>
      <c r="G38" s="2">
        <f>+F38+G37</f>
        <v>14824.259999999998</v>
      </c>
      <c r="H38" s="2">
        <f>+G38+H37</f>
        <v>22870.98</v>
      </c>
      <c r="I38" s="2">
        <f>+H38+I37</f>
        <v>36129.06</v>
      </c>
      <c r="J38" s="2">
        <f>+I38+J37</f>
        <v>45781.56</v>
      </c>
      <c r="K38" s="2">
        <f>+J38+K37</f>
        <v>51947.28</v>
      </c>
      <c r="L38" s="2">
        <f>+K38+L37</f>
        <v>52658.1</v>
      </c>
      <c r="M38" s="2">
        <f>+L38+M37</f>
        <v>55198.44</v>
      </c>
      <c r="N38" s="2"/>
    </row>
    <row r="39" spans="1:14" x14ac:dyDescent="0.2">
      <c r="B39" s="2" t="s"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">
      <c r="A40">
        <v>91</v>
      </c>
      <c r="B40" s="2">
        <v>1566</v>
      </c>
      <c r="C40" s="2">
        <v>1608</v>
      </c>
      <c r="D40" s="2">
        <v>289</v>
      </c>
      <c r="E40" s="2">
        <v>0</v>
      </c>
      <c r="F40" s="2">
        <v>1253</v>
      </c>
      <c r="G40" s="2">
        <v>905</v>
      </c>
      <c r="H40" s="2">
        <v>174</v>
      </c>
      <c r="I40" s="2">
        <v>34</v>
      </c>
      <c r="J40" s="2">
        <v>960</v>
      </c>
      <c r="K40" s="2">
        <v>1857</v>
      </c>
      <c r="L40" s="2">
        <v>1736</v>
      </c>
      <c r="M40" s="2">
        <v>1436</v>
      </c>
      <c r="N40" s="2">
        <f>SUM(B40:M40)</f>
        <v>11818</v>
      </c>
    </row>
    <row r="41" spans="1:14" x14ac:dyDescent="0.2">
      <c r="A41">
        <v>92</v>
      </c>
      <c r="B41" s="2">
        <v>1536</v>
      </c>
      <c r="C41" s="2">
        <v>1279</v>
      </c>
      <c r="D41" s="2">
        <v>507</v>
      </c>
      <c r="E41" s="2">
        <v>0</v>
      </c>
      <c r="F41" s="2">
        <v>784</v>
      </c>
      <c r="G41" s="2">
        <v>248</v>
      </c>
      <c r="H41" s="2">
        <v>18</v>
      </c>
      <c r="I41" s="2">
        <v>16</v>
      </c>
      <c r="J41" s="2">
        <v>3338</v>
      </c>
      <c r="K41" s="2">
        <v>3534</v>
      </c>
      <c r="L41" s="2">
        <v>1536</v>
      </c>
      <c r="M41" s="2">
        <v>1857</v>
      </c>
      <c r="N41" s="2">
        <f>SUM(B41:M41)</f>
        <v>14653</v>
      </c>
    </row>
    <row r="42" spans="1:14" x14ac:dyDescent="0.2">
      <c r="A42">
        <v>93</v>
      </c>
      <c r="B42" s="2">
        <v>1879</v>
      </c>
      <c r="C42" s="2">
        <v>3861</v>
      </c>
      <c r="D42" s="2">
        <v>8928</v>
      </c>
      <c r="E42" s="2">
        <v>2950</v>
      </c>
      <c r="F42" s="2">
        <v>3132</v>
      </c>
      <c r="G42" s="2">
        <v>743</v>
      </c>
      <c r="H42" s="2">
        <v>713</v>
      </c>
      <c r="I42" s="2">
        <v>507</v>
      </c>
      <c r="J42" s="2">
        <v>2192</v>
      </c>
      <c r="K42" s="2">
        <v>1618</v>
      </c>
      <c r="L42" s="2">
        <v>935</v>
      </c>
      <c r="M42" s="2">
        <v>1505</v>
      </c>
      <c r="N42" s="2">
        <f>SUM(B42:M42)</f>
        <v>28963</v>
      </c>
    </row>
    <row r="43" spans="1:14" x14ac:dyDescent="0.2">
      <c r="A43">
        <v>94</v>
      </c>
      <c r="B43" s="2">
        <v>1253</v>
      </c>
      <c r="C43" s="2">
        <v>921</v>
      </c>
      <c r="D43" s="2">
        <v>267</v>
      </c>
      <c r="E43" s="2">
        <v>3113</v>
      </c>
      <c r="F43" s="2">
        <v>3243</v>
      </c>
      <c r="G43" s="2">
        <v>546</v>
      </c>
      <c r="H43" s="2">
        <v>404</v>
      </c>
      <c r="I43" s="2">
        <v>141</v>
      </c>
      <c r="J43" s="2">
        <v>1447</v>
      </c>
      <c r="K43" s="2">
        <v>1984</v>
      </c>
      <c r="L43" s="2">
        <v>1325</v>
      </c>
      <c r="M43" s="2">
        <v>1600</v>
      </c>
      <c r="N43" s="2">
        <f>SUM(B43:M43)</f>
        <v>16244</v>
      </c>
    </row>
    <row r="44" spans="1:14" x14ac:dyDescent="0.2">
      <c r="A44">
        <v>95</v>
      </c>
      <c r="B44" s="2">
        <v>6235</v>
      </c>
      <c r="C44" s="2">
        <v>3572</v>
      </c>
      <c r="D44" s="2">
        <v>2404</v>
      </c>
      <c r="E44" s="2">
        <v>1788</v>
      </c>
      <c r="F44" s="2">
        <v>1893</v>
      </c>
      <c r="G44" s="2">
        <v>616</v>
      </c>
      <c r="H44" s="2">
        <v>600</v>
      </c>
      <c r="I44" s="2">
        <v>158</v>
      </c>
      <c r="J44" s="2">
        <v>1178</v>
      </c>
      <c r="K44" s="2">
        <v>2429</v>
      </c>
      <c r="L44" s="2">
        <v>1093</v>
      </c>
      <c r="M44" s="2">
        <v>3039</v>
      </c>
      <c r="N44" s="2">
        <f>SUM(B44:M44)</f>
        <v>25005</v>
      </c>
    </row>
    <row r="45" spans="1:14" x14ac:dyDescent="0.2">
      <c r="A45">
        <v>96</v>
      </c>
      <c r="B45" s="2">
        <v>3647</v>
      </c>
      <c r="C45" s="2">
        <v>14125</v>
      </c>
      <c r="D45" s="2">
        <v>3051</v>
      </c>
      <c r="E45" s="2">
        <v>2873</v>
      </c>
      <c r="F45" s="2">
        <v>3233</v>
      </c>
      <c r="G45" s="2">
        <v>756</v>
      </c>
      <c r="H45" s="2">
        <v>386</v>
      </c>
      <c r="I45" s="2">
        <v>265</v>
      </c>
      <c r="J45" s="2">
        <v>378</v>
      </c>
      <c r="K45" s="2">
        <v>1867</v>
      </c>
      <c r="L45" s="2">
        <v>1697</v>
      </c>
      <c r="M45" s="2">
        <v>3612</v>
      </c>
      <c r="N45" s="2">
        <f>SUM(B45:M45)</f>
        <v>35890</v>
      </c>
    </row>
    <row r="46" spans="1:14" x14ac:dyDescent="0.2">
      <c r="A46">
        <v>97</v>
      </c>
      <c r="B46" s="3">
        <v>11302</v>
      </c>
      <c r="C46" s="3">
        <v>4360</v>
      </c>
      <c r="D46" s="3">
        <v>1689</v>
      </c>
      <c r="E46" s="3">
        <v>3722</v>
      </c>
      <c r="F46" s="3">
        <v>2740</v>
      </c>
      <c r="G46" s="3">
        <v>432</v>
      </c>
      <c r="H46" s="3">
        <v>774</v>
      </c>
      <c r="I46" s="3">
        <v>107</v>
      </c>
      <c r="J46" s="3">
        <v>2469</v>
      </c>
      <c r="K46" s="3">
        <v>3057</v>
      </c>
      <c r="L46" s="3">
        <v>1818</v>
      </c>
      <c r="M46" s="3">
        <v>1964</v>
      </c>
      <c r="N46" s="2">
        <f>SUM(B46:M46)</f>
        <v>34434</v>
      </c>
    </row>
    <row r="47" spans="1:14" x14ac:dyDescent="0.2">
      <c r="A47">
        <v>98</v>
      </c>
      <c r="B47" s="3">
        <v>5162</v>
      </c>
      <c r="C47" s="3">
        <v>3612</v>
      </c>
      <c r="D47" s="3">
        <v>1675</v>
      </c>
      <c r="E47" s="3">
        <v>1679</v>
      </c>
      <c r="F47" s="3">
        <v>4998</v>
      </c>
      <c r="G47" s="3">
        <v>929</v>
      </c>
      <c r="H47" s="3">
        <v>1667</v>
      </c>
      <c r="I47" s="3">
        <v>257</v>
      </c>
      <c r="J47" s="3">
        <v>1394</v>
      </c>
      <c r="K47" s="3">
        <v>4263</v>
      </c>
      <c r="L47" s="3">
        <v>3091</v>
      </c>
      <c r="M47" s="3">
        <v>4722</v>
      </c>
      <c r="N47" s="2">
        <f>SUM(B47:M47)</f>
        <v>33449</v>
      </c>
    </row>
    <row r="48" spans="1:14" x14ac:dyDescent="0.2">
      <c r="A48">
        <v>99</v>
      </c>
      <c r="B48" s="3">
        <v>3378</v>
      </c>
      <c r="C48" s="3">
        <v>6334</v>
      </c>
      <c r="D48" s="3">
        <v>5595</v>
      </c>
      <c r="E48" s="3">
        <v>1139</v>
      </c>
      <c r="F48" s="3">
        <v>2045</v>
      </c>
      <c r="G48" s="3">
        <v>604</v>
      </c>
      <c r="H48" s="3">
        <v>461</v>
      </c>
      <c r="I48" s="3">
        <v>911</v>
      </c>
      <c r="J48" s="3">
        <v>754</v>
      </c>
      <c r="K48" s="3">
        <v>2144</v>
      </c>
      <c r="L48" s="3">
        <v>834</v>
      </c>
      <c r="M48" s="3">
        <v>1736</v>
      </c>
      <c r="N48" s="2">
        <f>SUM(B48:M48)</f>
        <v>25935</v>
      </c>
    </row>
    <row r="49" spans="1:14" x14ac:dyDescent="0.2">
      <c r="A49" s="4" t="s">
        <v>2</v>
      </c>
      <c r="B49" s="3">
        <v>3774</v>
      </c>
      <c r="C49" s="3">
        <v>3507</v>
      </c>
      <c r="D49" s="3">
        <v>1121</v>
      </c>
      <c r="E49" s="3">
        <v>1445</v>
      </c>
      <c r="F49" s="3">
        <v>2311</v>
      </c>
      <c r="G49" s="3">
        <v>606</v>
      </c>
      <c r="H49" s="3">
        <v>628</v>
      </c>
      <c r="I49" s="3">
        <v>331</v>
      </c>
      <c r="J49" s="3">
        <v>2412</v>
      </c>
      <c r="K49" s="3">
        <v>8039</v>
      </c>
      <c r="L49" s="3">
        <v>1000</v>
      </c>
      <c r="M49" s="3">
        <v>1907</v>
      </c>
      <c r="N49" s="2">
        <f>SUM(B49:M49)</f>
        <v>27081</v>
      </c>
    </row>
    <row r="51" spans="1:14" x14ac:dyDescent="0.2">
      <c r="A51" s="8" t="s">
        <v>1</v>
      </c>
      <c r="B51" s="1">
        <f>AVERAGE(B40:B49)</f>
        <v>3973.2</v>
      </c>
      <c r="C51" s="1">
        <f>AVERAGE(C40:C49)</f>
        <v>4317.8999999999996</v>
      </c>
      <c r="D51" s="1">
        <f>AVERAGE(D40:D49)</f>
        <v>2552.6</v>
      </c>
      <c r="E51" s="1">
        <f>AVERAGE(E40:E49)</f>
        <v>1870.9</v>
      </c>
      <c r="F51" s="1">
        <f>AVERAGE(F40:F49)</f>
        <v>2563.1999999999998</v>
      </c>
      <c r="G51" s="1">
        <f>AVERAGE(G40:G49)</f>
        <v>638.5</v>
      </c>
      <c r="H51" s="1">
        <f>AVERAGE(H40:H49)</f>
        <v>582.5</v>
      </c>
      <c r="I51" s="1">
        <f>AVERAGE(I40:I49)</f>
        <v>272.7</v>
      </c>
      <c r="J51" s="1">
        <f>AVERAGE(J40:J49)</f>
        <v>1652.2</v>
      </c>
      <c r="K51" s="1">
        <f>AVERAGE(K40:K49)</f>
        <v>3079.2</v>
      </c>
      <c r="L51" s="1">
        <f>AVERAGE(L40:L49)</f>
        <v>1506.5</v>
      </c>
      <c r="M51" s="1">
        <f>AVERAGE(M40:M49)</f>
        <v>2337.8000000000002</v>
      </c>
    </row>
    <row r="52" spans="1:14" x14ac:dyDescent="0.2">
      <c r="B52" s="1">
        <f>+B51</f>
        <v>3973.2</v>
      </c>
      <c r="C52" s="1">
        <f>+B52+C51</f>
        <v>8291.0999999999985</v>
      </c>
      <c r="D52" s="1">
        <f>+C52+D51</f>
        <v>10843.699999999999</v>
      </c>
      <c r="E52" s="1">
        <f>+D52+E51</f>
        <v>12714.599999999999</v>
      </c>
      <c r="F52" s="1">
        <f>+E52+F51</f>
        <v>15277.8</v>
      </c>
      <c r="G52" s="1">
        <f>+F52+G51</f>
        <v>15916.3</v>
      </c>
      <c r="H52" s="1">
        <f>+G52+H51</f>
        <v>16498.8</v>
      </c>
      <c r="I52" s="1">
        <f>+H52+I51</f>
        <v>16771.5</v>
      </c>
      <c r="J52" s="1">
        <f>+I52+J51</f>
        <v>18423.7</v>
      </c>
      <c r="K52" s="1">
        <f>+J52+K51</f>
        <v>21502.9</v>
      </c>
      <c r="L52" s="1">
        <f>+K52+L51</f>
        <v>23009.4</v>
      </c>
      <c r="M52" s="1">
        <f>+L52+M51</f>
        <v>25347.200000000001</v>
      </c>
      <c r="N52" s="1">
        <f>AVERAGE(N40:N49)</f>
        <v>25347.200000000001</v>
      </c>
    </row>
  </sheetData>
  <sheetProtection sheet="1" objects="1" scenarios="1"/>
  <pageMargins left="0.13" right="0.12" top="1" bottom="1" header="0.5" footer="0.5"/>
  <pageSetup scale="76" orientation="portrait" r:id="rId1"/>
  <headerFooter alignWithMargins="0"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" width="11.140625" customWidth="1"/>
    <col min="2" max="14" width="9.7109375" customWidth="1"/>
  </cols>
  <sheetData>
    <row r="1" spans="1:13" x14ac:dyDescent="0.2">
      <c r="A1" s="8" t="s">
        <v>25</v>
      </c>
      <c r="K1" s="8" t="s">
        <v>25</v>
      </c>
    </row>
    <row r="3" spans="1:13" x14ac:dyDescent="0.2">
      <c r="A3" s="12" t="s">
        <v>18</v>
      </c>
      <c r="B3" s="12" t="s">
        <v>17</v>
      </c>
      <c r="C3" s="12" t="s">
        <v>16</v>
      </c>
      <c r="D3" s="12" t="s">
        <v>15</v>
      </c>
      <c r="E3" s="12" t="s">
        <v>14</v>
      </c>
      <c r="F3" s="12" t="s">
        <v>13</v>
      </c>
      <c r="G3" s="12" t="s">
        <v>12</v>
      </c>
      <c r="H3" s="12" t="s">
        <v>11</v>
      </c>
      <c r="I3" s="12" t="s">
        <v>10</v>
      </c>
      <c r="J3" s="12" t="s">
        <v>9</v>
      </c>
      <c r="K3" s="12" t="s">
        <v>8</v>
      </c>
      <c r="L3" s="12" t="s">
        <v>7</v>
      </c>
      <c r="M3" s="12" t="s">
        <v>6</v>
      </c>
    </row>
    <row r="4" spans="1:13" x14ac:dyDescent="0.2">
      <c r="A4" s="6">
        <v>1</v>
      </c>
      <c r="B4" s="16">
        <v>0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60.6</v>
      </c>
      <c r="L4" s="16">
        <v>48</v>
      </c>
      <c r="M4" s="16">
        <v>48</v>
      </c>
    </row>
    <row r="5" spans="1:13" x14ac:dyDescent="0.2">
      <c r="A5" s="6">
        <v>2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72</v>
      </c>
      <c r="L5" s="16">
        <v>48</v>
      </c>
      <c r="M5" s="16">
        <v>48</v>
      </c>
    </row>
    <row r="6" spans="1:13" x14ac:dyDescent="0.2">
      <c r="A6" s="6">
        <v>3</v>
      </c>
      <c r="B6" s="16">
        <v>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72</v>
      </c>
      <c r="L6" s="16">
        <v>48</v>
      </c>
      <c r="M6" s="16">
        <v>48</v>
      </c>
    </row>
    <row r="7" spans="1:13" x14ac:dyDescent="0.2">
      <c r="A7" s="6">
        <v>4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57</v>
      </c>
      <c r="L7" s="16">
        <v>48</v>
      </c>
      <c r="M7" s="16">
        <v>48</v>
      </c>
    </row>
    <row r="8" spans="1:13" x14ac:dyDescent="0.2">
      <c r="A8" s="6">
        <v>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48</v>
      </c>
      <c r="L8" s="16">
        <v>48</v>
      </c>
      <c r="M8" s="16">
        <v>48</v>
      </c>
    </row>
    <row r="9" spans="1:13" x14ac:dyDescent="0.2">
      <c r="A9" s="6">
        <v>6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48</v>
      </c>
      <c r="L9" s="16">
        <v>48</v>
      </c>
      <c r="M9" s="16">
        <v>48</v>
      </c>
    </row>
    <row r="10" spans="1:13" x14ac:dyDescent="0.2">
      <c r="A10" s="6">
        <v>7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48</v>
      </c>
      <c r="L10" s="16">
        <v>48</v>
      </c>
      <c r="M10" s="16">
        <v>48</v>
      </c>
    </row>
    <row r="11" spans="1:13" x14ac:dyDescent="0.2">
      <c r="A11" s="6">
        <v>8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48</v>
      </c>
      <c r="L11" s="16">
        <v>48</v>
      </c>
      <c r="M11" s="16">
        <v>48</v>
      </c>
    </row>
    <row r="12" spans="1:13" x14ac:dyDescent="0.2">
      <c r="A12" s="6">
        <v>9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48</v>
      </c>
      <c r="L12" s="16">
        <v>48</v>
      </c>
      <c r="M12" s="16">
        <v>48</v>
      </c>
    </row>
    <row r="13" spans="1:13" x14ac:dyDescent="0.2">
      <c r="A13" s="6">
        <v>10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48</v>
      </c>
      <c r="L13" s="16">
        <v>48</v>
      </c>
      <c r="M13" s="16">
        <v>48</v>
      </c>
    </row>
    <row r="14" spans="1:13" x14ac:dyDescent="0.2">
      <c r="A14" s="6">
        <v>11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48</v>
      </c>
      <c r="L14" s="16">
        <v>48</v>
      </c>
      <c r="M14" s="16">
        <v>48</v>
      </c>
    </row>
    <row r="15" spans="1:13" x14ac:dyDescent="0.2">
      <c r="A15" s="6">
        <v>12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8</v>
      </c>
      <c r="K15" s="16">
        <v>48</v>
      </c>
      <c r="L15" s="16">
        <v>48</v>
      </c>
      <c r="M15" s="16">
        <v>62.5</v>
      </c>
    </row>
    <row r="16" spans="1:13" x14ac:dyDescent="0.2">
      <c r="A16" s="6">
        <v>13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30.8</v>
      </c>
      <c r="K16" s="16">
        <v>48</v>
      </c>
      <c r="L16" s="16">
        <v>48</v>
      </c>
      <c r="M16" s="16">
        <v>55.5</v>
      </c>
    </row>
    <row r="17" spans="1:13" x14ac:dyDescent="0.2">
      <c r="A17" s="6">
        <v>14</v>
      </c>
      <c r="B17" s="16">
        <v>0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48</v>
      </c>
      <c r="K17" s="16">
        <v>48</v>
      </c>
      <c r="L17" s="16">
        <v>48</v>
      </c>
      <c r="M17" s="16">
        <v>54</v>
      </c>
    </row>
    <row r="18" spans="1:13" x14ac:dyDescent="0.2">
      <c r="A18" s="6">
        <v>15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40.9</v>
      </c>
      <c r="K18" s="16">
        <v>48</v>
      </c>
      <c r="L18" s="16">
        <v>48</v>
      </c>
      <c r="M18" s="16">
        <v>72</v>
      </c>
    </row>
    <row r="19" spans="1:13" x14ac:dyDescent="0.2">
      <c r="A19" s="6">
        <v>16</v>
      </c>
      <c r="B19" s="16">
        <v>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48</v>
      </c>
      <c r="K19" s="16">
        <v>48</v>
      </c>
      <c r="L19" s="16">
        <v>48</v>
      </c>
      <c r="M19" s="16">
        <v>72</v>
      </c>
    </row>
    <row r="20" spans="1:13" x14ac:dyDescent="0.2">
      <c r="A20" s="6">
        <v>17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48</v>
      </c>
      <c r="K20" s="16">
        <v>48</v>
      </c>
      <c r="L20" s="16">
        <v>48</v>
      </c>
      <c r="M20" s="16">
        <v>58.9</v>
      </c>
    </row>
    <row r="21" spans="1:13" x14ac:dyDescent="0.2">
      <c r="A21" s="6">
        <v>18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48</v>
      </c>
      <c r="K21" s="16">
        <v>48</v>
      </c>
      <c r="L21" s="16">
        <v>48</v>
      </c>
      <c r="M21" s="16">
        <v>63.3</v>
      </c>
    </row>
    <row r="22" spans="1:13" x14ac:dyDescent="0.2">
      <c r="A22" s="6">
        <v>19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48</v>
      </c>
      <c r="K22" s="16">
        <v>48</v>
      </c>
      <c r="L22" s="16">
        <v>48</v>
      </c>
      <c r="M22" s="16">
        <v>48</v>
      </c>
    </row>
    <row r="23" spans="1:13" x14ac:dyDescent="0.2">
      <c r="A23" s="6">
        <v>20</v>
      </c>
      <c r="B23" s="16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48</v>
      </c>
      <c r="K23" s="16">
        <v>48</v>
      </c>
      <c r="L23" s="16">
        <v>48</v>
      </c>
      <c r="M23" s="16">
        <v>48</v>
      </c>
    </row>
    <row r="24" spans="1:13" x14ac:dyDescent="0.2">
      <c r="A24" s="6">
        <v>21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48</v>
      </c>
      <c r="K24" s="16">
        <v>46.6</v>
      </c>
      <c r="L24" s="16">
        <v>19.600000000000001</v>
      </c>
      <c r="M24" s="16">
        <v>22.2</v>
      </c>
    </row>
    <row r="25" spans="1:13" x14ac:dyDescent="0.2">
      <c r="A25" s="6">
        <v>22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48</v>
      </c>
      <c r="K25" s="16">
        <v>48</v>
      </c>
      <c r="L25" s="16">
        <v>0</v>
      </c>
      <c r="M25" s="16">
        <v>0</v>
      </c>
    </row>
    <row r="26" spans="1:13" x14ac:dyDescent="0.2">
      <c r="A26" s="6">
        <v>23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48</v>
      </c>
      <c r="K26" s="16">
        <v>48</v>
      </c>
      <c r="L26" s="16">
        <v>0</v>
      </c>
      <c r="M26" s="16">
        <v>0</v>
      </c>
    </row>
    <row r="27" spans="1:13" x14ac:dyDescent="0.2">
      <c r="A27" s="6">
        <v>24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28.8</v>
      </c>
      <c r="K27" s="16">
        <v>48</v>
      </c>
      <c r="L27" s="16">
        <v>0</v>
      </c>
      <c r="M27" s="16">
        <v>0</v>
      </c>
    </row>
    <row r="28" spans="1:13" x14ac:dyDescent="0.2">
      <c r="A28" s="6">
        <v>25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24</v>
      </c>
      <c r="K28" s="16">
        <v>48</v>
      </c>
      <c r="L28" s="16">
        <v>0</v>
      </c>
      <c r="M28" s="16">
        <v>0</v>
      </c>
    </row>
    <row r="29" spans="1:13" x14ac:dyDescent="0.2">
      <c r="A29" s="6">
        <v>26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24</v>
      </c>
      <c r="K29" s="16">
        <v>48</v>
      </c>
      <c r="L29" s="16">
        <v>0</v>
      </c>
      <c r="M29" s="16">
        <v>0</v>
      </c>
    </row>
    <row r="30" spans="1:13" x14ac:dyDescent="0.2">
      <c r="A30" s="6">
        <v>27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38.700000000000003</v>
      </c>
      <c r="K30" s="16">
        <v>48</v>
      </c>
      <c r="L30" s="16">
        <v>29.1</v>
      </c>
      <c r="M30" s="16">
        <v>0</v>
      </c>
    </row>
    <row r="31" spans="1:13" x14ac:dyDescent="0.2">
      <c r="A31" s="6">
        <v>28</v>
      </c>
      <c r="B31" s="16">
        <v>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48</v>
      </c>
      <c r="K31" s="16">
        <v>48</v>
      </c>
      <c r="L31" s="16">
        <v>46.2</v>
      </c>
      <c r="M31" s="16">
        <v>0</v>
      </c>
    </row>
    <row r="32" spans="1:13" x14ac:dyDescent="0.2">
      <c r="A32" s="6">
        <v>29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48</v>
      </c>
      <c r="K32" s="16">
        <v>48</v>
      </c>
      <c r="L32" s="16">
        <v>48</v>
      </c>
      <c r="M32" s="16">
        <v>0</v>
      </c>
    </row>
    <row r="33" spans="1:15" x14ac:dyDescent="0.2">
      <c r="A33" s="6">
        <v>30</v>
      </c>
      <c r="B33" s="16">
        <v>0</v>
      </c>
      <c r="C33" s="8" t="s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48</v>
      </c>
      <c r="K33" s="16">
        <v>48</v>
      </c>
      <c r="L33" s="16">
        <v>48</v>
      </c>
      <c r="M33" s="16">
        <v>0</v>
      </c>
    </row>
    <row r="34" spans="1:15" x14ac:dyDescent="0.2">
      <c r="A34" s="6">
        <v>31</v>
      </c>
      <c r="B34" s="16">
        <v>0</v>
      </c>
      <c r="C34" s="8" t="s">
        <v>0</v>
      </c>
      <c r="D34" s="16">
        <v>0</v>
      </c>
      <c r="E34" s="8" t="s">
        <v>0</v>
      </c>
      <c r="F34" s="16">
        <v>0</v>
      </c>
      <c r="G34" s="17" t="s">
        <v>0</v>
      </c>
      <c r="H34" s="16">
        <v>0</v>
      </c>
      <c r="I34" s="16">
        <v>0</v>
      </c>
      <c r="J34" s="8" t="s">
        <v>0</v>
      </c>
      <c r="K34" s="16">
        <v>48</v>
      </c>
      <c r="L34" s="8" t="s">
        <v>0</v>
      </c>
      <c r="M34" s="16">
        <v>0</v>
      </c>
    </row>
    <row r="36" spans="1:15" x14ac:dyDescent="0.2">
      <c r="A36" s="14" t="s">
        <v>24</v>
      </c>
      <c r="B36" s="15">
        <f>SUM(B4:B35)</f>
        <v>0</v>
      </c>
      <c r="C36" s="15">
        <f>SUM(C4:C35)</f>
        <v>0</v>
      </c>
      <c r="D36" s="15">
        <f>SUM(D4:D35)</f>
        <v>0</v>
      </c>
      <c r="E36" s="15">
        <f>SUM(E4:E35)</f>
        <v>0</v>
      </c>
      <c r="F36" s="15">
        <f>SUM(F4:F35)</f>
        <v>0</v>
      </c>
      <c r="G36" s="15">
        <f>SUM(G4:G35)</f>
        <v>0</v>
      </c>
      <c r="H36" s="15">
        <f>SUM(H4:H35)</f>
        <v>0</v>
      </c>
      <c r="I36" s="15">
        <f>SUM(I4:I35)</f>
        <v>0</v>
      </c>
      <c r="J36" s="15">
        <f>SUM(J4:J35)</f>
        <v>771.2</v>
      </c>
      <c r="K36" s="15">
        <f>SUM(K4:K35)</f>
        <v>1556.1999999999998</v>
      </c>
      <c r="L36" s="15">
        <f>SUM(L4:L35)</f>
        <v>1150.9000000000001</v>
      </c>
      <c r="M36" s="15">
        <f>SUM(M4:M35)</f>
        <v>1084.3999999999999</v>
      </c>
      <c r="N36" s="2"/>
    </row>
    <row r="37" spans="1:15" x14ac:dyDescent="0.2">
      <c r="A37" s="14" t="s">
        <v>23</v>
      </c>
      <c r="B37" s="15">
        <f>+B36</f>
        <v>0</v>
      </c>
      <c r="C37" s="15">
        <f>+B37+C36</f>
        <v>0</v>
      </c>
      <c r="D37" s="15">
        <f>+C37+D36</f>
        <v>0</v>
      </c>
      <c r="E37" s="15">
        <f>+D37+E36</f>
        <v>0</v>
      </c>
      <c r="F37" s="15">
        <f>+E37+F36</f>
        <v>0</v>
      </c>
      <c r="G37" s="15">
        <f>+F37+G36</f>
        <v>0</v>
      </c>
      <c r="H37" s="15">
        <f>+G37+H36</f>
        <v>0</v>
      </c>
      <c r="I37" s="15">
        <f>+H37+I36</f>
        <v>0</v>
      </c>
      <c r="J37" s="15">
        <f>+I37+J36</f>
        <v>771.2</v>
      </c>
      <c r="K37" s="15">
        <f>+J37+K36</f>
        <v>2327.3999999999996</v>
      </c>
      <c r="L37" s="15">
        <f>+K37+L36</f>
        <v>3478.2999999999997</v>
      </c>
      <c r="M37" s="15">
        <f>+L37+M36</f>
        <v>4562.7</v>
      </c>
      <c r="N37" s="2"/>
    </row>
    <row r="38" spans="1:15" x14ac:dyDescent="0.2">
      <c r="A38" s="14" t="s">
        <v>0</v>
      </c>
      <c r="B38" s="14" t="s">
        <v>0</v>
      </c>
      <c r="C38" s="14" t="s">
        <v>0</v>
      </c>
      <c r="D38" s="14" t="s">
        <v>0</v>
      </c>
      <c r="E38" s="14" t="s">
        <v>0</v>
      </c>
      <c r="F38" s="14" t="s">
        <v>0</v>
      </c>
      <c r="G38" s="14" t="s">
        <v>0</v>
      </c>
      <c r="H38" s="14" t="s">
        <v>0</v>
      </c>
      <c r="I38" s="14" t="s">
        <v>0</v>
      </c>
      <c r="J38" s="14" t="s">
        <v>0</v>
      </c>
      <c r="K38" s="14" t="s">
        <v>0</v>
      </c>
      <c r="L38" s="14" t="s">
        <v>0</v>
      </c>
      <c r="M38" s="14" t="s">
        <v>0</v>
      </c>
      <c r="N38" s="14" t="s">
        <v>0</v>
      </c>
      <c r="O38" s="14" t="s">
        <v>0</v>
      </c>
    </row>
    <row r="39" spans="1:15" x14ac:dyDescent="0.2">
      <c r="A39" s="14" t="s">
        <v>0</v>
      </c>
      <c r="B39" s="14" t="s">
        <v>0</v>
      </c>
      <c r="C39" s="14" t="s">
        <v>0</v>
      </c>
      <c r="D39" s="14" t="s">
        <v>0</v>
      </c>
      <c r="E39" s="14" t="s">
        <v>0</v>
      </c>
      <c r="F39" s="14" t="s">
        <v>0</v>
      </c>
      <c r="G39" s="14" t="s">
        <v>0</v>
      </c>
      <c r="H39" s="14" t="s">
        <v>0</v>
      </c>
      <c r="I39" s="14" t="s">
        <v>0</v>
      </c>
      <c r="J39" s="14" t="s">
        <v>0</v>
      </c>
      <c r="K39" s="14" t="s">
        <v>0</v>
      </c>
      <c r="L39" s="14" t="s">
        <v>0</v>
      </c>
      <c r="M39" s="14" t="s">
        <v>0</v>
      </c>
      <c r="N39" s="14" t="s">
        <v>0</v>
      </c>
      <c r="O39" s="14" t="s">
        <v>0</v>
      </c>
    </row>
    <row r="40" spans="1:15" x14ac:dyDescent="0.2">
      <c r="A40" s="14" t="s">
        <v>0</v>
      </c>
      <c r="B40" s="14" t="s">
        <v>0</v>
      </c>
      <c r="C40" s="14" t="s">
        <v>0</v>
      </c>
      <c r="D40" s="14" t="s">
        <v>0</v>
      </c>
      <c r="E40" s="14" t="s">
        <v>0</v>
      </c>
      <c r="F40" s="14" t="s">
        <v>0</v>
      </c>
      <c r="G40" s="14" t="s">
        <v>0</v>
      </c>
      <c r="H40" s="14" t="s">
        <v>0</v>
      </c>
      <c r="I40" s="14" t="s">
        <v>0</v>
      </c>
      <c r="J40" s="14" t="s">
        <v>0</v>
      </c>
      <c r="K40" s="14" t="s">
        <v>0</v>
      </c>
      <c r="L40" s="14" t="s">
        <v>0</v>
      </c>
      <c r="M40" s="14" t="s">
        <v>0</v>
      </c>
      <c r="N40" s="14" t="s">
        <v>0</v>
      </c>
      <c r="O40" s="14" t="s">
        <v>0</v>
      </c>
    </row>
    <row r="41" spans="1:15" x14ac:dyDescent="0.2">
      <c r="A41" s="14" t="s">
        <v>0</v>
      </c>
      <c r="B41" s="14" t="s">
        <v>0</v>
      </c>
      <c r="C41" s="14" t="s">
        <v>0</v>
      </c>
      <c r="D41" s="14" t="s">
        <v>0</v>
      </c>
      <c r="E41" s="14" t="s">
        <v>0</v>
      </c>
      <c r="F41" s="14" t="s">
        <v>0</v>
      </c>
      <c r="G41" s="14" t="s">
        <v>0</v>
      </c>
      <c r="H41" s="14" t="s">
        <v>0</v>
      </c>
      <c r="I41" s="14" t="s">
        <v>0</v>
      </c>
      <c r="J41" s="14" t="s">
        <v>0</v>
      </c>
      <c r="K41" s="14" t="s">
        <v>0</v>
      </c>
      <c r="L41" s="14" t="s">
        <v>0</v>
      </c>
      <c r="M41" s="14" t="s">
        <v>0</v>
      </c>
      <c r="N41" s="14" t="s">
        <v>0</v>
      </c>
      <c r="O41" s="14" t="s">
        <v>0</v>
      </c>
    </row>
    <row r="42" spans="1:15" x14ac:dyDescent="0.2">
      <c r="A42" s="14" t="s">
        <v>0</v>
      </c>
      <c r="B42" s="14" t="s">
        <v>0</v>
      </c>
      <c r="C42" s="14" t="s">
        <v>0</v>
      </c>
      <c r="D42" s="14" t="s">
        <v>0</v>
      </c>
      <c r="E42" s="14" t="s">
        <v>0</v>
      </c>
      <c r="F42" s="14" t="s">
        <v>0</v>
      </c>
      <c r="G42" s="14" t="s">
        <v>0</v>
      </c>
      <c r="H42" s="14" t="s">
        <v>0</v>
      </c>
      <c r="I42" s="14" t="s">
        <v>0</v>
      </c>
      <c r="J42" s="14" t="s">
        <v>0</v>
      </c>
      <c r="K42" s="14" t="s">
        <v>0</v>
      </c>
      <c r="L42" s="14" t="s">
        <v>0</v>
      </c>
      <c r="M42" s="14" t="s">
        <v>0</v>
      </c>
      <c r="N42" s="14" t="s">
        <v>0</v>
      </c>
      <c r="O42" s="14" t="s">
        <v>0</v>
      </c>
    </row>
    <row r="43" spans="1:15" x14ac:dyDescent="0.2">
      <c r="A43" s="14" t="s">
        <v>0</v>
      </c>
      <c r="B43" s="14" t="s">
        <v>0</v>
      </c>
      <c r="C43" s="14" t="s">
        <v>0</v>
      </c>
      <c r="D43" s="14" t="s">
        <v>0</v>
      </c>
      <c r="E43" s="14" t="s">
        <v>0</v>
      </c>
      <c r="F43" s="14" t="s">
        <v>0</v>
      </c>
      <c r="G43" s="14" t="s">
        <v>0</v>
      </c>
      <c r="H43" s="14" t="s">
        <v>0</v>
      </c>
      <c r="I43" s="14" t="s">
        <v>0</v>
      </c>
      <c r="J43" s="14" t="s">
        <v>0</v>
      </c>
      <c r="K43" s="14" t="s">
        <v>0</v>
      </c>
      <c r="L43" s="14" t="s">
        <v>0</v>
      </c>
      <c r="M43" s="14" t="s">
        <v>0</v>
      </c>
      <c r="N43" s="14" t="s">
        <v>0</v>
      </c>
      <c r="O43" s="14" t="s">
        <v>0</v>
      </c>
    </row>
    <row r="44" spans="1:15" x14ac:dyDescent="0.2">
      <c r="A44" s="14" t="s">
        <v>0</v>
      </c>
      <c r="B44" s="14" t="s">
        <v>0</v>
      </c>
      <c r="C44" s="14" t="s">
        <v>0</v>
      </c>
      <c r="D44" s="14" t="s">
        <v>0</v>
      </c>
      <c r="E44" s="14" t="s">
        <v>0</v>
      </c>
      <c r="F44" s="14" t="s">
        <v>0</v>
      </c>
      <c r="G44" s="14" t="s">
        <v>0</v>
      </c>
      <c r="H44" s="14" t="s">
        <v>0</v>
      </c>
      <c r="I44" s="14" t="s">
        <v>0</v>
      </c>
      <c r="J44" s="14" t="s">
        <v>0</v>
      </c>
      <c r="K44" s="14" t="s">
        <v>0</v>
      </c>
      <c r="L44" s="14" t="s">
        <v>0</v>
      </c>
      <c r="M44" s="14" t="s">
        <v>0</v>
      </c>
      <c r="N44" s="14" t="s">
        <v>0</v>
      </c>
      <c r="O44" s="14" t="s">
        <v>0</v>
      </c>
    </row>
    <row r="45" spans="1:15" x14ac:dyDescent="0.2">
      <c r="A45" s="14" t="s">
        <v>0</v>
      </c>
      <c r="B45" s="14" t="s">
        <v>0</v>
      </c>
      <c r="C45" s="14" t="s">
        <v>0</v>
      </c>
      <c r="D45" s="14" t="s">
        <v>0</v>
      </c>
      <c r="E45" s="14" t="s">
        <v>0</v>
      </c>
      <c r="F45" s="14" t="s">
        <v>0</v>
      </c>
      <c r="G45" s="14" t="s">
        <v>0</v>
      </c>
      <c r="H45" s="14" t="s">
        <v>0</v>
      </c>
      <c r="I45" s="14" t="s">
        <v>0</v>
      </c>
      <c r="J45" s="14" t="s">
        <v>0</v>
      </c>
      <c r="K45" s="14" t="s">
        <v>0</v>
      </c>
      <c r="L45" s="14" t="s">
        <v>0</v>
      </c>
      <c r="M45" s="14" t="s">
        <v>0</v>
      </c>
      <c r="N45" s="14" t="s">
        <v>0</v>
      </c>
      <c r="O45" s="14" t="s">
        <v>0</v>
      </c>
    </row>
    <row r="46" spans="1:15" x14ac:dyDescent="0.2">
      <c r="A46" s="14" t="s">
        <v>0</v>
      </c>
      <c r="B46" s="14" t="s">
        <v>0</v>
      </c>
      <c r="C46" s="14" t="s">
        <v>0</v>
      </c>
      <c r="D46" s="14" t="s">
        <v>0</v>
      </c>
      <c r="E46" s="14" t="s">
        <v>0</v>
      </c>
      <c r="F46" s="14" t="s">
        <v>0</v>
      </c>
      <c r="G46" s="14" t="s">
        <v>0</v>
      </c>
      <c r="H46" s="14" t="s">
        <v>0</v>
      </c>
      <c r="I46" s="14" t="s">
        <v>0</v>
      </c>
      <c r="J46" s="14" t="s">
        <v>0</v>
      </c>
      <c r="K46" s="14" t="s">
        <v>0</v>
      </c>
      <c r="L46" s="14" t="s">
        <v>0</v>
      </c>
      <c r="M46" s="14" t="s">
        <v>0</v>
      </c>
      <c r="N46" s="14" t="s">
        <v>0</v>
      </c>
      <c r="O46" s="14" t="s">
        <v>0</v>
      </c>
    </row>
    <row r="47" spans="1:15" x14ac:dyDescent="0.2">
      <c r="A47" s="14" t="s">
        <v>0</v>
      </c>
      <c r="B47" s="14" t="s">
        <v>0</v>
      </c>
      <c r="C47" s="14" t="s">
        <v>0</v>
      </c>
      <c r="D47" s="14" t="s">
        <v>0</v>
      </c>
      <c r="E47" s="14" t="s">
        <v>0</v>
      </c>
      <c r="F47" s="14" t="s">
        <v>0</v>
      </c>
      <c r="G47" s="14" t="s">
        <v>0</v>
      </c>
      <c r="H47" s="14" t="s">
        <v>0</v>
      </c>
      <c r="I47" s="14" t="s">
        <v>0</v>
      </c>
      <c r="J47" s="14" t="s">
        <v>0</v>
      </c>
      <c r="K47" s="14" t="s">
        <v>0</v>
      </c>
      <c r="L47" s="14" t="s">
        <v>0</v>
      </c>
      <c r="M47" s="14" t="s">
        <v>0</v>
      </c>
      <c r="N47" s="14" t="s">
        <v>0</v>
      </c>
      <c r="O47" s="14" t="s">
        <v>0</v>
      </c>
    </row>
    <row r="48" spans="1:15" x14ac:dyDescent="0.2">
      <c r="A48" s="14" t="s">
        <v>0</v>
      </c>
      <c r="B48" s="14" t="s">
        <v>0</v>
      </c>
      <c r="C48" s="14" t="s">
        <v>0</v>
      </c>
      <c r="D48" s="14" t="s">
        <v>0</v>
      </c>
      <c r="E48" s="14" t="s">
        <v>0</v>
      </c>
      <c r="F48" s="14" t="s">
        <v>0</v>
      </c>
      <c r="G48" s="14" t="s">
        <v>0</v>
      </c>
      <c r="H48" s="14" t="s">
        <v>0</v>
      </c>
      <c r="I48" s="14" t="s">
        <v>0</v>
      </c>
      <c r="J48" s="14" t="s">
        <v>0</v>
      </c>
      <c r="K48" s="14" t="s">
        <v>0</v>
      </c>
      <c r="L48" s="14" t="s">
        <v>0</v>
      </c>
      <c r="M48" s="14" t="s">
        <v>0</v>
      </c>
      <c r="N48" s="14" t="s">
        <v>0</v>
      </c>
      <c r="O48" s="14" t="s">
        <v>0</v>
      </c>
    </row>
    <row r="49" spans="1:15" x14ac:dyDescent="0.2">
      <c r="A49" s="14" t="s">
        <v>0</v>
      </c>
      <c r="B49" s="14" t="s">
        <v>0</v>
      </c>
      <c r="C49" s="14" t="s">
        <v>0</v>
      </c>
      <c r="D49" s="14" t="s">
        <v>0</v>
      </c>
      <c r="E49" s="14" t="s">
        <v>0</v>
      </c>
      <c r="F49" s="14" t="s">
        <v>0</v>
      </c>
      <c r="G49" s="14" t="s">
        <v>0</v>
      </c>
      <c r="H49" s="14" t="s">
        <v>0</v>
      </c>
      <c r="I49" s="14" t="s">
        <v>0</v>
      </c>
      <c r="J49" s="14" t="s">
        <v>0</v>
      </c>
      <c r="K49" s="14" t="s">
        <v>0</v>
      </c>
      <c r="L49" s="14" t="s">
        <v>0</v>
      </c>
      <c r="M49" s="14" t="s">
        <v>0</v>
      </c>
      <c r="N49" s="14" t="s">
        <v>0</v>
      </c>
      <c r="O49" s="14" t="s">
        <v>0</v>
      </c>
    </row>
    <row r="50" spans="1:15" x14ac:dyDescent="0.2">
      <c r="A50" s="14" t="s">
        <v>0</v>
      </c>
      <c r="B50" s="14" t="s">
        <v>0</v>
      </c>
      <c r="C50" s="14" t="s">
        <v>0</v>
      </c>
      <c r="D50" s="14" t="s">
        <v>0</v>
      </c>
      <c r="E50" s="14" t="s">
        <v>0</v>
      </c>
      <c r="F50" s="14" t="s">
        <v>0</v>
      </c>
      <c r="G50" s="14" t="s">
        <v>0</v>
      </c>
      <c r="H50" s="14" t="s">
        <v>0</v>
      </c>
      <c r="I50" s="14" t="s">
        <v>0</v>
      </c>
      <c r="J50" s="14" t="s">
        <v>0</v>
      </c>
      <c r="K50" s="14" t="s">
        <v>0</v>
      </c>
      <c r="L50" s="14" t="s">
        <v>0</v>
      </c>
      <c r="M50" s="14" t="s">
        <v>0</v>
      </c>
      <c r="N50" s="14" t="s">
        <v>0</v>
      </c>
      <c r="O50" s="14" t="s">
        <v>0</v>
      </c>
    </row>
    <row r="51" spans="1:15" x14ac:dyDescent="0.2">
      <c r="A51" s="14" t="s">
        <v>0</v>
      </c>
      <c r="B51" s="14" t="s">
        <v>0</v>
      </c>
      <c r="C51" s="14" t="s">
        <v>0</v>
      </c>
      <c r="D51" s="14" t="s">
        <v>0</v>
      </c>
      <c r="E51" s="14" t="s">
        <v>0</v>
      </c>
      <c r="F51" s="14" t="s">
        <v>0</v>
      </c>
      <c r="G51" s="14" t="s">
        <v>0</v>
      </c>
      <c r="H51" s="14" t="s">
        <v>0</v>
      </c>
      <c r="I51" s="14" t="s">
        <v>0</v>
      </c>
      <c r="J51" s="14" t="s">
        <v>0</v>
      </c>
      <c r="K51" s="14" t="s">
        <v>0</v>
      </c>
      <c r="L51" s="14" t="s">
        <v>0</v>
      </c>
      <c r="M51" s="14" t="s">
        <v>0</v>
      </c>
      <c r="N51" s="14" t="s">
        <v>0</v>
      </c>
      <c r="O51" s="14" t="s">
        <v>0</v>
      </c>
    </row>
    <row r="52" spans="1:15" x14ac:dyDescent="0.2">
      <c r="A52" s="14" t="s">
        <v>0</v>
      </c>
      <c r="B52" s="14" t="s">
        <v>0</v>
      </c>
      <c r="C52" s="14" t="s">
        <v>0</v>
      </c>
      <c r="D52" s="14" t="s">
        <v>0</v>
      </c>
      <c r="E52" s="14" t="s">
        <v>0</v>
      </c>
      <c r="F52" s="14" t="s">
        <v>0</v>
      </c>
      <c r="G52" s="14" t="s">
        <v>0</v>
      </c>
      <c r="H52" s="14" t="s">
        <v>0</v>
      </c>
      <c r="I52" s="14" t="s">
        <v>0</v>
      </c>
      <c r="J52" s="14" t="s">
        <v>0</v>
      </c>
      <c r="K52" s="14" t="s">
        <v>0</v>
      </c>
      <c r="L52" s="14" t="s">
        <v>0</v>
      </c>
      <c r="M52" s="14" t="s">
        <v>0</v>
      </c>
      <c r="N52" s="14" t="s">
        <v>0</v>
      </c>
      <c r="O52" s="14" t="s">
        <v>0</v>
      </c>
    </row>
    <row r="53" spans="1:15" x14ac:dyDescent="0.2">
      <c r="A53" s="14" t="s">
        <v>0</v>
      </c>
      <c r="B53" s="14" t="s">
        <v>0</v>
      </c>
      <c r="C53" s="14" t="s">
        <v>0</v>
      </c>
      <c r="D53" s="14" t="s">
        <v>0</v>
      </c>
      <c r="E53" s="14" t="s">
        <v>0</v>
      </c>
      <c r="F53" s="14" t="s">
        <v>0</v>
      </c>
      <c r="G53" s="14" t="s">
        <v>0</v>
      </c>
      <c r="H53" s="14" t="s">
        <v>0</v>
      </c>
      <c r="I53" s="14" t="s">
        <v>0</v>
      </c>
      <c r="J53" s="14" t="s">
        <v>0</v>
      </c>
      <c r="K53" s="14" t="s">
        <v>0</v>
      </c>
      <c r="L53" s="14" t="s">
        <v>0</v>
      </c>
      <c r="M53" s="14" t="s">
        <v>0</v>
      </c>
      <c r="N53" s="14" t="s">
        <v>0</v>
      </c>
      <c r="O53" s="14" t="s">
        <v>0</v>
      </c>
    </row>
  </sheetData>
  <sheetProtection sheet="1" objects="1" scenarios="1"/>
  <pageMargins left="0.11" right="0.12" top="1" bottom="1" header="0.5" footer="0.5"/>
  <pageSetup scale="78" orientation="portrait" r:id="rId1"/>
  <headerFooter alignWithMargins="0">
    <oddHeader>&amp;CD-Plant Hrs.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"/>
  <sheetViews>
    <sheetView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4" width="9.7109375" customWidth="1"/>
  </cols>
  <sheetData>
    <row r="1" spans="1:13" x14ac:dyDescent="0.2">
      <c r="A1" s="8" t="s">
        <v>26</v>
      </c>
      <c r="K1" s="8" t="s">
        <v>26</v>
      </c>
    </row>
    <row r="3" spans="1:13" x14ac:dyDescent="0.2">
      <c r="A3" s="12" t="s">
        <v>18</v>
      </c>
      <c r="B3" s="12" t="s">
        <v>17</v>
      </c>
      <c r="C3" s="12" t="s">
        <v>16</v>
      </c>
      <c r="D3" s="12" t="s">
        <v>15</v>
      </c>
      <c r="E3" s="12" t="s">
        <v>14</v>
      </c>
      <c r="F3" s="12" t="s">
        <v>13</v>
      </c>
      <c r="G3" s="12" t="s">
        <v>12</v>
      </c>
      <c r="H3" s="12" t="s">
        <v>11</v>
      </c>
      <c r="I3" s="12" t="s">
        <v>10</v>
      </c>
      <c r="J3" s="12" t="s">
        <v>9</v>
      </c>
      <c r="K3" s="12" t="s">
        <v>8</v>
      </c>
      <c r="L3" s="12" t="s">
        <v>7</v>
      </c>
      <c r="M3" s="12" t="s">
        <v>6</v>
      </c>
    </row>
    <row r="4" spans="1:13" x14ac:dyDescent="0.2">
      <c r="A4" s="6">
        <v>1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370</v>
      </c>
      <c r="L4" s="5">
        <v>300</v>
      </c>
      <c r="M4" s="5">
        <v>300</v>
      </c>
    </row>
    <row r="5" spans="1:13" x14ac:dyDescent="0.2">
      <c r="A5" s="6">
        <v>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437</v>
      </c>
      <c r="L5" s="5">
        <v>300</v>
      </c>
      <c r="M5" s="5">
        <v>300</v>
      </c>
    </row>
    <row r="6" spans="1:13" x14ac:dyDescent="0.2">
      <c r="A6" s="6">
        <v>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437</v>
      </c>
      <c r="L6" s="5">
        <v>300</v>
      </c>
      <c r="M6" s="5">
        <v>300</v>
      </c>
    </row>
    <row r="7" spans="1:13" x14ac:dyDescent="0.2">
      <c r="A7" s="6">
        <v>4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354</v>
      </c>
      <c r="L7" s="5">
        <v>300</v>
      </c>
      <c r="M7" s="5">
        <v>300</v>
      </c>
    </row>
    <row r="8" spans="1:13" x14ac:dyDescent="0.2">
      <c r="A8" s="6">
        <v>5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301</v>
      </c>
      <c r="L8" s="5">
        <v>300</v>
      </c>
      <c r="M8" s="5">
        <v>300</v>
      </c>
    </row>
    <row r="9" spans="1:13" x14ac:dyDescent="0.2">
      <c r="A9" s="6">
        <v>6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301</v>
      </c>
      <c r="L9" s="5">
        <v>300</v>
      </c>
      <c r="M9" s="5">
        <v>300</v>
      </c>
    </row>
    <row r="10" spans="1:13" x14ac:dyDescent="0.2">
      <c r="A10" s="6">
        <v>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301</v>
      </c>
      <c r="L10" s="5">
        <v>300</v>
      </c>
      <c r="M10" s="5">
        <v>300</v>
      </c>
    </row>
    <row r="11" spans="1:13" x14ac:dyDescent="0.2">
      <c r="A11" s="6">
        <v>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301</v>
      </c>
      <c r="L11" s="5">
        <v>300</v>
      </c>
      <c r="M11" s="5">
        <v>300</v>
      </c>
    </row>
    <row r="12" spans="1:13" x14ac:dyDescent="0.2">
      <c r="A12" s="6">
        <v>9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301</v>
      </c>
      <c r="L12" s="5">
        <v>300</v>
      </c>
      <c r="M12" s="5">
        <v>300</v>
      </c>
    </row>
    <row r="13" spans="1:13" x14ac:dyDescent="0.2">
      <c r="A13" s="6">
        <v>10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301</v>
      </c>
      <c r="L13" s="5">
        <v>300</v>
      </c>
      <c r="M13" s="5">
        <v>300</v>
      </c>
    </row>
    <row r="14" spans="1:13" x14ac:dyDescent="0.2">
      <c r="A14" s="6">
        <v>11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301</v>
      </c>
      <c r="L14" s="5">
        <v>300</v>
      </c>
      <c r="M14" s="5">
        <v>300</v>
      </c>
    </row>
    <row r="15" spans="1:13" x14ac:dyDescent="0.2">
      <c r="A15" s="6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54</v>
      </c>
      <c r="K15" s="5">
        <v>301</v>
      </c>
      <c r="L15" s="5">
        <v>300</v>
      </c>
      <c r="M15" s="5">
        <v>387</v>
      </c>
    </row>
    <row r="16" spans="1:13" x14ac:dyDescent="0.2">
      <c r="A16" s="6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205</v>
      </c>
      <c r="K16" s="5">
        <v>301</v>
      </c>
      <c r="L16" s="5">
        <v>300</v>
      </c>
      <c r="M16" s="5">
        <v>346</v>
      </c>
    </row>
    <row r="17" spans="1:13" x14ac:dyDescent="0.2">
      <c r="A17" s="6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320</v>
      </c>
      <c r="K17" s="5">
        <v>301</v>
      </c>
      <c r="L17" s="5">
        <v>300</v>
      </c>
      <c r="M17" s="5">
        <v>338</v>
      </c>
    </row>
    <row r="18" spans="1:13" x14ac:dyDescent="0.2">
      <c r="A18" s="6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273</v>
      </c>
      <c r="K18" s="5">
        <v>301</v>
      </c>
      <c r="L18" s="5">
        <v>300</v>
      </c>
      <c r="M18" s="5">
        <v>448</v>
      </c>
    </row>
    <row r="19" spans="1:13" x14ac:dyDescent="0.2">
      <c r="A19" s="6">
        <v>16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320</v>
      </c>
      <c r="K19" s="5">
        <v>301</v>
      </c>
      <c r="L19" s="5">
        <v>300</v>
      </c>
      <c r="M19" s="5">
        <v>448</v>
      </c>
    </row>
    <row r="20" spans="1:13" x14ac:dyDescent="0.2">
      <c r="A20" s="6">
        <v>17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320</v>
      </c>
      <c r="K20" s="5">
        <v>301</v>
      </c>
      <c r="L20" s="5">
        <v>300</v>
      </c>
      <c r="M20" s="5">
        <v>364</v>
      </c>
    </row>
    <row r="21" spans="1:13" x14ac:dyDescent="0.2">
      <c r="A21" s="6">
        <v>18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320</v>
      </c>
      <c r="K21" s="5">
        <v>301</v>
      </c>
      <c r="L21" s="5">
        <v>300</v>
      </c>
      <c r="M21" s="5">
        <v>392</v>
      </c>
    </row>
    <row r="22" spans="1:13" x14ac:dyDescent="0.2">
      <c r="A22" s="6">
        <v>19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320</v>
      </c>
      <c r="K22" s="5">
        <v>301</v>
      </c>
      <c r="L22" s="5">
        <v>300</v>
      </c>
      <c r="M22" s="5">
        <v>300</v>
      </c>
    </row>
    <row r="23" spans="1:13" x14ac:dyDescent="0.2">
      <c r="A23" s="6">
        <v>20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320</v>
      </c>
      <c r="K23" s="5">
        <v>301</v>
      </c>
      <c r="L23" s="5">
        <v>300</v>
      </c>
      <c r="M23" s="5">
        <v>300</v>
      </c>
    </row>
    <row r="24" spans="1:13" x14ac:dyDescent="0.2">
      <c r="A24" s="6">
        <v>21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320</v>
      </c>
      <c r="K24" s="5">
        <v>292</v>
      </c>
      <c r="L24" s="5">
        <v>122</v>
      </c>
      <c r="M24" s="5">
        <v>139</v>
      </c>
    </row>
    <row r="25" spans="1:13" x14ac:dyDescent="0.2">
      <c r="A25" s="6">
        <v>22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319</v>
      </c>
      <c r="K25" s="5">
        <v>301</v>
      </c>
      <c r="L25" s="5">
        <v>0</v>
      </c>
      <c r="M25" s="5">
        <v>0</v>
      </c>
    </row>
    <row r="26" spans="1:13" x14ac:dyDescent="0.2">
      <c r="A26" s="6">
        <v>23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319</v>
      </c>
      <c r="K26" s="5">
        <v>301</v>
      </c>
      <c r="L26" s="5">
        <v>0</v>
      </c>
      <c r="M26" s="5">
        <v>0</v>
      </c>
    </row>
    <row r="27" spans="1:13" x14ac:dyDescent="0.2">
      <c r="A27" s="6">
        <v>24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192</v>
      </c>
      <c r="K27" s="5">
        <v>301</v>
      </c>
      <c r="L27" s="5">
        <v>0</v>
      </c>
      <c r="M27" s="5">
        <v>0</v>
      </c>
    </row>
    <row r="28" spans="1:13" x14ac:dyDescent="0.2">
      <c r="A28" s="6">
        <v>25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160</v>
      </c>
      <c r="K28" s="5">
        <v>301</v>
      </c>
      <c r="L28" s="5">
        <v>0</v>
      </c>
      <c r="M28" s="5">
        <v>0</v>
      </c>
    </row>
    <row r="29" spans="1:13" x14ac:dyDescent="0.2">
      <c r="A29" s="6">
        <v>26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160</v>
      </c>
      <c r="K29" s="5">
        <v>301</v>
      </c>
      <c r="L29" s="5">
        <v>0</v>
      </c>
      <c r="M29" s="5">
        <v>0</v>
      </c>
    </row>
    <row r="30" spans="1:13" x14ac:dyDescent="0.2">
      <c r="A30" s="6">
        <v>27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246</v>
      </c>
      <c r="K30" s="5">
        <v>301</v>
      </c>
      <c r="L30" s="5">
        <v>182</v>
      </c>
      <c r="M30" s="5">
        <v>0</v>
      </c>
    </row>
    <row r="31" spans="1:13" x14ac:dyDescent="0.2">
      <c r="A31" s="6">
        <v>28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301</v>
      </c>
      <c r="K31" s="5">
        <v>301</v>
      </c>
      <c r="L31" s="5">
        <v>289</v>
      </c>
      <c r="M31" s="5">
        <v>0</v>
      </c>
    </row>
    <row r="32" spans="1:13" x14ac:dyDescent="0.2">
      <c r="A32" s="6">
        <v>29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301</v>
      </c>
      <c r="K32" s="5">
        <v>301</v>
      </c>
      <c r="L32" s="5">
        <v>300</v>
      </c>
      <c r="M32" s="5">
        <v>0</v>
      </c>
    </row>
    <row r="33" spans="1:14" x14ac:dyDescent="0.2">
      <c r="A33" s="6">
        <v>30</v>
      </c>
      <c r="B33" s="5">
        <v>0</v>
      </c>
      <c r="C33" s="8" t="s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301</v>
      </c>
      <c r="K33" s="5">
        <v>301</v>
      </c>
      <c r="L33" s="5">
        <v>300</v>
      </c>
      <c r="M33" s="5">
        <v>0</v>
      </c>
    </row>
    <row r="34" spans="1:14" x14ac:dyDescent="0.2">
      <c r="A34" s="6">
        <v>31</v>
      </c>
      <c r="B34" s="5">
        <v>0</v>
      </c>
      <c r="C34" s="8" t="s">
        <v>0</v>
      </c>
      <c r="D34" s="5">
        <v>0</v>
      </c>
      <c r="E34" s="14" t="s">
        <v>0</v>
      </c>
      <c r="F34" s="5">
        <v>0</v>
      </c>
      <c r="G34" s="8" t="s">
        <v>0</v>
      </c>
      <c r="H34" s="5">
        <v>0</v>
      </c>
      <c r="I34" s="5">
        <v>0</v>
      </c>
      <c r="J34" s="8"/>
      <c r="K34" s="5">
        <v>301</v>
      </c>
      <c r="L34" s="8" t="s">
        <v>0</v>
      </c>
      <c r="M34" s="5">
        <v>0</v>
      </c>
    </row>
    <row r="36" spans="1:14" hidden="1" x14ac:dyDescent="0.2"/>
    <row r="37" spans="1:14" hidden="1" x14ac:dyDescent="0.2">
      <c r="A37" s="8" t="s">
        <v>5</v>
      </c>
      <c r="B37" s="2">
        <f>SUM(B4:B35)</f>
        <v>0</v>
      </c>
      <c r="C37" s="2">
        <f>SUM(C4:C35)</f>
        <v>0</v>
      </c>
      <c r="D37" s="2">
        <f>SUM(D4:D35)</f>
        <v>0</v>
      </c>
      <c r="E37" s="2">
        <f>SUM(E4:E35)</f>
        <v>0</v>
      </c>
      <c r="F37" s="2">
        <f>SUM(F4:F35)</f>
        <v>0</v>
      </c>
      <c r="G37" s="2">
        <f>SUM(G4:G35)</f>
        <v>0</v>
      </c>
      <c r="H37" s="2">
        <f>SUM(H4:H35)</f>
        <v>0</v>
      </c>
      <c r="I37" s="2">
        <f>SUM(I4:I35)</f>
        <v>0</v>
      </c>
      <c r="J37" s="2">
        <f>SUM(J4:J35)</f>
        <v>5071</v>
      </c>
      <c r="K37" s="2">
        <f>SUM(K4:K35)</f>
        <v>9716</v>
      </c>
      <c r="L37" s="2">
        <f>SUM(L4:L35)</f>
        <v>7193</v>
      </c>
      <c r="M37" s="2">
        <f>SUM(M4:M35)</f>
        <v>6762</v>
      </c>
      <c r="N37" s="2"/>
    </row>
    <row r="38" spans="1:14" x14ac:dyDescent="0.2">
      <c r="A38" s="8" t="s">
        <v>4</v>
      </c>
      <c r="B38" s="2">
        <f>SUM(B4:B34)</f>
        <v>0</v>
      </c>
      <c r="C38" s="2">
        <f>SUM(C4:C34)</f>
        <v>0</v>
      </c>
      <c r="D38" s="2">
        <f>SUM(D4:D34)</f>
        <v>0</v>
      </c>
      <c r="E38" s="2">
        <f>SUM(E4:E34)</f>
        <v>0</v>
      </c>
      <c r="F38" s="2">
        <f>SUM(F4:F34)</f>
        <v>0</v>
      </c>
      <c r="G38" s="2">
        <f>SUM(G4:G34)</f>
        <v>0</v>
      </c>
      <c r="H38" s="2">
        <f>SUM(H4:H34)</f>
        <v>0</v>
      </c>
      <c r="I38" s="2">
        <f>SUM(I4:I34)</f>
        <v>0</v>
      </c>
      <c r="J38" s="2">
        <f>SUM(J4:J34)</f>
        <v>5071</v>
      </c>
      <c r="K38" s="2">
        <f>SUM(K4:K34)</f>
        <v>9716</v>
      </c>
      <c r="L38" s="2">
        <f>SUM(L4:L34)</f>
        <v>7193</v>
      </c>
      <c r="M38" s="2">
        <f>SUM(M4:M34)</f>
        <v>6762</v>
      </c>
      <c r="N38" s="2"/>
    </row>
    <row r="39" spans="1:14" x14ac:dyDescent="0.2">
      <c r="A39" s="8" t="s">
        <v>3</v>
      </c>
      <c r="B39" s="2">
        <f>+B38</f>
        <v>0</v>
      </c>
      <c r="C39" s="2">
        <f>+B39+C38</f>
        <v>0</v>
      </c>
      <c r="D39" s="2">
        <f>+C39+D38</f>
        <v>0</v>
      </c>
      <c r="E39" s="2">
        <f>+D39+E38</f>
        <v>0</v>
      </c>
      <c r="F39" s="2">
        <f>+E39+F38</f>
        <v>0</v>
      </c>
      <c r="G39" s="2">
        <f>+F39+G38</f>
        <v>0</v>
      </c>
      <c r="H39" s="2">
        <f>+G39+H38</f>
        <v>0</v>
      </c>
      <c r="I39" s="2">
        <f>+H39+I38</f>
        <v>0</v>
      </c>
      <c r="J39" s="2">
        <f>+I39+J38</f>
        <v>5071</v>
      </c>
      <c r="K39" s="2">
        <f>+J39+K38</f>
        <v>14787</v>
      </c>
      <c r="L39" s="2">
        <f>+K39+L38</f>
        <v>21980</v>
      </c>
      <c r="M39" s="2">
        <f>+L39+M38</f>
        <v>28742</v>
      </c>
      <c r="N39" s="2"/>
    </row>
    <row r="40" spans="1:14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">
      <c r="A41">
        <v>91</v>
      </c>
      <c r="B41" s="2">
        <v>0</v>
      </c>
      <c r="C41" s="2">
        <v>0</v>
      </c>
      <c r="D41" s="2">
        <v>0</v>
      </c>
      <c r="E41" s="2">
        <v>0</v>
      </c>
      <c r="F41" s="2">
        <v>12092</v>
      </c>
      <c r="G41" s="2">
        <v>5474</v>
      </c>
      <c r="H41" s="2">
        <v>5316</v>
      </c>
      <c r="I41" s="2">
        <v>6304</v>
      </c>
      <c r="J41" s="2">
        <v>11556</v>
      </c>
      <c r="K41" s="2">
        <v>8649</v>
      </c>
      <c r="L41" s="2">
        <v>15767</v>
      </c>
      <c r="M41" s="2">
        <v>8853</v>
      </c>
      <c r="N41" s="2">
        <f>SUM(B41:M41)</f>
        <v>74011</v>
      </c>
    </row>
    <row r="42" spans="1:14" x14ac:dyDescent="0.2">
      <c r="A42">
        <v>92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252</v>
      </c>
      <c r="I42" s="2">
        <v>274</v>
      </c>
      <c r="J42" s="2">
        <v>8100</v>
      </c>
      <c r="K42" s="2">
        <v>5786</v>
      </c>
      <c r="L42" s="2">
        <v>8579</v>
      </c>
      <c r="M42" s="2">
        <v>5370</v>
      </c>
      <c r="N42" s="2">
        <f>SUM(B42:M42)</f>
        <v>28361</v>
      </c>
    </row>
    <row r="43" spans="1:14" x14ac:dyDescent="0.2">
      <c r="A43">
        <v>93</v>
      </c>
      <c r="B43" s="2">
        <v>4362</v>
      </c>
      <c r="C43" s="2">
        <v>2767</v>
      </c>
      <c r="D43" s="2">
        <v>14753</v>
      </c>
      <c r="E43" s="2">
        <v>6679</v>
      </c>
      <c r="F43" s="2">
        <v>8112</v>
      </c>
      <c r="G43" s="2">
        <v>10358</v>
      </c>
      <c r="H43" s="2">
        <v>5273</v>
      </c>
      <c r="I43" s="2">
        <v>7589</v>
      </c>
      <c r="J43" s="2">
        <v>9152</v>
      </c>
      <c r="K43" s="2">
        <v>13998</v>
      </c>
      <c r="L43" s="2">
        <v>9344</v>
      </c>
      <c r="M43" s="2">
        <v>4028</v>
      </c>
      <c r="N43" s="2">
        <f>SUM(B43:M43)</f>
        <v>96415</v>
      </c>
    </row>
    <row r="44" spans="1:14" x14ac:dyDescent="0.2">
      <c r="A44">
        <v>94</v>
      </c>
      <c r="B44" s="2">
        <v>4</v>
      </c>
      <c r="C44" s="2">
        <v>0</v>
      </c>
      <c r="D44" s="2">
        <v>0</v>
      </c>
      <c r="E44" s="2">
        <v>485</v>
      </c>
      <c r="F44" s="2">
        <v>13256</v>
      </c>
      <c r="G44" s="2">
        <v>4255</v>
      </c>
      <c r="H44" s="2">
        <v>655</v>
      </c>
      <c r="I44" s="2">
        <v>983</v>
      </c>
      <c r="J44" s="2">
        <v>2827</v>
      </c>
      <c r="K44" s="2">
        <v>2102</v>
      </c>
      <c r="L44" s="2">
        <v>12499</v>
      </c>
      <c r="M44" s="2">
        <v>0</v>
      </c>
      <c r="N44" s="2">
        <f>SUM(B44:M44)</f>
        <v>37066</v>
      </c>
    </row>
    <row r="45" spans="1:14" x14ac:dyDescent="0.2">
      <c r="A45">
        <v>95</v>
      </c>
      <c r="B45" s="2">
        <v>7946</v>
      </c>
      <c r="C45" s="2">
        <v>3660</v>
      </c>
      <c r="D45" s="2">
        <v>14380</v>
      </c>
      <c r="E45" s="2">
        <v>7466</v>
      </c>
      <c r="F45" s="2">
        <v>10629</v>
      </c>
      <c r="G45" s="2">
        <v>9403</v>
      </c>
      <c r="H45" s="2">
        <v>4352</v>
      </c>
      <c r="I45" s="2">
        <v>4361</v>
      </c>
      <c r="J45" s="2">
        <v>9333</v>
      </c>
      <c r="K45" s="2">
        <v>8225</v>
      </c>
      <c r="L45" s="2">
        <v>11987</v>
      </c>
      <c r="M45" s="2">
        <v>5342</v>
      </c>
      <c r="N45" s="2">
        <f>SUM(B45:M45)</f>
        <v>97084</v>
      </c>
    </row>
    <row r="46" spans="1:14" x14ac:dyDescent="0.2">
      <c r="A46">
        <v>96</v>
      </c>
      <c r="B46" s="2">
        <v>12080</v>
      </c>
      <c r="C46" s="2">
        <v>17029</v>
      </c>
      <c r="D46" s="2">
        <v>12517</v>
      </c>
      <c r="E46" s="2">
        <v>7884</v>
      </c>
      <c r="F46" s="2">
        <v>15665</v>
      </c>
      <c r="G46" s="2">
        <v>4510</v>
      </c>
      <c r="H46" s="2">
        <v>6564</v>
      </c>
      <c r="I46" s="2">
        <v>4683</v>
      </c>
      <c r="J46" s="2">
        <v>9080</v>
      </c>
      <c r="K46" s="2">
        <v>9222</v>
      </c>
      <c r="L46" s="2">
        <v>13002</v>
      </c>
      <c r="M46" s="2">
        <v>3961</v>
      </c>
      <c r="N46" s="2">
        <f>SUM(B46:M46)</f>
        <v>116197</v>
      </c>
    </row>
    <row r="47" spans="1:14" x14ac:dyDescent="0.2">
      <c r="A47">
        <v>97</v>
      </c>
      <c r="B47" s="3">
        <v>15167</v>
      </c>
      <c r="C47" s="3">
        <v>10146</v>
      </c>
      <c r="D47" s="2">
        <v>0</v>
      </c>
      <c r="E47" s="3">
        <v>2420</v>
      </c>
      <c r="F47" s="3">
        <v>7019</v>
      </c>
      <c r="G47" s="3">
        <v>7980</v>
      </c>
      <c r="H47" s="3">
        <v>5726</v>
      </c>
      <c r="I47" s="3">
        <v>4911</v>
      </c>
      <c r="J47" s="3">
        <v>10519</v>
      </c>
      <c r="K47" s="3">
        <v>10440</v>
      </c>
      <c r="L47" s="3">
        <v>10983</v>
      </c>
      <c r="M47" s="3">
        <v>4758</v>
      </c>
      <c r="N47" s="2">
        <f>SUM(B47:M47)</f>
        <v>90069</v>
      </c>
    </row>
    <row r="48" spans="1:14" x14ac:dyDescent="0.2">
      <c r="A48">
        <v>98</v>
      </c>
      <c r="B48" s="2">
        <v>6034</v>
      </c>
      <c r="C48" s="2">
        <v>6935</v>
      </c>
      <c r="D48" s="2">
        <v>434</v>
      </c>
      <c r="E48" s="2">
        <v>10379</v>
      </c>
      <c r="F48" s="2">
        <v>16284</v>
      </c>
      <c r="G48" s="2">
        <v>12360</v>
      </c>
      <c r="H48" s="2">
        <v>4871</v>
      </c>
      <c r="I48" s="2">
        <v>4835</v>
      </c>
      <c r="J48" s="2">
        <v>8628</v>
      </c>
      <c r="K48" s="2">
        <v>12954</v>
      </c>
      <c r="L48" s="2">
        <v>12832</v>
      </c>
      <c r="M48" s="2">
        <v>11617</v>
      </c>
      <c r="N48" s="2">
        <f>SUM(B48:M48)</f>
        <v>108163</v>
      </c>
    </row>
    <row r="49" spans="1:14" x14ac:dyDescent="0.2">
      <c r="A49">
        <v>99</v>
      </c>
      <c r="B49" s="2">
        <v>2866</v>
      </c>
      <c r="C49" s="2">
        <v>11509</v>
      </c>
      <c r="D49" s="2">
        <v>9356</v>
      </c>
      <c r="E49" s="2">
        <v>5067</v>
      </c>
      <c r="F49" s="2">
        <v>11105</v>
      </c>
      <c r="G49" s="2">
        <v>7976</v>
      </c>
      <c r="H49" s="2">
        <v>4462</v>
      </c>
      <c r="I49" s="2">
        <v>11177</v>
      </c>
      <c r="J49" s="2">
        <v>12227</v>
      </c>
      <c r="K49" s="2">
        <v>9566</v>
      </c>
      <c r="L49" s="2">
        <v>12241</v>
      </c>
      <c r="M49" s="2">
        <v>1929</v>
      </c>
      <c r="N49" s="2">
        <f>SUM(B49:M49)</f>
        <v>99481</v>
      </c>
    </row>
    <row r="50" spans="1:14" x14ac:dyDescent="0.2">
      <c r="A50" s="18" t="s">
        <v>2</v>
      </c>
      <c r="B50" s="2">
        <v>6482</v>
      </c>
      <c r="C50" s="2">
        <v>1653</v>
      </c>
      <c r="D50" s="2">
        <v>1429</v>
      </c>
      <c r="E50" s="2">
        <v>5627</v>
      </c>
      <c r="F50" s="2">
        <v>12227</v>
      </c>
      <c r="G50" s="2">
        <v>5836</v>
      </c>
      <c r="H50" s="2">
        <v>7646</v>
      </c>
      <c r="I50" s="2">
        <v>5412</v>
      </c>
      <c r="J50" s="2">
        <v>9239</v>
      </c>
      <c r="K50" s="2">
        <v>11022</v>
      </c>
      <c r="L50" s="2">
        <v>7170</v>
      </c>
      <c r="M50" s="2">
        <v>579</v>
      </c>
      <c r="N50" s="2">
        <f>SUM(B50:M50)</f>
        <v>74322</v>
      </c>
    </row>
    <row r="52" spans="1:14" x14ac:dyDescent="0.2">
      <c r="A52" s="8" t="s">
        <v>1</v>
      </c>
      <c r="B52" s="1">
        <f>AVERAGE(B41:B50)</f>
        <v>5494.1</v>
      </c>
      <c r="C52" s="1">
        <f>AVERAGE(C41:C50)</f>
        <v>5369.9</v>
      </c>
      <c r="D52" s="1">
        <f>AVERAGE(D41:D50)</f>
        <v>5286.9</v>
      </c>
      <c r="E52" s="1">
        <f>AVERAGE(E41:E50)</f>
        <v>4600.7</v>
      </c>
      <c r="F52" s="1">
        <f>AVERAGE(F41:F50)</f>
        <v>10638.9</v>
      </c>
      <c r="G52" s="1">
        <f>AVERAGE(G41:G50)</f>
        <v>6815.2</v>
      </c>
      <c r="H52" s="1">
        <f>AVERAGE(H41:H50)</f>
        <v>4511.7</v>
      </c>
      <c r="I52" s="1">
        <f>AVERAGE(I41:I50)</f>
        <v>5052.8999999999996</v>
      </c>
      <c r="J52" s="1">
        <f>AVERAGE(J41:J50)</f>
        <v>9066.1</v>
      </c>
      <c r="K52" s="1">
        <f>AVERAGE(K41:K50)</f>
        <v>9196.4</v>
      </c>
      <c r="L52" s="1">
        <f>AVERAGE(L41:L50)</f>
        <v>11440.4</v>
      </c>
      <c r="M52" s="1">
        <f>AVERAGE(M41:M50)</f>
        <v>4643.7</v>
      </c>
      <c r="N52" s="2" t="s">
        <v>0</v>
      </c>
    </row>
    <row r="53" spans="1:14" x14ac:dyDescent="0.2">
      <c r="B53" s="1">
        <f>+B52</f>
        <v>5494.1</v>
      </c>
      <c r="C53" s="1">
        <f>+B53+C52</f>
        <v>10864</v>
      </c>
      <c r="D53" s="1">
        <f>+C53+D52</f>
        <v>16150.9</v>
      </c>
      <c r="E53" s="1">
        <f>+D53+E52</f>
        <v>20751.599999999999</v>
      </c>
      <c r="F53" s="1">
        <f>+E53+F52</f>
        <v>31390.5</v>
      </c>
      <c r="G53" s="1">
        <f>+F53+G52</f>
        <v>38205.699999999997</v>
      </c>
      <c r="H53" s="1">
        <f>+G53+H52</f>
        <v>42717.399999999994</v>
      </c>
      <c r="I53" s="1">
        <f>+H53+I52</f>
        <v>47770.299999999996</v>
      </c>
      <c r="J53" s="1">
        <f>+I53+J52</f>
        <v>56836.399999999994</v>
      </c>
      <c r="K53" s="1">
        <f>+J53+K52</f>
        <v>66032.799999999988</v>
      </c>
      <c r="L53" s="1">
        <f>+K53+L52</f>
        <v>77473.199999999983</v>
      </c>
      <c r="M53" s="1">
        <f>+L53+M52</f>
        <v>82116.89999999998</v>
      </c>
      <c r="N53" s="1">
        <f>AVERAGE(N41:N50)</f>
        <v>82116.899999999994</v>
      </c>
    </row>
  </sheetData>
  <sheetProtection sheet="1" objects="1" scenarios="1"/>
  <pageMargins left="0.11" right="0.12" top="1" bottom="1" header="0.5" footer="0.5"/>
  <pageSetup scale="76" orientation="portrait" r:id="rId1"/>
  <headerFooter alignWithMargins="0"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0"/>
  <sheetViews>
    <sheetView topLeftCell="A3" workbookViewId="0">
      <pane xSplit="1" ySplit="1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sheetData>
    <row r="1" spans="1:12" x14ac:dyDescent="0.2">
      <c r="D1" s="8" t="s">
        <v>90</v>
      </c>
    </row>
    <row r="2" spans="1:12" x14ac:dyDescent="0.2">
      <c r="I2" s="22"/>
      <c r="J2" s="22"/>
      <c r="K2" s="22"/>
    </row>
    <row r="3" spans="1:12" ht="25.5" x14ac:dyDescent="0.2">
      <c r="B3" s="20" t="s">
        <v>89</v>
      </c>
      <c r="C3" s="20" t="s">
        <v>88</v>
      </c>
      <c r="D3" s="20" t="s">
        <v>87</v>
      </c>
      <c r="E3" s="20" t="s">
        <v>86</v>
      </c>
      <c r="F3" s="20" t="s">
        <v>85</v>
      </c>
      <c r="G3" s="20" t="s">
        <v>84</v>
      </c>
      <c r="H3" s="20" t="s">
        <v>83</v>
      </c>
      <c r="I3" s="21" t="s">
        <v>82</v>
      </c>
      <c r="J3" s="21" t="s">
        <v>81</v>
      </c>
      <c r="K3" s="21" t="s">
        <v>80</v>
      </c>
      <c r="L3" s="20" t="s">
        <v>0</v>
      </c>
    </row>
    <row r="4" spans="1:12" x14ac:dyDescent="0.2">
      <c r="A4" t="s">
        <v>79</v>
      </c>
      <c r="B4" s="5">
        <v>8</v>
      </c>
      <c r="C4" s="5">
        <v>10</v>
      </c>
      <c r="D4" s="5">
        <v>8</v>
      </c>
      <c r="E4" s="5">
        <v>7</v>
      </c>
      <c r="F4" s="5">
        <v>8</v>
      </c>
      <c r="G4" s="5">
        <v>7</v>
      </c>
      <c r="H4" s="5">
        <v>7</v>
      </c>
      <c r="I4">
        <f>SUM(B4:H4)</f>
        <v>55</v>
      </c>
      <c r="J4">
        <f>+I4</f>
        <v>55</v>
      </c>
      <c r="K4" s="19">
        <f>+J4*1.98</f>
        <v>108.9</v>
      </c>
    </row>
    <row r="5" spans="1:12" x14ac:dyDescent="0.2">
      <c r="A5" s="8" t="s">
        <v>78</v>
      </c>
      <c r="B5" s="5">
        <v>7</v>
      </c>
      <c r="C5" s="5">
        <v>6</v>
      </c>
      <c r="D5" s="5">
        <v>6</v>
      </c>
      <c r="E5" s="5">
        <v>5</v>
      </c>
      <c r="F5" s="5">
        <v>3</v>
      </c>
      <c r="G5" s="5">
        <v>1</v>
      </c>
      <c r="H5" s="5">
        <v>2</v>
      </c>
      <c r="I5">
        <f>SUM(B5:H5)</f>
        <v>30</v>
      </c>
      <c r="J5">
        <f>+I5+J4</f>
        <v>85</v>
      </c>
      <c r="K5" s="19">
        <f>+J5*1.98</f>
        <v>168.3</v>
      </c>
    </row>
    <row r="6" spans="1:12" x14ac:dyDescent="0.2">
      <c r="A6" s="8" t="s">
        <v>77</v>
      </c>
      <c r="B6" s="5">
        <v>1</v>
      </c>
      <c r="C6" s="5">
        <v>0</v>
      </c>
      <c r="D6" s="5">
        <v>1</v>
      </c>
      <c r="E6" s="5">
        <v>1</v>
      </c>
      <c r="F6" s="5">
        <v>0</v>
      </c>
      <c r="G6" s="5">
        <v>1</v>
      </c>
      <c r="H6" s="5">
        <v>1</v>
      </c>
      <c r="I6">
        <f>SUM(B6:H6)</f>
        <v>5</v>
      </c>
      <c r="J6">
        <f>+I6+J5</f>
        <v>90</v>
      </c>
      <c r="K6" s="19">
        <f>+J6*1.98</f>
        <v>178.2</v>
      </c>
    </row>
    <row r="7" spans="1:12" x14ac:dyDescent="0.2">
      <c r="A7" t="s">
        <v>76</v>
      </c>
      <c r="B7" s="5">
        <v>1</v>
      </c>
      <c r="C7" s="5">
        <v>1</v>
      </c>
      <c r="D7" s="5">
        <v>1</v>
      </c>
      <c r="E7" s="5">
        <v>1</v>
      </c>
      <c r="F7" s="5">
        <v>0</v>
      </c>
      <c r="G7" s="5">
        <v>1</v>
      </c>
      <c r="H7" s="5">
        <v>1</v>
      </c>
      <c r="I7">
        <f>SUM(B7:H7)</f>
        <v>6</v>
      </c>
      <c r="J7">
        <f>+I7+J6</f>
        <v>96</v>
      </c>
      <c r="K7" s="19">
        <f>+J7*1.98</f>
        <v>190.07999999999998</v>
      </c>
    </row>
    <row r="8" spans="1:12" x14ac:dyDescent="0.2">
      <c r="A8" s="8" t="s">
        <v>75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>
        <f>SUM(B8:H8)</f>
        <v>0</v>
      </c>
      <c r="J8">
        <f>+I8+J7</f>
        <v>96</v>
      </c>
      <c r="K8" s="19">
        <f>+J8*1.98</f>
        <v>190.07999999999998</v>
      </c>
    </row>
    <row r="9" spans="1:12" x14ac:dyDescent="0.2">
      <c r="A9" s="8" t="s">
        <v>74</v>
      </c>
      <c r="B9" s="5">
        <v>0</v>
      </c>
      <c r="C9" s="5">
        <v>0</v>
      </c>
      <c r="D9" s="5">
        <v>1</v>
      </c>
      <c r="E9" s="5">
        <v>1</v>
      </c>
      <c r="F9" s="5">
        <v>1</v>
      </c>
      <c r="G9" s="5">
        <v>2</v>
      </c>
      <c r="H9" s="5">
        <v>1</v>
      </c>
      <c r="I9">
        <f>SUM(B9:H9)</f>
        <v>6</v>
      </c>
      <c r="J9">
        <f>+I9+J8</f>
        <v>102</v>
      </c>
      <c r="K9" s="19">
        <f>+J9*1.98</f>
        <v>201.96</v>
      </c>
    </row>
    <row r="10" spans="1:12" x14ac:dyDescent="0.2">
      <c r="A10" t="s">
        <v>73</v>
      </c>
      <c r="B10" s="5">
        <v>1</v>
      </c>
      <c r="C10" s="5">
        <v>0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>
        <f>SUM(B10:H10)</f>
        <v>6</v>
      </c>
      <c r="J10">
        <f>+I10+J9</f>
        <v>108</v>
      </c>
      <c r="K10" s="19">
        <f>+J10*1.98</f>
        <v>213.84</v>
      </c>
    </row>
    <row r="11" spans="1:12" x14ac:dyDescent="0.2">
      <c r="A11" s="8" t="s">
        <v>72</v>
      </c>
      <c r="B11" s="5">
        <v>0</v>
      </c>
      <c r="C11" s="5">
        <v>0</v>
      </c>
      <c r="D11" s="5">
        <v>0</v>
      </c>
      <c r="E11" s="5">
        <v>0</v>
      </c>
      <c r="F11" s="5">
        <v>1</v>
      </c>
      <c r="G11" s="5">
        <v>1</v>
      </c>
      <c r="H11" s="5">
        <v>1</v>
      </c>
      <c r="I11">
        <f>SUM(B11:H11)</f>
        <v>3</v>
      </c>
      <c r="J11">
        <f>+I11+J10</f>
        <v>111</v>
      </c>
      <c r="K11" s="19">
        <f>+J11*1.98</f>
        <v>219.78</v>
      </c>
    </row>
    <row r="12" spans="1:12" x14ac:dyDescent="0.2">
      <c r="A12" t="s">
        <v>71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0</v>
      </c>
      <c r="I12">
        <f>SUM(B12:H12)</f>
        <v>6</v>
      </c>
      <c r="J12">
        <f>+I12+J11</f>
        <v>117</v>
      </c>
      <c r="K12" s="19">
        <f>+J12*1.98</f>
        <v>231.66</v>
      </c>
    </row>
    <row r="13" spans="1:12" x14ac:dyDescent="0.2">
      <c r="A13" s="8" t="s">
        <v>70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>
        <f>SUM(B13:H13)</f>
        <v>0</v>
      </c>
      <c r="J13">
        <f>+I13+J12</f>
        <v>117</v>
      </c>
      <c r="K13" s="19">
        <f>+J13*1.98</f>
        <v>231.66</v>
      </c>
    </row>
    <row r="14" spans="1:12" x14ac:dyDescent="0.2">
      <c r="A14" s="8" t="s">
        <v>69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1</v>
      </c>
      <c r="H14" s="5">
        <v>1</v>
      </c>
      <c r="I14">
        <f>SUM(B14:H14)</f>
        <v>2</v>
      </c>
      <c r="J14">
        <f>+I14+J13</f>
        <v>119</v>
      </c>
      <c r="K14" s="19">
        <f>+J14*1.98</f>
        <v>235.62</v>
      </c>
    </row>
    <row r="15" spans="1:12" x14ac:dyDescent="0.2">
      <c r="A15" t="s">
        <v>68</v>
      </c>
      <c r="B15" s="5">
        <v>1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>
        <f>SUM(B15:H15)</f>
        <v>7</v>
      </c>
      <c r="J15">
        <f>+I15+J14</f>
        <v>126</v>
      </c>
      <c r="K15" s="19">
        <f>+J15*1.98</f>
        <v>249.48</v>
      </c>
    </row>
    <row r="16" spans="1:12" x14ac:dyDescent="0.2">
      <c r="A16" s="8" t="s">
        <v>67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>
        <f>SUM(B16:H16)</f>
        <v>0</v>
      </c>
      <c r="J16">
        <f>+I16+J15</f>
        <v>126</v>
      </c>
      <c r="K16" s="19">
        <f>+J16*1.98</f>
        <v>249.48</v>
      </c>
    </row>
    <row r="17" spans="1:11" x14ac:dyDescent="0.2">
      <c r="A17" s="8" t="s">
        <v>66</v>
      </c>
      <c r="B17" s="5">
        <v>0</v>
      </c>
      <c r="C17" s="5">
        <v>1</v>
      </c>
      <c r="D17" s="5">
        <v>1</v>
      </c>
      <c r="E17" s="5">
        <v>1</v>
      </c>
      <c r="F17" s="5">
        <v>0</v>
      </c>
      <c r="G17" s="5">
        <v>0</v>
      </c>
      <c r="H17" s="5">
        <v>0</v>
      </c>
      <c r="I17">
        <f>SUM(B17:H17)</f>
        <v>3</v>
      </c>
      <c r="J17">
        <f>+I17+J16</f>
        <v>129</v>
      </c>
      <c r="K17" s="19">
        <f>+J17*1.98</f>
        <v>255.42</v>
      </c>
    </row>
    <row r="18" spans="1:11" x14ac:dyDescent="0.2">
      <c r="A18" t="s">
        <v>65</v>
      </c>
      <c r="B18" s="5">
        <v>0</v>
      </c>
      <c r="C18" s="5">
        <v>0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>
        <f>SUM(B18:H18)</f>
        <v>5</v>
      </c>
      <c r="J18">
        <f>+I18+J17</f>
        <v>134</v>
      </c>
      <c r="K18" s="19">
        <f>+J18*1.98</f>
        <v>265.32</v>
      </c>
    </row>
    <row r="19" spans="1:11" x14ac:dyDescent="0.2">
      <c r="A19" s="8" t="s">
        <v>64</v>
      </c>
      <c r="B19" s="5">
        <v>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>
        <f>SUM(B19:H19)</f>
        <v>1</v>
      </c>
      <c r="J19">
        <f>+I19+J18</f>
        <v>135</v>
      </c>
      <c r="K19" s="19">
        <f>+J19*1.98</f>
        <v>267.3</v>
      </c>
    </row>
    <row r="20" spans="1:11" x14ac:dyDescent="0.2">
      <c r="A20" t="s">
        <v>63</v>
      </c>
      <c r="B20" s="5">
        <v>0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0</v>
      </c>
      <c r="I20">
        <f>SUM(B20:H20)</f>
        <v>5</v>
      </c>
      <c r="J20">
        <f>+I20+J19</f>
        <v>140</v>
      </c>
      <c r="K20" s="19">
        <f>+J20*1.98</f>
        <v>277.2</v>
      </c>
    </row>
    <row r="21" spans="1:11" x14ac:dyDescent="0.2">
      <c r="A21" s="8" t="s">
        <v>62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>
        <f>SUM(B21:H21)</f>
        <v>0</v>
      </c>
      <c r="J21">
        <f>+I21+J20</f>
        <v>140</v>
      </c>
      <c r="K21" s="19">
        <f>+J21*1.98</f>
        <v>277.2</v>
      </c>
    </row>
    <row r="22" spans="1:11" x14ac:dyDescent="0.2">
      <c r="A22" s="8" t="s">
        <v>61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>
        <f>SUM(B22:H22)</f>
        <v>0</v>
      </c>
      <c r="J22">
        <f>+I22+J21</f>
        <v>140</v>
      </c>
      <c r="K22" s="19">
        <f>+J22*1.98</f>
        <v>277.2</v>
      </c>
    </row>
    <row r="23" spans="1:11" x14ac:dyDescent="0.2">
      <c r="A23" t="s">
        <v>60</v>
      </c>
      <c r="B23" s="5">
        <v>0</v>
      </c>
      <c r="C23" s="5">
        <v>0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>
        <f>SUM(B23:H23)</f>
        <v>1</v>
      </c>
      <c r="J23">
        <f>+I23+J22</f>
        <v>141</v>
      </c>
      <c r="K23" s="19">
        <f>+J23*1.98</f>
        <v>279.18</v>
      </c>
    </row>
    <row r="24" spans="1:11" x14ac:dyDescent="0.2">
      <c r="A24" s="8" t="s">
        <v>59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>
        <f>SUM(B24:H24)</f>
        <v>0</v>
      </c>
      <c r="J24">
        <f>+I24+J23</f>
        <v>141</v>
      </c>
      <c r="K24" s="19">
        <f>+J24*1.98</f>
        <v>279.18</v>
      </c>
    </row>
    <row r="25" spans="1:11" x14ac:dyDescent="0.2">
      <c r="A25" s="8" t="s">
        <v>58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>
        <f>SUM(B25:H25)</f>
        <v>0</v>
      </c>
      <c r="J25">
        <f>+I25+J24</f>
        <v>141</v>
      </c>
      <c r="K25" s="19">
        <f>+J25*1.98</f>
        <v>279.18</v>
      </c>
    </row>
    <row r="26" spans="1:11" x14ac:dyDescent="0.2">
      <c r="A26" t="s">
        <v>57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>
        <f>SUM(B26:H26)</f>
        <v>0</v>
      </c>
      <c r="J26">
        <f>+I26+J25</f>
        <v>141</v>
      </c>
      <c r="K26" s="19">
        <f>+J26*1.98</f>
        <v>279.18</v>
      </c>
    </row>
    <row r="27" spans="1:11" x14ac:dyDescent="0.2">
      <c r="A27" s="8" t="s">
        <v>56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>
        <f>SUM(B27:H27)</f>
        <v>0</v>
      </c>
      <c r="J27">
        <f>+I27+J26</f>
        <v>141</v>
      </c>
      <c r="K27" s="19">
        <f>+J27*1.98</f>
        <v>279.18</v>
      </c>
    </row>
    <row r="28" spans="1:11" x14ac:dyDescent="0.2">
      <c r="A28" t="s">
        <v>55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>
        <f>SUM(B28:H28)</f>
        <v>0</v>
      </c>
      <c r="J28">
        <f>+I28+J27</f>
        <v>141</v>
      </c>
      <c r="K28" s="19">
        <f>+J28*1.98</f>
        <v>279.18</v>
      </c>
    </row>
    <row r="29" spans="1:11" x14ac:dyDescent="0.2">
      <c r="A29" s="8" t="s">
        <v>54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>
        <f>SUM(B29:H29)</f>
        <v>0</v>
      </c>
      <c r="J29">
        <f>+I29+J28</f>
        <v>141</v>
      </c>
      <c r="K29" s="19">
        <f>+J29*1.98</f>
        <v>279.18</v>
      </c>
    </row>
    <row r="30" spans="1:11" x14ac:dyDescent="0.2">
      <c r="A30" s="8" t="s">
        <v>53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>
        <f>SUM(B30:H30)</f>
        <v>0</v>
      </c>
      <c r="J30">
        <f>+I30+J29</f>
        <v>141</v>
      </c>
      <c r="K30" s="19">
        <f>+J30*1.98</f>
        <v>279.18</v>
      </c>
    </row>
    <row r="31" spans="1:11" x14ac:dyDescent="0.2">
      <c r="A31" t="s">
        <v>52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>
        <f>SUM(B31:H31)</f>
        <v>0</v>
      </c>
      <c r="J31">
        <f>+I31+J30</f>
        <v>141</v>
      </c>
      <c r="K31" s="19">
        <f>+J31*1.98</f>
        <v>279.18</v>
      </c>
    </row>
    <row r="32" spans="1:11" x14ac:dyDescent="0.2">
      <c r="A32" s="8" t="s">
        <v>51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>
        <f>SUM(B32:H32)</f>
        <v>0</v>
      </c>
      <c r="J32">
        <f>+I32+J31</f>
        <v>141</v>
      </c>
      <c r="K32" s="19">
        <f>+J32*1.98</f>
        <v>279.18</v>
      </c>
    </row>
    <row r="33" spans="1:11" x14ac:dyDescent="0.2">
      <c r="A33" s="8" t="s">
        <v>50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>
        <f>SUM(B33:H33)</f>
        <v>0</v>
      </c>
      <c r="J33">
        <f>+I33+J32</f>
        <v>141</v>
      </c>
      <c r="K33" s="19">
        <f>+J33*1.98</f>
        <v>279.18</v>
      </c>
    </row>
    <row r="34" spans="1:11" x14ac:dyDescent="0.2">
      <c r="A34" t="s">
        <v>49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>
        <f>SUM(B34:H34)</f>
        <v>0</v>
      </c>
      <c r="J34">
        <f>+I34+J33</f>
        <v>141</v>
      </c>
      <c r="K34" s="19">
        <f>+J34*1.98</f>
        <v>279.18</v>
      </c>
    </row>
    <row r="35" spans="1:11" x14ac:dyDescent="0.2">
      <c r="A35" s="8" t="s">
        <v>48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4</v>
      </c>
      <c r="H35" s="5">
        <v>5</v>
      </c>
      <c r="I35">
        <f>SUM(B35:H35)</f>
        <v>9</v>
      </c>
      <c r="J35">
        <f>+I35+J34</f>
        <v>150</v>
      </c>
      <c r="K35" s="19">
        <f>+J35*1.98</f>
        <v>297</v>
      </c>
    </row>
    <row r="36" spans="1:11" x14ac:dyDescent="0.2">
      <c r="A36" t="s">
        <v>47</v>
      </c>
      <c r="B36" s="5">
        <v>4</v>
      </c>
      <c r="C36" s="5">
        <v>2</v>
      </c>
      <c r="D36" s="5">
        <v>0</v>
      </c>
      <c r="E36" s="5">
        <v>0</v>
      </c>
      <c r="F36" s="5">
        <v>0</v>
      </c>
      <c r="G36" s="5">
        <v>2</v>
      </c>
      <c r="H36" s="5">
        <v>3</v>
      </c>
      <c r="I36">
        <f>SUM(B36:H36)</f>
        <v>11</v>
      </c>
      <c r="J36">
        <f>+I36+J35</f>
        <v>161</v>
      </c>
      <c r="K36" s="19">
        <f>+J36*1.98</f>
        <v>318.77999999999997</v>
      </c>
    </row>
    <row r="37" spans="1:11" x14ac:dyDescent="0.2">
      <c r="A37" s="8" t="s">
        <v>46</v>
      </c>
      <c r="B37" s="5">
        <v>2</v>
      </c>
      <c r="C37" s="5">
        <v>1</v>
      </c>
      <c r="D37" s="5">
        <v>0</v>
      </c>
      <c r="E37" s="5">
        <v>1</v>
      </c>
      <c r="F37" s="5">
        <v>1</v>
      </c>
      <c r="G37" s="5">
        <v>0</v>
      </c>
      <c r="H37" s="5">
        <v>0</v>
      </c>
      <c r="I37">
        <f>SUM(B37:H37)</f>
        <v>5</v>
      </c>
      <c r="J37">
        <f>+I37+J36</f>
        <v>166</v>
      </c>
      <c r="K37" s="19">
        <f>+J37*1.98</f>
        <v>328.68</v>
      </c>
    </row>
    <row r="38" spans="1:11" x14ac:dyDescent="0.2">
      <c r="A38" s="8" t="s">
        <v>45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>
        <f>SUM(B38:H38)</f>
        <v>0</v>
      </c>
      <c r="J38">
        <f>+I38+J37</f>
        <v>166</v>
      </c>
      <c r="K38" s="19">
        <f>+J38*1.98</f>
        <v>328.68</v>
      </c>
    </row>
    <row r="39" spans="1:11" x14ac:dyDescent="0.2">
      <c r="A39" t="s">
        <v>44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>
        <f>SUM(B39:H39)</f>
        <v>0</v>
      </c>
      <c r="J39">
        <f>+I39+J38</f>
        <v>166</v>
      </c>
      <c r="K39" s="19">
        <f>+J39*1.98</f>
        <v>328.68</v>
      </c>
    </row>
    <row r="40" spans="1:11" x14ac:dyDescent="0.2">
      <c r="A40" s="8" t="s">
        <v>43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>
        <f>SUM(B40:H40)</f>
        <v>0</v>
      </c>
      <c r="J40">
        <f>+I40+J39</f>
        <v>166</v>
      </c>
      <c r="K40" s="19">
        <f>+J40*1.98</f>
        <v>328.68</v>
      </c>
    </row>
    <row r="41" spans="1:11" x14ac:dyDescent="0.2">
      <c r="A41" s="8" t="s">
        <v>42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>
        <f>SUM(B41:H41)</f>
        <v>0</v>
      </c>
      <c r="J41">
        <f>+I41+J40</f>
        <v>166</v>
      </c>
      <c r="K41" s="19">
        <f>+J41*1.98</f>
        <v>328.68</v>
      </c>
    </row>
    <row r="42" spans="1:11" x14ac:dyDescent="0.2">
      <c r="A42" t="s">
        <v>41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>
        <f>SUM(B42:H42)</f>
        <v>0</v>
      </c>
      <c r="J42">
        <f>+I42+J41</f>
        <v>166</v>
      </c>
      <c r="K42" s="19">
        <f>+J42*1.98</f>
        <v>328.68</v>
      </c>
    </row>
    <row r="43" spans="1:11" x14ac:dyDescent="0.2">
      <c r="A43" s="8" t="s">
        <v>40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>
        <f>SUM(B43:H43)</f>
        <v>0</v>
      </c>
      <c r="J43">
        <f>+I43+J42</f>
        <v>166</v>
      </c>
      <c r="K43" s="19">
        <f>+J43*1.98</f>
        <v>328.68</v>
      </c>
    </row>
    <row r="44" spans="1:11" x14ac:dyDescent="0.2">
      <c r="A44" t="s">
        <v>39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>
        <f>SUM(B44:H44)</f>
        <v>0</v>
      </c>
      <c r="J44">
        <f>+I44+J43</f>
        <v>166</v>
      </c>
      <c r="K44" s="19">
        <f>+J44*1.98</f>
        <v>328.68</v>
      </c>
    </row>
    <row r="45" spans="1:11" x14ac:dyDescent="0.2">
      <c r="A45" s="8" t="s">
        <v>38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>
        <f>SUM(B45:H45)</f>
        <v>0</v>
      </c>
      <c r="J45">
        <f>+I45+J44</f>
        <v>166</v>
      </c>
      <c r="K45" s="19">
        <f>+J45*1.98</f>
        <v>328.68</v>
      </c>
    </row>
    <row r="46" spans="1:11" x14ac:dyDescent="0.2">
      <c r="A46" s="8" t="s">
        <v>37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>
        <f>SUM(B46:H46)</f>
        <v>0</v>
      </c>
      <c r="J46">
        <f>+I46+J45</f>
        <v>166</v>
      </c>
      <c r="K46" s="19">
        <f>+J46*1.98</f>
        <v>328.68</v>
      </c>
    </row>
    <row r="47" spans="1:11" x14ac:dyDescent="0.2">
      <c r="A47" t="s">
        <v>36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>
        <f>SUM(B47:H47)</f>
        <v>0</v>
      </c>
      <c r="J47">
        <f>+I47+J46</f>
        <v>166</v>
      </c>
      <c r="K47" s="19">
        <f>+J47*1.98</f>
        <v>328.68</v>
      </c>
    </row>
    <row r="48" spans="1:11" x14ac:dyDescent="0.2">
      <c r="A48" s="8" t="s">
        <v>35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>
        <f>SUM(B48:H48)</f>
        <v>0</v>
      </c>
      <c r="J48">
        <f>+I48+J47</f>
        <v>166</v>
      </c>
      <c r="K48" s="19">
        <f>+J48*1.98</f>
        <v>328.68</v>
      </c>
    </row>
    <row r="49" spans="1:11" x14ac:dyDescent="0.2">
      <c r="A49" s="8" t="s">
        <v>34</v>
      </c>
      <c r="B49" s="5">
        <v>0</v>
      </c>
      <c r="C49" s="5">
        <v>0</v>
      </c>
      <c r="D49" s="5">
        <v>0</v>
      </c>
      <c r="E49" s="5">
        <v>6</v>
      </c>
      <c r="F49" s="5">
        <v>15</v>
      </c>
      <c r="G49" s="5">
        <v>16</v>
      </c>
      <c r="H49" s="5">
        <v>25</v>
      </c>
      <c r="I49">
        <f>SUM(B49:H49)</f>
        <v>62</v>
      </c>
      <c r="J49">
        <f>+I49+J48</f>
        <v>228</v>
      </c>
      <c r="K49" s="19">
        <f>+J49*1.98</f>
        <v>451.44</v>
      </c>
    </row>
    <row r="50" spans="1:11" x14ac:dyDescent="0.2">
      <c r="A50" t="s">
        <v>33</v>
      </c>
      <c r="B50" s="5">
        <v>0</v>
      </c>
      <c r="C50" s="5">
        <v>9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>
        <f>SUM(B50:H50)</f>
        <v>9</v>
      </c>
      <c r="J50">
        <f>+I50+J49</f>
        <v>237</v>
      </c>
      <c r="K50" s="19">
        <f>+J50*1.98</f>
        <v>469.26</v>
      </c>
    </row>
    <row r="51" spans="1:11" x14ac:dyDescent="0.2">
      <c r="A51" s="8" t="s">
        <v>32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>
        <f>SUM(B51:H51)</f>
        <v>0</v>
      </c>
      <c r="J51">
        <f>+I51+J50</f>
        <v>237</v>
      </c>
      <c r="K51" s="19">
        <f>+J51*1.98</f>
        <v>469.26</v>
      </c>
    </row>
    <row r="52" spans="1:11" x14ac:dyDescent="0.2">
      <c r="A52" t="s">
        <v>31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>
        <f>SUM(B52:H52)</f>
        <v>0</v>
      </c>
      <c r="J52">
        <f>+I52+J51</f>
        <v>237</v>
      </c>
      <c r="K52" s="19">
        <f>+J52*1.98</f>
        <v>469.26</v>
      </c>
    </row>
    <row r="53" spans="1:11" x14ac:dyDescent="0.2">
      <c r="A53" s="8" t="s">
        <v>30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>
        <f>SUM(B53:H53)</f>
        <v>0</v>
      </c>
      <c r="J53">
        <f>+I53+J52</f>
        <v>237</v>
      </c>
      <c r="K53" s="19">
        <f>+J53*1.98</f>
        <v>469.26</v>
      </c>
    </row>
    <row r="54" spans="1:11" x14ac:dyDescent="0.2">
      <c r="A54" s="8" t="s">
        <v>29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>
        <f>SUM(B54:H54)</f>
        <v>0</v>
      </c>
      <c r="J54">
        <f>+I54+J53</f>
        <v>237</v>
      </c>
      <c r="K54" s="19">
        <f>+J54*1.98</f>
        <v>469.26</v>
      </c>
    </row>
    <row r="55" spans="1:11" x14ac:dyDescent="0.2">
      <c r="A55" t="s">
        <v>28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>
        <f>SUM(B55:H55)</f>
        <v>0</v>
      </c>
      <c r="J55">
        <f>+I55+J54</f>
        <v>237</v>
      </c>
      <c r="K55" s="19">
        <f>+J55*1.98</f>
        <v>469.26</v>
      </c>
    </row>
    <row r="56" spans="1:11" x14ac:dyDescent="0.2">
      <c r="A56" s="8" t="s">
        <v>27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>
        <f>SUM(B56:H56)</f>
        <v>0</v>
      </c>
      <c r="J56">
        <f>+I56+J55</f>
        <v>237</v>
      </c>
      <c r="K56" s="19">
        <f>+J56*1.98</f>
        <v>469.26</v>
      </c>
    </row>
    <row r="57" spans="1:11" x14ac:dyDescent="0.2">
      <c r="A57" s="8"/>
    </row>
    <row r="59" spans="1:11" x14ac:dyDescent="0.2">
      <c r="A59" s="8"/>
    </row>
    <row r="61" spans="1:11" x14ac:dyDescent="0.2">
      <c r="A61" s="8"/>
    </row>
    <row r="62" spans="1:11" x14ac:dyDescent="0.2">
      <c r="A62" s="8"/>
    </row>
    <row r="64" spans="1:11" x14ac:dyDescent="0.2">
      <c r="A64" s="8"/>
    </row>
    <row r="65" spans="1:1" x14ac:dyDescent="0.2">
      <c r="A65" s="8"/>
    </row>
    <row r="67" spans="1:1" x14ac:dyDescent="0.2">
      <c r="A67" s="8"/>
    </row>
    <row r="69" spans="1:1" x14ac:dyDescent="0.2">
      <c r="A69" s="8"/>
    </row>
    <row r="70" spans="1:1" x14ac:dyDescent="0.2">
      <c r="A70" s="8"/>
    </row>
    <row r="72" spans="1:1" x14ac:dyDescent="0.2">
      <c r="A72" s="8"/>
    </row>
    <row r="73" spans="1:1" x14ac:dyDescent="0.2">
      <c r="A73" s="8"/>
    </row>
    <row r="75" spans="1:1" x14ac:dyDescent="0.2">
      <c r="A75" s="8"/>
    </row>
    <row r="77" spans="1:1" x14ac:dyDescent="0.2">
      <c r="A77" s="8"/>
    </row>
    <row r="78" spans="1:1" x14ac:dyDescent="0.2">
      <c r="A78" s="8"/>
    </row>
    <row r="80" spans="1:1" x14ac:dyDescent="0.2">
      <c r="A80" s="8"/>
    </row>
    <row r="81" spans="1:1" x14ac:dyDescent="0.2">
      <c r="A81" s="8"/>
    </row>
    <row r="83" spans="1:1" x14ac:dyDescent="0.2">
      <c r="A83" s="8"/>
    </row>
    <row r="85" spans="1:1" x14ac:dyDescent="0.2">
      <c r="A85" s="8"/>
    </row>
    <row r="86" spans="1:1" x14ac:dyDescent="0.2">
      <c r="A86" s="8"/>
    </row>
    <row r="88" spans="1:1" x14ac:dyDescent="0.2">
      <c r="A88" s="8"/>
    </row>
    <row r="89" spans="1:1" x14ac:dyDescent="0.2">
      <c r="A89" s="8"/>
    </row>
    <row r="91" spans="1:1" x14ac:dyDescent="0.2">
      <c r="A91" s="8"/>
    </row>
    <row r="93" spans="1:1" x14ac:dyDescent="0.2">
      <c r="A93" s="8"/>
    </row>
    <row r="94" spans="1:1" x14ac:dyDescent="0.2">
      <c r="A94" s="8"/>
    </row>
    <row r="96" spans="1:1" x14ac:dyDescent="0.2">
      <c r="A96" s="8"/>
    </row>
    <row r="97" spans="1:1" x14ac:dyDescent="0.2">
      <c r="A97" s="8"/>
    </row>
    <row r="99" spans="1:1" x14ac:dyDescent="0.2">
      <c r="A99" s="8"/>
    </row>
    <row r="101" spans="1:1" x14ac:dyDescent="0.2">
      <c r="A101" s="8"/>
    </row>
    <row r="102" spans="1:1" x14ac:dyDescent="0.2">
      <c r="A102" s="8"/>
    </row>
    <row r="104" spans="1:1" x14ac:dyDescent="0.2">
      <c r="A104" s="8"/>
    </row>
    <row r="105" spans="1:1" x14ac:dyDescent="0.2">
      <c r="A105" s="8"/>
    </row>
    <row r="107" spans="1:1" x14ac:dyDescent="0.2">
      <c r="A107" s="8"/>
    </row>
    <row r="109" spans="1:1" x14ac:dyDescent="0.2">
      <c r="A109" s="8"/>
    </row>
    <row r="110" spans="1:1" x14ac:dyDescent="0.2">
      <c r="A110" s="8"/>
    </row>
  </sheetData>
  <pageMargins left="0.75" right="0.75" top="1" bottom="1" header="0.5" footer="0.5"/>
  <pageSetup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J-CAN</vt:lpstr>
      <vt:lpstr>ST-48</vt:lpstr>
      <vt:lpstr>SPILL</vt:lpstr>
      <vt:lpstr>D-PLNT HRS</vt:lpstr>
      <vt:lpstr>D-PLNT A.F.</vt:lpstr>
      <vt:lpstr>STRAITS</vt:lpstr>
      <vt:lpstr>'D-PLNT HRS'!Print_Area</vt:lpstr>
      <vt:lpstr>STRAITS!Print_Area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Kirby</dc:creator>
  <cp:lastModifiedBy>Brad Kirby</cp:lastModifiedBy>
  <dcterms:created xsi:type="dcterms:W3CDTF">2011-09-30T15:41:13Z</dcterms:created>
  <dcterms:modified xsi:type="dcterms:W3CDTF">2011-09-30T15:41:29Z</dcterms:modified>
</cp:coreProperties>
</file>