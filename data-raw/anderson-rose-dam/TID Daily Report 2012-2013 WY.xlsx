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5" yWindow="360" windowWidth="14025" windowHeight="11460" tabRatio="868" activeTab="1"/>
  </bookViews>
  <sheets>
    <sheet name="Sep 2013" sheetId="12" r:id="rId1"/>
    <sheet name="Aug 2013" sheetId="11" r:id="rId2"/>
    <sheet name="Jul 2013" sheetId="10" r:id="rId3"/>
    <sheet name="Jun 2013" sheetId="9" r:id="rId4"/>
    <sheet name="May 2013" sheetId="8" r:id="rId5"/>
    <sheet name="Apr 2013" sheetId="7" r:id="rId6"/>
    <sheet name="Mar 2013" sheetId="6" r:id="rId7"/>
    <sheet name="Feb 2013" sheetId="5" r:id="rId8"/>
    <sheet name="Jan 2013" sheetId="4" r:id="rId9"/>
    <sheet name="Dec 2012" sheetId="3" r:id="rId10"/>
    <sheet name="Nov 2012" sheetId="2" r:id="rId11"/>
    <sheet name="Oct 2012" sheetId="1" r:id="rId12"/>
  </sheets>
  <definedNames>
    <definedName name="_xlnm.Print_Area" localSheetId="5">'Apr 2013'!$A$1:$H$34</definedName>
    <definedName name="_xlnm.Print_Area" localSheetId="1">'Aug 2013'!$A$1:$H$39</definedName>
    <definedName name="_xlnm.Print_Area" localSheetId="7">'Feb 2013'!$A$1:$H$33</definedName>
    <definedName name="_xlnm.Print_Area" localSheetId="8">'Jan 2013'!$A$1:$H$35</definedName>
    <definedName name="_xlnm.Print_Area" localSheetId="2">'Jul 2013'!$A$1:$H$39</definedName>
    <definedName name="_xlnm.Print_Area" localSheetId="3">'Jun 2013'!$A$1:$H$38</definedName>
    <definedName name="_xlnm.Print_Area" localSheetId="6">'Mar 2013'!$A$1:$H$35</definedName>
    <definedName name="_xlnm.Print_Area" localSheetId="10">'Nov 2012'!$A$1:$H$38</definedName>
    <definedName name="_xlnm.Print_Area" localSheetId="11">'Oct 2012'!$A$1:$H$40</definedName>
    <definedName name="_xlnm.Print_Area" localSheetId="0">'Sep 2013'!$A$1:$H$38</definedName>
  </definedNames>
  <calcPr calcId="145621" iterate="1" iterateCount="1"/>
</workbook>
</file>

<file path=xl/calcChain.xml><?xml version="1.0" encoding="utf-8"?>
<calcChain xmlns="http://schemas.openxmlformats.org/spreadsheetml/2006/main">
  <c r="B36" i="7" l="1"/>
  <c r="B37" i="8"/>
  <c r="B37" i="10"/>
  <c r="B36" i="9"/>
  <c r="D36" i="7"/>
  <c r="C36" i="7"/>
  <c r="B39" i="6"/>
  <c r="C37" i="6"/>
  <c r="D37" i="8"/>
  <c r="C37" i="8"/>
  <c r="D33" i="7"/>
  <c r="C34" i="7"/>
  <c r="D34" i="6"/>
  <c r="D35" i="6"/>
  <c r="D35" i="4"/>
  <c r="C34" i="8"/>
  <c r="C35" i="8" s="1"/>
  <c r="B34" i="8"/>
  <c r="B35" i="8" s="1"/>
  <c r="E34" i="6" l="1"/>
  <c r="G33" i="12" l="1"/>
  <c r="F33" i="12"/>
  <c r="E33" i="12"/>
  <c r="D33" i="12"/>
  <c r="C33" i="12"/>
  <c r="B33" i="12"/>
  <c r="D37" i="11"/>
  <c r="C37" i="11"/>
  <c r="B37" i="11"/>
  <c r="G33" i="9"/>
  <c r="F33" i="9"/>
  <c r="E33" i="9"/>
  <c r="D33" i="9"/>
  <c r="C33" i="9"/>
  <c r="B39" i="1"/>
  <c r="B35" i="1"/>
  <c r="G33" i="2"/>
  <c r="G35" i="1"/>
  <c r="G34" i="1"/>
  <c r="C37" i="1" l="1"/>
  <c r="D37" i="1"/>
  <c r="D39" i="1"/>
  <c r="B37" i="1"/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G32" i="5" l="1"/>
  <c r="B33" i="7"/>
  <c r="C33" i="7"/>
  <c r="E33" i="7"/>
  <c r="F33" i="7"/>
  <c r="G33" i="7"/>
  <c r="F44" i="7"/>
  <c r="G44" i="7"/>
  <c r="H44" i="7"/>
  <c r="F45" i="7"/>
  <c r="G45" i="7"/>
  <c r="H45" i="7" s="1"/>
  <c r="F46" i="7"/>
  <c r="H46" i="7" s="1"/>
  <c r="G46" i="7"/>
  <c r="F47" i="7"/>
  <c r="G47" i="7"/>
  <c r="H47" i="7" s="1"/>
  <c r="F48" i="7"/>
  <c r="G48" i="7"/>
  <c r="H48" i="7"/>
  <c r="F52" i="7"/>
  <c r="F53" i="7"/>
  <c r="F57" i="7" s="1"/>
  <c r="F54" i="7"/>
  <c r="F55" i="7"/>
  <c r="F56" i="7"/>
  <c r="D57" i="7"/>
  <c r="B34" i="11"/>
  <c r="C34" i="11"/>
  <c r="D34" i="11"/>
  <c r="E34" i="11"/>
  <c r="F34" i="11"/>
  <c r="G34" i="11"/>
  <c r="F45" i="11"/>
  <c r="G45" i="11"/>
  <c r="H45" i="11" s="1"/>
  <c r="F46" i="11"/>
  <c r="H46" i="11" s="1"/>
  <c r="G46" i="11"/>
  <c r="F47" i="11"/>
  <c r="G47" i="11"/>
  <c r="H47" i="11" s="1"/>
  <c r="F48" i="11"/>
  <c r="G48" i="11"/>
  <c r="H48" i="11"/>
  <c r="F49" i="11"/>
  <c r="G49" i="11"/>
  <c r="H49" i="11" s="1"/>
  <c r="F53" i="11"/>
  <c r="F58" i="11" s="1"/>
  <c r="F54" i="11"/>
  <c r="F55" i="11"/>
  <c r="F56" i="11"/>
  <c r="F57" i="11"/>
  <c r="D58" i="11"/>
  <c r="B34" i="3"/>
  <c r="C34" i="3"/>
  <c r="D34" i="3"/>
  <c r="E34" i="3"/>
  <c r="F34" i="3"/>
  <c r="G34" i="3"/>
  <c r="B37" i="3"/>
  <c r="C37" i="3"/>
  <c r="D37" i="3"/>
  <c r="F45" i="3"/>
  <c r="H45" i="3" s="1"/>
  <c r="G45" i="3"/>
  <c r="F46" i="3"/>
  <c r="G46" i="3"/>
  <c r="H46" i="3" s="1"/>
  <c r="F47" i="3"/>
  <c r="G47" i="3"/>
  <c r="H47" i="3"/>
  <c r="F48" i="3"/>
  <c r="G48" i="3"/>
  <c r="H48" i="3" s="1"/>
  <c r="F49" i="3"/>
  <c r="H49" i="3" s="1"/>
  <c r="G49" i="3"/>
  <c r="D58" i="3"/>
  <c r="F58" i="3"/>
  <c r="B32" i="5"/>
  <c r="C32" i="5"/>
  <c r="D32" i="5"/>
  <c r="E32" i="5"/>
  <c r="F32" i="5"/>
  <c r="B35" i="5"/>
  <c r="C35" i="5"/>
  <c r="D35" i="5"/>
  <c r="F43" i="5"/>
  <c r="G43" i="5"/>
  <c r="H43" i="5" s="1"/>
  <c r="F44" i="5"/>
  <c r="H44" i="5" s="1"/>
  <c r="G44" i="5"/>
  <c r="F45" i="5"/>
  <c r="G45" i="5"/>
  <c r="H45" i="5" s="1"/>
  <c r="F46" i="5"/>
  <c r="G46" i="5"/>
  <c r="H46" i="5"/>
  <c r="F47" i="5"/>
  <c r="G47" i="5"/>
  <c r="H47" i="5" s="1"/>
  <c r="F51" i="5"/>
  <c r="F52" i="5"/>
  <c r="F53" i="5"/>
  <c r="F54" i="5"/>
  <c r="F56" i="5"/>
  <c r="F55" i="5"/>
  <c r="D56" i="5"/>
  <c r="B34" i="4"/>
  <c r="C34" i="4"/>
  <c r="D34" i="4"/>
  <c r="E34" i="4"/>
  <c r="F34" i="4"/>
  <c r="G34" i="4"/>
  <c r="B37" i="4"/>
  <c r="C37" i="4"/>
  <c r="D37" i="4"/>
  <c r="F45" i="4"/>
  <c r="H45" i="4" s="1"/>
  <c r="G45" i="4"/>
  <c r="F46" i="4"/>
  <c r="G46" i="4"/>
  <c r="H46" i="4" s="1"/>
  <c r="F47" i="4"/>
  <c r="G47" i="4"/>
  <c r="H47" i="4"/>
  <c r="F48" i="4"/>
  <c r="G48" i="4"/>
  <c r="H48" i="4" s="1"/>
  <c r="F49" i="4"/>
  <c r="H49" i="4" s="1"/>
  <c r="G49" i="4"/>
  <c r="F53" i="4"/>
  <c r="F58" i="4" s="1"/>
  <c r="F54" i="4"/>
  <c r="F55" i="4"/>
  <c r="F56" i="4"/>
  <c r="F57" i="4"/>
  <c r="D58" i="4"/>
  <c r="B34" i="10"/>
  <c r="C34" i="10"/>
  <c r="D34" i="10"/>
  <c r="E34" i="10"/>
  <c r="F34" i="10"/>
  <c r="G34" i="10"/>
  <c r="C37" i="10"/>
  <c r="D37" i="10"/>
  <c r="F45" i="10"/>
  <c r="G45" i="10"/>
  <c r="H45" i="10" s="1"/>
  <c r="F46" i="10"/>
  <c r="G46" i="10"/>
  <c r="H46" i="10"/>
  <c r="F47" i="10"/>
  <c r="G47" i="10"/>
  <c r="H47" i="10" s="1"/>
  <c r="F48" i="10"/>
  <c r="H48" i="10" s="1"/>
  <c r="G48" i="10"/>
  <c r="F49" i="10"/>
  <c r="G49" i="10"/>
  <c r="H49" i="10" s="1"/>
  <c r="F53" i="10"/>
  <c r="F54" i="10"/>
  <c r="F58" i="10"/>
  <c r="F55" i="10"/>
  <c r="F56" i="10"/>
  <c r="F57" i="10"/>
  <c r="D58" i="10"/>
  <c r="B33" i="9"/>
  <c r="C36" i="9"/>
  <c r="D36" i="9"/>
  <c r="F44" i="9"/>
  <c r="G44" i="9"/>
  <c r="H44" i="9"/>
  <c r="F45" i="9"/>
  <c r="G45" i="9"/>
  <c r="H45" i="9" s="1"/>
  <c r="F46" i="9"/>
  <c r="H46" i="9" s="1"/>
  <c r="G46" i="9"/>
  <c r="F47" i="9"/>
  <c r="G47" i="9"/>
  <c r="H47" i="9" s="1"/>
  <c r="F48" i="9"/>
  <c r="G48" i="9"/>
  <c r="H48" i="9"/>
  <c r="F52" i="9"/>
  <c r="F53" i="9"/>
  <c r="F57" i="9" s="1"/>
  <c r="F54" i="9"/>
  <c r="F55" i="9"/>
  <c r="F56" i="9"/>
  <c r="D57" i="9"/>
  <c r="B34" i="6"/>
  <c r="C34" i="6"/>
  <c r="F34" i="6"/>
  <c r="G34" i="6"/>
  <c r="B37" i="6"/>
  <c r="D37" i="6"/>
  <c r="F45" i="6"/>
  <c r="G45" i="6"/>
  <c r="H45" i="6" s="1"/>
  <c r="F46" i="6"/>
  <c r="H46" i="6" s="1"/>
  <c r="G46" i="6"/>
  <c r="F47" i="6"/>
  <c r="G47" i="6"/>
  <c r="H47" i="6" s="1"/>
  <c r="F48" i="6"/>
  <c r="G48" i="6"/>
  <c r="H48" i="6"/>
  <c r="F49" i="6"/>
  <c r="G49" i="6"/>
  <c r="H49" i="6" s="1"/>
  <c r="F53" i="6"/>
  <c r="F58" i="6" s="1"/>
  <c r="F54" i="6"/>
  <c r="F55" i="6"/>
  <c r="F56" i="6"/>
  <c r="F57" i="6"/>
  <c r="D58" i="6"/>
  <c r="D34" i="8"/>
  <c r="E34" i="8"/>
  <c r="F34" i="8"/>
  <c r="G34" i="8"/>
  <c r="F45" i="8"/>
  <c r="H45" i="8" s="1"/>
  <c r="G45" i="8"/>
  <c r="F46" i="8"/>
  <c r="G46" i="8"/>
  <c r="H46" i="8" s="1"/>
  <c r="F47" i="8"/>
  <c r="G47" i="8"/>
  <c r="H47" i="8"/>
  <c r="F48" i="8"/>
  <c r="G48" i="8"/>
  <c r="H48" i="8" s="1"/>
  <c r="F49" i="8"/>
  <c r="H49" i="8" s="1"/>
  <c r="G49" i="8"/>
  <c r="F53" i="8"/>
  <c r="F58" i="8" s="1"/>
  <c r="F54" i="8"/>
  <c r="F55" i="8"/>
  <c r="F56" i="8"/>
  <c r="F57" i="8"/>
  <c r="D58" i="8"/>
  <c r="B33" i="2"/>
  <c r="B34" i="2" s="1"/>
  <c r="C33" i="2"/>
  <c r="D33" i="2"/>
  <c r="E33" i="2"/>
  <c r="F33" i="2"/>
  <c r="G34" i="2"/>
  <c r="B36" i="2"/>
  <c r="C36" i="2"/>
  <c r="D36" i="2"/>
  <c r="D38" i="2" s="1"/>
  <c r="F44" i="2"/>
  <c r="G44" i="2"/>
  <c r="H44" i="2" s="1"/>
  <c r="F45" i="2"/>
  <c r="H45" i="2" s="1"/>
  <c r="G45" i="2"/>
  <c r="F46" i="2"/>
  <c r="G46" i="2"/>
  <c r="H46" i="2" s="1"/>
  <c r="F47" i="2"/>
  <c r="G47" i="2"/>
  <c r="H47" i="2"/>
  <c r="F48" i="2"/>
  <c r="G48" i="2"/>
  <c r="H48" i="2" s="1"/>
  <c r="D57" i="2"/>
  <c r="F57" i="2"/>
  <c r="B34" i="1"/>
  <c r="C34" i="1"/>
  <c r="C35" i="1"/>
  <c r="D34" i="1"/>
  <c r="E34" i="1"/>
  <c r="E35" i="1" s="1"/>
  <c r="F34" i="1"/>
  <c r="F35" i="1" s="1"/>
  <c r="D35" i="1"/>
  <c r="C39" i="1"/>
  <c r="F45" i="1"/>
  <c r="G45" i="1"/>
  <c r="H45" i="1" s="1"/>
  <c r="F46" i="1"/>
  <c r="G46" i="1"/>
  <c r="H46" i="1"/>
  <c r="F47" i="1"/>
  <c r="G47" i="1"/>
  <c r="H47" i="1" s="1"/>
  <c r="F48" i="1"/>
  <c r="H48" i="1" s="1"/>
  <c r="G48" i="1"/>
  <c r="F49" i="1"/>
  <c r="G49" i="1"/>
  <c r="H49" i="1" s="1"/>
  <c r="D58" i="1"/>
  <c r="F58" i="1"/>
  <c r="F59" i="1" s="1"/>
  <c r="D59" i="1"/>
  <c r="B36" i="12"/>
  <c r="C36" i="12"/>
  <c r="D36" i="12"/>
  <c r="F44" i="12"/>
  <c r="G44" i="12"/>
  <c r="H44" i="12" s="1"/>
  <c r="F45" i="12"/>
  <c r="G45" i="12"/>
  <c r="H45" i="12"/>
  <c r="F46" i="12"/>
  <c r="G46" i="12"/>
  <c r="H46" i="12" s="1"/>
  <c r="F47" i="12"/>
  <c r="H47" i="12" s="1"/>
  <c r="G47" i="12"/>
  <c r="F48" i="12"/>
  <c r="G48" i="12"/>
  <c r="H48" i="12" s="1"/>
  <c r="F52" i="12"/>
  <c r="F53" i="12"/>
  <c r="F54" i="12"/>
  <c r="F57" i="12" s="1"/>
  <c r="F55" i="12"/>
  <c r="F56" i="12"/>
  <c r="D57" i="12"/>
  <c r="D39" i="3" l="1"/>
  <c r="D39" i="4" s="1"/>
  <c r="D37" i="5" s="1"/>
  <c r="D39" i="6" s="1"/>
  <c r="D38" i="7" s="1"/>
  <c r="D39" i="8" s="1"/>
  <c r="D38" i="9" s="1"/>
  <c r="D39" i="10" s="1"/>
  <c r="D39" i="11" s="1"/>
  <c r="D38" i="12" s="1"/>
  <c r="C38" i="2"/>
  <c r="C39" i="3" s="1"/>
  <c r="C39" i="4" s="1"/>
  <c r="C37" i="5" s="1"/>
  <c r="C39" i="6" s="1"/>
  <c r="C38" i="7" s="1"/>
  <c r="C39" i="8" s="1"/>
  <c r="C38" i="9" s="1"/>
  <c r="C39" i="10" s="1"/>
  <c r="C39" i="11" s="1"/>
  <c r="C38" i="12" s="1"/>
  <c r="B38" i="2"/>
  <c r="B39" i="3" s="1"/>
  <c r="B39" i="4" s="1"/>
  <c r="B37" i="5" s="1"/>
  <c r="B38" i="7" s="1"/>
  <c r="C34" i="2"/>
  <c r="C35" i="3" s="1"/>
  <c r="C35" i="4" s="1"/>
  <c r="C33" i="5" s="1"/>
  <c r="C35" i="6" s="1"/>
  <c r="C34" i="9" s="1"/>
  <c r="C35" i="10" s="1"/>
  <c r="C35" i="11" s="1"/>
  <c r="C34" i="12" s="1"/>
  <c r="F34" i="2"/>
  <c r="F35" i="3" s="1"/>
  <c r="F35" i="4" s="1"/>
  <c r="F33" i="5" s="1"/>
  <c r="F35" i="6" s="1"/>
  <c r="F34" i="7" s="1"/>
  <c r="F35" i="8" s="1"/>
  <c r="F34" i="9" s="1"/>
  <c r="F35" i="10" s="1"/>
  <c r="F35" i="11" s="1"/>
  <c r="F34" i="12" s="1"/>
  <c r="B35" i="3"/>
  <c r="B35" i="4" s="1"/>
  <c r="B33" i="5" s="1"/>
  <c r="B35" i="6" s="1"/>
  <c r="B34" i="7" s="1"/>
  <c r="B34" i="9" s="1"/>
  <c r="B35" i="10" s="1"/>
  <c r="B35" i="11" s="1"/>
  <c r="B34" i="12" s="1"/>
  <c r="G35" i="3"/>
  <c r="G35" i="4" s="1"/>
  <c r="G33" i="5" s="1"/>
  <c r="G35" i="6" s="1"/>
  <c r="G34" i="7" s="1"/>
  <c r="G35" i="8" s="1"/>
  <c r="G34" i="9" s="1"/>
  <c r="G35" i="10" s="1"/>
  <c r="G35" i="11" s="1"/>
  <c r="G34" i="12" s="1"/>
  <c r="E34" i="2"/>
  <c r="E35" i="3" s="1"/>
  <c r="E35" i="4" s="1"/>
  <c r="E33" i="5" s="1"/>
  <c r="E35" i="6" s="1"/>
  <c r="E34" i="7" s="1"/>
  <c r="E35" i="8" s="1"/>
  <c r="E34" i="9" s="1"/>
  <c r="E35" i="10" s="1"/>
  <c r="E35" i="11" s="1"/>
  <c r="E34" i="12" s="1"/>
  <c r="D34" i="2"/>
  <c r="D35" i="3" s="1"/>
  <c r="D33" i="5" s="1"/>
  <c r="D34" i="7" s="1"/>
  <c r="B39" i="8" l="1"/>
  <c r="B38" i="9" s="1"/>
  <c r="B39" i="10" s="1"/>
  <c r="B39" i="11" s="1"/>
  <c r="B38" i="12" s="1"/>
  <c r="D35" i="8"/>
  <c r="D34" i="9" s="1"/>
  <c r="D35" i="10" s="1"/>
  <c r="D35" i="11" s="1"/>
  <c r="D34" i="12" s="1"/>
</calcChain>
</file>

<file path=xl/sharedStrings.xml><?xml version="1.0" encoding="utf-8"?>
<sst xmlns="http://schemas.openxmlformats.org/spreadsheetml/2006/main" count="479" uniqueCount="128">
  <si>
    <t>DATE</t>
  </si>
  <si>
    <t>ANDERSON-ROSE</t>
  </si>
  <si>
    <t>J CANAL</t>
  </si>
  <si>
    <t>D PLANT</t>
  </si>
  <si>
    <t>TULE LAKE ELEV.</t>
  </si>
  <si>
    <t>STATION 48</t>
  </si>
  <si>
    <t>TULE LAKE PRECIP</t>
  </si>
  <si>
    <t>TULE LAKE SNOW</t>
  </si>
  <si>
    <t>Monthly Total</t>
  </si>
  <si>
    <t>WY Total</t>
  </si>
  <si>
    <t>Acre Feet</t>
  </si>
  <si>
    <t>CHANGES @ STATION 48</t>
  </si>
  <si>
    <t>*  COMPUTATIONAL PURPOSES ONLY!  Do Not Enter Data in the Red Columns</t>
  </si>
  <si>
    <t>Time</t>
  </si>
  <si>
    <t>Current CFS</t>
  </si>
  <si>
    <t>Hours Run</t>
  </si>
  <si>
    <t>+/- cfs</t>
  </si>
  <si>
    <t>Sta 48</t>
  </si>
  <si>
    <t>Use for more than 1 change in a day.</t>
  </si>
  <si>
    <t>**Station 48:</t>
  </si>
  <si>
    <t>Sub-total cfs</t>
  </si>
  <si>
    <t>Total Hours Run</t>
  </si>
  <si>
    <t>Total/Day cfs</t>
  </si>
  <si>
    <t>*This is computation purposes only for Station 48</t>
  </si>
  <si>
    <t>WY AF Total</t>
  </si>
  <si>
    <t>(in CFS)</t>
  </si>
  <si>
    <t>(in AF)</t>
  </si>
  <si>
    <t xml:space="preserve"> </t>
  </si>
  <si>
    <t>*11 AM 20/0</t>
  </si>
  <si>
    <t>* 2nd unit at D Started at 9:48 AM</t>
  </si>
  <si>
    <t>*4 PM 0/50</t>
  </si>
  <si>
    <t>*1 PM 50/100</t>
  </si>
  <si>
    <t>*9 AM 100/150</t>
  </si>
  <si>
    <t>*8 AM 150/50</t>
  </si>
  <si>
    <t>T</t>
  </si>
  <si>
    <t>*8 AM 50/75</t>
  </si>
  <si>
    <t>*8 AM 75/100</t>
  </si>
  <si>
    <t>*7 AM 100/150</t>
  </si>
  <si>
    <t>*7:00 am 150/100</t>
  </si>
  <si>
    <t>*1PM 100/50</t>
  </si>
  <si>
    <t>*4PM 50/25</t>
  </si>
  <si>
    <t>*5PM 25/0</t>
  </si>
  <si>
    <t>* D Plant OFF approx. 9AM</t>
  </si>
  <si>
    <t>* J Canal OFF 9AM</t>
  </si>
  <si>
    <t>4034..40</t>
  </si>
  <si>
    <t>*2 units on at approx 9AM</t>
  </si>
  <si>
    <t>*D Plant will be restarted at approx 9:00 AMOff for Aprox. 6 Hrs</t>
  </si>
  <si>
    <t>*D Plant Off for Aprox. 24 Hrs</t>
  </si>
  <si>
    <t>*D Plant Off at Approx. 3:00 PM</t>
  </si>
  <si>
    <t>1"</t>
  </si>
  <si>
    <t>2"</t>
  </si>
  <si>
    <t>.1"</t>
  </si>
  <si>
    <t>.7"</t>
  </si>
  <si>
    <t>* 4 PM 0/25</t>
  </si>
  <si>
    <t>*8</t>
  </si>
  <si>
    <t>* 8 AM 25/50</t>
  </si>
  <si>
    <t>* 4  PM 50/75</t>
  </si>
  <si>
    <t>* 8 AM 75/100</t>
  </si>
  <si>
    <t>* 8 AM 100/75</t>
  </si>
  <si>
    <t>* 2 PM 75/50</t>
  </si>
  <si>
    <t>* 8 AM 100/150</t>
  </si>
  <si>
    <t>* 8 AM 150/200//**12PM 200/250</t>
  </si>
  <si>
    <t>* 8 AM 250/150</t>
  </si>
  <si>
    <t>* 4 PM 150/200</t>
  </si>
  <si>
    <t>* 8 AM 200/250 4 PM 250/200</t>
  </si>
  <si>
    <r>
      <t xml:space="preserve">* 8 AM 50/100 </t>
    </r>
    <r>
      <rPr>
        <sz val="11"/>
        <color rgb="FFFF0000"/>
        <rFont val="Calibri"/>
        <family val="2"/>
        <scheme val="minor"/>
      </rPr>
      <t>D PLANT TEST</t>
    </r>
  </si>
  <si>
    <t>* 8 AM 200/250</t>
  </si>
  <si>
    <t>* 4 PM 250/300</t>
  </si>
  <si>
    <t>* 7 AM 300/250</t>
  </si>
  <si>
    <t>* 2 PM 250/200</t>
  </si>
  <si>
    <t>* 3 PM 200/250</t>
  </si>
  <si>
    <t>* 7 AM 250/200 * Noon 200/150</t>
  </si>
  <si>
    <t>* 2 PM 150/100</t>
  </si>
  <si>
    <t>* 9 AM 100/150</t>
  </si>
  <si>
    <t>* 8:30 AM 150/200  * 3 PM 200/250</t>
  </si>
  <si>
    <t>* 7:30 AM 300/150</t>
  </si>
  <si>
    <t>* 8 AM 150/100 *2 PM 100/50</t>
  </si>
  <si>
    <t>* 2 PM 50/100</t>
  </si>
  <si>
    <t>* 7 AM 100/50</t>
  </si>
  <si>
    <t>* 7 AM 50/100 * 9 AM 100/150</t>
  </si>
  <si>
    <t>* 10 AM 150/200 * 4:30 PM 200/150</t>
  </si>
  <si>
    <t>* 7 AM 150/100</t>
  </si>
  <si>
    <t>* 1 PM 100/150</t>
  </si>
  <si>
    <t>* 9 AM 200/250</t>
  </si>
  <si>
    <t>* 8 AM 150/200</t>
  </si>
  <si>
    <t>* Noon 250/300</t>
  </si>
  <si>
    <t>* 7 AM 300/250 * 6 PM 250/300</t>
  </si>
  <si>
    <t>* 11 AM 250/350 * No Change</t>
  </si>
  <si>
    <t>* 1 PM 350/400</t>
  </si>
  <si>
    <t>* 11 Am 400/350 * 6 PM 350/300</t>
  </si>
  <si>
    <t>* 3 PM 300/250</t>
  </si>
  <si>
    <t>* 9 AM 250/300 6 PM 300/350</t>
  </si>
  <si>
    <t>* 8 AM 350/300</t>
  </si>
  <si>
    <t>* 6 PM 250/300</t>
  </si>
  <si>
    <t>* 7 AM 300/250 * 6 PM 250/200</t>
  </si>
  <si>
    <t>* 7 AM 300/250 * 1 PM 250/200</t>
  </si>
  <si>
    <t>* 7 AM 250/200</t>
  </si>
  <si>
    <t>* 3 PM 200/150</t>
  </si>
  <si>
    <t>* 7 AM 150/100 * 8 AM 100/50</t>
  </si>
  <si>
    <t>* 3 PM 50/25</t>
  </si>
  <si>
    <t>* 5 PM 25/50 *6 PM 50/100</t>
  </si>
  <si>
    <t>* 7 AM 100/200 * 6 PM 200/250</t>
  </si>
  <si>
    <t xml:space="preserve">* 8 AM 250/200 * 3 PM 200/250 </t>
  </si>
  <si>
    <t>* 7 PM 250/300</t>
  </si>
  <si>
    <t>* 8 AM 300/250 * 4 PM 250/200</t>
  </si>
  <si>
    <t>* 9 AM 150/200 * 3 PM 200/150</t>
  </si>
  <si>
    <t>* 8 AM 150/100</t>
  </si>
  <si>
    <t>* 10 AM 100/150 * 6 PM 150/200</t>
  </si>
  <si>
    <t>* 9 AM 200/150 * 6 PM 150/100</t>
  </si>
  <si>
    <t>* 6 PM 150/100</t>
  </si>
  <si>
    <t>* 10 AM 100/150</t>
  </si>
  <si>
    <t>* 6 PM 100/50</t>
  </si>
  <si>
    <t>* 7 AM 50/100</t>
  </si>
  <si>
    <t>* 4 PM 100/150</t>
  </si>
  <si>
    <t>* 10 AM 250/200</t>
  </si>
  <si>
    <t>* 6 PM 200/250</t>
  </si>
  <si>
    <t>* 7 AM 200/150</t>
  </si>
  <si>
    <t>* 12 PM 150/50 * 4 PM 50/200</t>
  </si>
  <si>
    <t>* 5 PM 200/150</t>
  </si>
  <si>
    <t>* 7 AM 150/200</t>
  </si>
  <si>
    <t>* 10 AM 200/150 * 6 PM 150/100</t>
  </si>
  <si>
    <t>* 7 AM 100/200 * 5 PM 200/150</t>
  </si>
  <si>
    <t>* 7 AM 150/200 * 6 PM 200/150</t>
  </si>
  <si>
    <t>* 7 AM 150/100 * 1 PM 100/50</t>
  </si>
  <si>
    <t>* 7 AM 50/100 *2 PM 100/50 * 6 PM 50/100</t>
  </si>
  <si>
    <t>* 5 PM 150/100</t>
  </si>
  <si>
    <t>* 5 PM 100/50</t>
  </si>
  <si>
    <t>* 6 PM 50/25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</si>
</sst>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0.0"/>
    <numFmt numFmtId="166" formatCode="0_);[Red]\(0\)"/>
    <numFmt numFmtId="167" formatCode="h:mm;@"/>
  </numFmts>
  <fonts count="2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0"/>
      <color indexed="10"/>
      <name val="MS Sans Serif"/>
      <family val="2"/>
    </font>
    <font>
      <b/>
      <sz val="8"/>
      <color indexed="10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b/>
      <sz val="10"/>
      <color indexed="12"/>
      <name val="MS Sans Serif"/>
      <family val="2"/>
    </font>
    <font>
      <b/>
      <sz val="10"/>
      <color indexed="58"/>
      <name val="MS Sans Serif"/>
      <family val="2"/>
    </font>
    <font>
      <b/>
      <sz val="10"/>
      <color indexed="8"/>
      <name val="MS Sans Serif"/>
      <family val="2"/>
    </font>
    <font>
      <sz val="10"/>
      <color indexed="10"/>
      <name val="MS Sans Serif"/>
      <family val="2"/>
    </font>
    <font>
      <sz val="10"/>
      <name val="MS Sans Serif"/>
      <family val="2"/>
    </font>
    <font>
      <b/>
      <sz val="12"/>
      <color indexed="12"/>
      <name val="MS Sans Serif"/>
      <family val="2"/>
    </font>
    <font>
      <sz val="10"/>
      <color indexed="12"/>
      <name val="MS Sans Serif"/>
      <family val="2"/>
    </font>
    <font>
      <sz val="10"/>
      <color indexed="58"/>
      <name val="MS Sans Serif"/>
      <family val="2"/>
    </font>
    <font>
      <sz val="12"/>
      <color indexed="12"/>
      <name val="MS Sans Serif"/>
      <family val="2"/>
    </font>
    <font>
      <b/>
      <sz val="10"/>
      <color indexed="12"/>
      <name val="MS Sans Serif"/>
      <family val="2"/>
    </font>
    <font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13"/>
        <bgColor indexed="64"/>
      </patternFill>
    </fill>
  </fills>
  <borders count="2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5" fillId="0" borderId="0"/>
    <xf numFmtId="0" fontId="2" fillId="0" borderId="0"/>
  </cellStyleXfs>
  <cellXfs count="136">
    <xf numFmtId="0" fontId="0" fillId="0" borderId="0" xfId="0"/>
    <xf numFmtId="0" fontId="6" fillId="0" borderId="0" xfId="0" applyFont="1" applyAlignment="1">
      <alignment wrapText="1"/>
    </xf>
    <xf numFmtId="14" fontId="0" fillId="0" borderId="0" xfId="0" applyNumberFormat="1"/>
    <xf numFmtId="4" fontId="3" fillId="2" borderId="1" xfId="1" applyNumberFormat="1" applyFont="1" applyFill="1" applyBorder="1" applyAlignment="1">
      <alignment horizontal="center" wrapText="1"/>
    </xf>
    <xf numFmtId="4" fontId="0" fillId="0" borderId="0" xfId="0" applyNumberFormat="1"/>
    <xf numFmtId="3" fontId="3" fillId="2" borderId="1" xfId="1" applyNumberFormat="1" applyFont="1" applyFill="1" applyBorder="1" applyAlignment="1">
      <alignment horizontal="center" wrapText="1"/>
    </xf>
    <xf numFmtId="3" fontId="0" fillId="0" borderId="0" xfId="0" applyNumberFormat="1"/>
    <xf numFmtId="2" fontId="3" fillId="2" borderId="1" xfId="1" applyNumberFormat="1" applyFont="1" applyFill="1" applyBorder="1" applyAlignment="1">
      <alignment horizontal="center" wrapText="1"/>
    </xf>
    <xf numFmtId="2" fontId="0" fillId="0" borderId="0" xfId="0" applyNumberFormat="1"/>
    <xf numFmtId="1" fontId="3" fillId="2" borderId="1" xfId="1" applyNumberFormat="1" applyFont="1" applyFill="1" applyBorder="1" applyAlignment="1">
      <alignment horizontal="center" wrapText="1"/>
    </xf>
    <xf numFmtId="1" fontId="0" fillId="0" borderId="0" xfId="0" applyNumberFormat="1"/>
    <xf numFmtId="0" fontId="6" fillId="0" borderId="0" xfId="0" applyFont="1"/>
    <xf numFmtId="14" fontId="4" fillId="0" borderId="1" xfId="2" applyNumberFormat="1" applyFont="1" applyFill="1" applyBorder="1" applyAlignment="1">
      <alignment horizontal="right" wrapText="1"/>
    </xf>
    <xf numFmtId="1" fontId="4" fillId="0" borderId="1" xfId="2" applyNumberFormat="1" applyFont="1" applyFill="1" applyBorder="1" applyAlignment="1">
      <alignment horizontal="right" wrapText="1"/>
    </xf>
    <xf numFmtId="2" fontId="4" fillId="0" borderId="1" xfId="2" applyNumberFormat="1" applyFont="1" applyFill="1" applyBorder="1" applyAlignment="1">
      <alignment horizontal="right" wrapText="1"/>
    </xf>
    <xf numFmtId="4" fontId="4" fillId="0" borderId="1" xfId="2" applyNumberFormat="1" applyFont="1" applyFill="1" applyBorder="1" applyAlignment="1">
      <alignment horizontal="right" wrapText="1"/>
    </xf>
    <xf numFmtId="14" fontId="6" fillId="0" borderId="2" xfId="0" applyNumberFormat="1" applyFont="1" applyBorder="1"/>
    <xf numFmtId="3" fontId="6" fillId="0" borderId="2" xfId="0" applyNumberFormat="1" applyFont="1" applyBorder="1"/>
    <xf numFmtId="4" fontId="6" fillId="0" borderId="2" xfId="0" applyNumberFormat="1" applyFont="1" applyBorder="1"/>
    <xf numFmtId="14" fontId="6" fillId="0" borderId="1" xfId="0" applyNumberFormat="1" applyFont="1" applyBorder="1"/>
    <xf numFmtId="3" fontId="6" fillId="0" borderId="1" xfId="0" applyNumberFormat="1" applyFont="1" applyBorder="1"/>
    <xf numFmtId="4" fontId="6" fillId="0" borderId="1" xfId="0" applyNumberFormat="1" applyFont="1" applyBorder="1"/>
    <xf numFmtId="165" fontId="0" fillId="0" borderId="0" xfId="0" applyNumberFormat="1"/>
    <xf numFmtId="165" fontId="0" fillId="0" borderId="0" xfId="0" applyNumberFormat="1" applyAlignment="1">
      <alignment horizontal="center"/>
    </xf>
    <xf numFmtId="165" fontId="0" fillId="0" borderId="0" xfId="0" applyNumberFormat="1" applyFill="1" applyAlignment="1">
      <alignment horizontal="center"/>
    </xf>
    <xf numFmtId="1" fontId="1" fillId="0" borderId="1" xfId="3" applyNumberFormat="1" applyFont="1" applyFill="1" applyBorder="1" applyAlignment="1">
      <alignment horizontal="right" wrapText="1"/>
    </xf>
    <xf numFmtId="2" fontId="1" fillId="0" borderId="1" xfId="3" applyNumberFormat="1" applyFont="1" applyFill="1" applyBorder="1" applyAlignment="1">
      <alignment horizontal="right" wrapText="1"/>
    </xf>
    <xf numFmtId="4" fontId="1" fillId="0" borderId="1" xfId="3" applyNumberFormat="1" applyFont="1" applyFill="1" applyBorder="1" applyAlignment="1">
      <alignment horizontal="right" wrapText="1"/>
    </xf>
    <xf numFmtId="14" fontId="1" fillId="0" borderId="1" xfId="3" applyNumberFormat="1" applyFont="1" applyFill="1" applyBorder="1" applyAlignment="1">
      <alignment horizontal="right" wrapText="1"/>
    </xf>
    <xf numFmtId="0" fontId="7" fillId="0" borderId="0" xfId="0" applyFont="1" applyBorder="1" applyAlignment="1">
      <alignment horizontal="center"/>
    </xf>
    <xf numFmtId="0" fontId="9" fillId="0" borderId="0" xfId="2" applyFont="1" applyBorder="1" applyProtection="1"/>
    <xf numFmtId="166" fontId="9" fillId="0" borderId="0" xfId="2" applyNumberFormat="1" applyFont="1" applyBorder="1" applyProtection="1"/>
    <xf numFmtId="0" fontId="10" fillId="0" borderId="0" xfId="0" applyFont="1" applyBorder="1"/>
    <xf numFmtId="166" fontId="10" fillId="0" borderId="0" xfId="0" applyNumberFormat="1" applyFont="1"/>
    <xf numFmtId="0" fontId="10" fillId="0" borderId="0" xfId="0" applyFont="1"/>
    <xf numFmtId="14" fontId="10" fillId="0" borderId="3" xfId="0" applyNumberFormat="1" applyFont="1" applyBorder="1" applyAlignment="1">
      <alignment horizontal="right"/>
    </xf>
    <xf numFmtId="167" fontId="10" fillId="0" borderId="4" xfId="0" applyNumberFormat="1" applyFont="1" applyFill="1" applyBorder="1" applyAlignment="1">
      <alignment horizontal="right"/>
    </xf>
    <xf numFmtId="0" fontId="10" fillId="0" borderId="4" xfId="0" applyFont="1" applyBorder="1"/>
    <xf numFmtId="38" fontId="10" fillId="0" borderId="5" xfId="0" applyNumberFormat="1" applyFont="1" applyFill="1" applyBorder="1" applyAlignment="1">
      <alignment horizontal="right"/>
    </xf>
    <xf numFmtId="0" fontId="14" fillId="0" borderId="3" xfId="0" applyFont="1" applyBorder="1"/>
    <xf numFmtId="1" fontId="14" fillId="0" borderId="4" xfId="0" applyNumberFormat="1" applyFont="1" applyBorder="1"/>
    <xf numFmtId="1" fontId="14" fillId="0" borderId="6" xfId="0" applyNumberFormat="1" applyFont="1" applyBorder="1"/>
    <xf numFmtId="14" fontId="11" fillId="0" borderId="3" xfId="0" applyNumberFormat="1" applyFont="1" applyBorder="1" applyAlignment="1">
      <alignment horizontal="left"/>
    </xf>
    <xf numFmtId="38" fontId="10" fillId="0" borderId="6" xfId="0" applyNumberFormat="1" applyFont="1" applyFill="1" applyBorder="1" applyAlignment="1">
      <alignment horizontal="right"/>
    </xf>
    <xf numFmtId="14" fontId="15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" fontId="10" fillId="0" borderId="0" xfId="0" applyNumberFormat="1" applyFont="1" applyAlignment="1">
      <alignment horizontal="center"/>
    </xf>
    <xf numFmtId="1" fontId="10" fillId="0" borderId="0" xfId="0" quotePrefix="1" applyNumberFormat="1" applyFont="1" applyAlignment="1">
      <alignment horizontal="center"/>
    </xf>
    <xf numFmtId="14" fontId="11" fillId="0" borderId="8" xfId="0" applyNumberFormat="1" applyFont="1" applyBorder="1" applyAlignment="1">
      <alignment horizontal="center" wrapText="1"/>
    </xf>
    <xf numFmtId="167" fontId="11" fillId="0" borderId="9" xfId="0" applyNumberFormat="1" applyFont="1" applyFill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11" fillId="0" borderId="9" xfId="0" quotePrefix="1" applyFont="1" applyFill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166" fontId="12" fillId="0" borderId="11" xfId="0" applyNumberFormat="1" applyFont="1" applyBorder="1" applyAlignment="1">
      <alignment horizontal="center" wrapText="1"/>
    </xf>
    <xf numFmtId="0" fontId="12" fillId="0" borderId="0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14" fontId="15" fillId="0" borderId="12" xfId="0" applyNumberFormat="1" applyFont="1" applyBorder="1" applyAlignment="1">
      <alignment horizontal="right"/>
    </xf>
    <xf numFmtId="167" fontId="15" fillId="0" borderId="4" xfId="0" applyNumberFormat="1" applyFont="1" applyFill="1" applyBorder="1" applyAlignment="1">
      <alignment horizontal="right"/>
    </xf>
    <xf numFmtId="0" fontId="15" fillId="0" borderId="4" xfId="0" applyFont="1" applyBorder="1"/>
    <xf numFmtId="0" fontId="17" fillId="0" borderId="4" xfId="0" applyFont="1" applyBorder="1"/>
    <xf numFmtId="38" fontId="15" fillId="0" borderId="4" xfId="0" applyNumberFormat="1" applyFont="1" applyFill="1" applyBorder="1" applyAlignment="1">
      <alignment horizontal="right"/>
    </xf>
    <xf numFmtId="164" fontId="17" fillId="0" borderId="13" xfId="0" applyNumberFormat="1" applyFont="1" applyBorder="1"/>
    <xf numFmtId="166" fontId="18" fillId="0" borderId="11" xfId="0" applyNumberFormat="1" applyFont="1" applyBorder="1"/>
    <xf numFmtId="164" fontId="18" fillId="0" borderId="0" xfId="0" applyNumberFormat="1" applyFont="1" applyBorder="1"/>
    <xf numFmtId="0" fontId="19" fillId="0" borderId="0" xfId="0" applyFont="1"/>
    <xf numFmtId="14" fontId="15" fillId="0" borderId="3" xfId="0" applyNumberFormat="1" applyFont="1" applyBorder="1"/>
    <xf numFmtId="20" fontId="15" fillId="0" borderId="4" xfId="0" applyNumberFormat="1" applyFont="1" applyBorder="1"/>
    <xf numFmtId="1" fontId="15" fillId="0" borderId="4" xfId="0" applyNumberFormat="1" applyFont="1" applyBorder="1"/>
    <xf numFmtId="38" fontId="15" fillId="0" borderId="4" xfId="0" applyNumberFormat="1" applyFont="1" applyBorder="1"/>
    <xf numFmtId="164" fontId="17" fillId="0" borderId="6" xfId="0" applyNumberFormat="1" applyFont="1" applyBorder="1"/>
    <xf numFmtId="38" fontId="15" fillId="0" borderId="14" xfId="0" applyNumberFormat="1" applyFont="1" applyBorder="1"/>
    <xf numFmtId="0" fontId="15" fillId="0" borderId="15" xfId="0" applyFont="1" applyBorder="1"/>
    <xf numFmtId="20" fontId="15" fillId="0" borderId="16" xfId="0" applyNumberFormat="1" applyFont="1" applyBorder="1"/>
    <xf numFmtId="1" fontId="15" fillId="0" borderId="16" xfId="0" applyNumberFormat="1" applyFont="1" applyBorder="1"/>
    <xf numFmtId="0" fontId="17" fillId="0" borderId="16" xfId="0" applyFont="1" applyBorder="1"/>
    <xf numFmtId="164" fontId="17" fillId="0" borderId="17" xfId="0" applyNumberFormat="1" applyFont="1" applyBorder="1"/>
    <xf numFmtId="0" fontId="0" fillId="0" borderId="0" xfId="0" applyBorder="1"/>
    <xf numFmtId="1" fontId="20" fillId="0" borderId="9" xfId="0" applyNumberFormat="1" applyFont="1" applyBorder="1" applyAlignment="1">
      <alignment horizontal="center" vertical="center" wrapText="1"/>
    </xf>
    <xf numFmtId="1" fontId="13" fillId="0" borderId="4" xfId="0" applyNumberFormat="1" applyFont="1" applyBorder="1" applyAlignment="1">
      <alignment horizontal="center" vertical="center" wrapText="1"/>
    </xf>
    <xf numFmtId="164" fontId="17" fillId="3" borderId="18" xfId="0" applyNumberFormat="1" applyFont="1" applyFill="1" applyBorder="1" applyAlignment="1">
      <alignment vertical="center"/>
    </xf>
    <xf numFmtId="166" fontId="18" fillId="0" borderId="11" xfId="0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" fontId="3" fillId="2" borderId="0" xfId="1" applyNumberFormat="1" applyFont="1" applyFill="1" applyBorder="1" applyAlignment="1">
      <alignment horizontal="center" wrapText="1"/>
    </xf>
    <xf numFmtId="14" fontId="3" fillId="2" borderId="19" xfId="1" applyNumberFormat="1" applyFont="1" applyFill="1" applyBorder="1" applyAlignment="1">
      <alignment wrapText="1"/>
    </xf>
    <xf numFmtId="14" fontId="3" fillId="2" borderId="20" xfId="1" applyNumberFormat="1" applyFont="1" applyFill="1" applyBorder="1" applyAlignment="1">
      <alignment horizontal="center" wrapText="1"/>
    </xf>
    <xf numFmtId="1" fontId="1" fillId="0" borderId="21" xfId="3" applyNumberFormat="1" applyFont="1" applyFill="1" applyBorder="1" applyAlignment="1">
      <alignment horizontal="right" wrapText="1"/>
    </xf>
    <xf numFmtId="2" fontId="1" fillId="0" borderId="21" xfId="3" applyNumberFormat="1" applyFont="1" applyFill="1" applyBorder="1" applyAlignment="1">
      <alignment horizontal="right" wrapText="1"/>
    </xf>
    <xf numFmtId="3" fontId="1" fillId="0" borderId="1" xfId="3" applyNumberFormat="1" applyFont="1" applyFill="1" applyBorder="1" applyAlignment="1">
      <alignment horizontal="right" wrapText="1"/>
    </xf>
    <xf numFmtId="3" fontId="1" fillId="0" borderId="21" xfId="3" applyNumberFormat="1" applyFont="1" applyFill="1" applyBorder="1" applyAlignment="1">
      <alignment horizontal="right" wrapText="1"/>
    </xf>
    <xf numFmtId="1" fontId="21" fillId="0" borderId="1" xfId="3" applyNumberFormat="1" applyFont="1" applyFill="1" applyBorder="1" applyAlignment="1">
      <alignment horizontal="right" wrapText="1"/>
    </xf>
    <xf numFmtId="0" fontId="22" fillId="0" borderId="0" xfId="0" applyFont="1"/>
    <xf numFmtId="4" fontId="21" fillId="0" borderId="1" xfId="3" applyNumberFormat="1" applyFont="1" applyFill="1" applyBorder="1" applyAlignment="1">
      <alignment horizontal="right" wrapText="1"/>
    </xf>
    <xf numFmtId="14" fontId="23" fillId="2" borderId="20" xfId="1" applyNumberFormat="1" applyFont="1" applyFill="1" applyBorder="1" applyAlignment="1">
      <alignment horizontal="center" wrapText="1"/>
    </xf>
    <xf numFmtId="3" fontId="23" fillId="2" borderId="1" xfId="1" applyNumberFormat="1" applyFont="1" applyFill="1" applyBorder="1" applyAlignment="1">
      <alignment horizontal="center" wrapText="1"/>
    </xf>
    <xf numFmtId="2" fontId="23" fillId="2" borderId="1" xfId="1" applyNumberFormat="1" applyFont="1" applyFill="1" applyBorder="1" applyAlignment="1">
      <alignment horizontal="center" wrapText="1"/>
    </xf>
    <xf numFmtId="4" fontId="23" fillId="2" borderId="1" xfId="1" applyNumberFormat="1" applyFont="1" applyFill="1" applyBorder="1" applyAlignment="1">
      <alignment horizontal="center" wrapText="1"/>
    </xf>
    <xf numFmtId="14" fontId="23" fillId="2" borderId="19" xfId="1" applyNumberFormat="1" applyFont="1" applyFill="1" applyBorder="1" applyAlignment="1">
      <alignment wrapText="1"/>
    </xf>
    <xf numFmtId="3" fontId="24" fillId="0" borderId="1" xfId="3" applyNumberFormat="1" applyFont="1" applyFill="1" applyBorder="1" applyAlignment="1">
      <alignment horizontal="right" wrapText="1"/>
    </xf>
    <xf numFmtId="2" fontId="24" fillId="0" borderId="1" xfId="3" applyNumberFormat="1" applyFont="1" applyFill="1" applyBorder="1" applyAlignment="1">
      <alignment horizontal="right" wrapText="1"/>
    </xf>
    <xf numFmtId="14" fontId="23" fillId="0" borderId="2" xfId="0" applyNumberFormat="1" applyFont="1" applyBorder="1"/>
    <xf numFmtId="14" fontId="23" fillId="0" borderId="1" xfId="0" applyNumberFormat="1" applyFont="1" applyBorder="1"/>
    <xf numFmtId="3" fontId="23" fillId="0" borderId="1" xfId="0" applyNumberFormat="1" applyFont="1" applyBorder="1"/>
    <xf numFmtId="4" fontId="23" fillId="0" borderId="1" xfId="0" applyNumberFormat="1" applyFont="1" applyBorder="1"/>
    <xf numFmtId="14" fontId="24" fillId="0" borderId="1" xfId="3" applyNumberFormat="1" applyFont="1" applyFill="1" applyBorder="1" applyAlignment="1">
      <alignment horizontal="right" wrapText="1"/>
    </xf>
    <xf numFmtId="1" fontId="1" fillId="0" borderId="1" xfId="2" applyNumberFormat="1" applyFont="1" applyFill="1" applyBorder="1" applyAlignment="1">
      <alignment horizontal="right" wrapText="1"/>
    </xf>
    <xf numFmtId="2" fontId="1" fillId="0" borderId="1" xfId="2" applyNumberFormat="1" applyFont="1" applyFill="1" applyBorder="1" applyAlignment="1">
      <alignment horizontal="right" wrapText="1"/>
    </xf>
    <xf numFmtId="0" fontId="25" fillId="0" borderId="0" xfId="0" applyFont="1"/>
    <xf numFmtId="4" fontId="1" fillId="0" borderId="1" xfId="2" applyNumberFormat="1" applyFont="1" applyFill="1" applyBorder="1" applyAlignment="1">
      <alignment horizontal="right" wrapText="1"/>
    </xf>
    <xf numFmtId="1" fontId="26" fillId="0" borderId="1" xfId="2" applyNumberFormat="1" applyFont="1" applyFill="1" applyBorder="1" applyAlignment="1">
      <alignment horizontal="right" wrapText="1"/>
    </xf>
    <xf numFmtId="1" fontId="27" fillId="0" borderId="1" xfId="3" applyNumberFormat="1" applyFont="1" applyFill="1" applyBorder="1" applyAlignment="1">
      <alignment horizontal="right" wrapText="1"/>
    </xf>
    <xf numFmtId="18" fontId="25" fillId="0" borderId="0" xfId="0" applyNumberFormat="1" applyFont="1"/>
    <xf numFmtId="1" fontId="1" fillId="0" borderId="1" xfId="3" applyNumberFormat="1" applyFont="1" applyFill="1" applyBorder="1" applyAlignment="1">
      <alignment horizontal="right" wrapText="1"/>
    </xf>
    <xf numFmtId="2" fontId="1" fillId="0" borderId="1" xfId="3" applyNumberFormat="1" applyFont="1" applyFill="1" applyBorder="1" applyAlignment="1">
      <alignment horizontal="right" wrapText="1"/>
    </xf>
    <xf numFmtId="4" fontId="1" fillId="0" borderId="1" xfId="3" applyNumberFormat="1" applyFont="1" applyFill="1" applyBorder="1" applyAlignment="1">
      <alignment horizontal="right" wrapText="1"/>
    </xf>
    <xf numFmtId="0" fontId="25" fillId="0" borderId="0" xfId="0" applyFont="1"/>
    <xf numFmtId="0" fontId="7" fillId="0" borderId="0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8" fillId="0" borderId="23" xfId="2" applyFont="1" applyBorder="1" applyAlignment="1" applyProtection="1">
      <alignment horizontal="center" wrapText="1"/>
    </xf>
    <xf numFmtId="0" fontId="8" fillId="0" borderId="22" xfId="2" applyFont="1" applyBorder="1" applyAlignment="1" applyProtection="1">
      <alignment horizontal="center" wrapText="1"/>
    </xf>
    <xf numFmtId="14" fontId="7" fillId="0" borderId="24" xfId="0" applyNumberFormat="1" applyFont="1" applyBorder="1" applyAlignment="1">
      <alignment horizontal="center"/>
    </xf>
    <xf numFmtId="14" fontId="7" fillId="0" borderId="0" xfId="0" applyNumberFormat="1" applyFont="1" applyBorder="1" applyAlignment="1">
      <alignment horizontal="center"/>
    </xf>
    <xf numFmtId="1" fontId="13" fillId="0" borderId="25" xfId="0" applyNumberFormat="1" applyFont="1" applyBorder="1" applyAlignment="1">
      <alignment horizontal="right" vertical="center" wrapText="1"/>
    </xf>
    <xf numFmtId="1" fontId="13" fillId="0" borderId="26" xfId="0" applyNumberFormat="1" applyFont="1" applyBorder="1" applyAlignment="1">
      <alignment horizontal="right" vertical="center" wrapText="1"/>
    </xf>
    <xf numFmtId="1" fontId="13" fillId="0" borderId="27" xfId="0" applyNumberFormat="1" applyFont="1" applyBorder="1" applyAlignment="1">
      <alignment horizontal="right" vertical="center" wrapText="1"/>
    </xf>
    <xf numFmtId="1" fontId="1" fillId="0" borderId="1" xfId="3" applyNumberFormat="1" applyFont="1" applyFill="1" applyBorder="1" applyAlignment="1">
      <alignment horizontal="right" wrapText="1"/>
    </xf>
    <xf numFmtId="2" fontId="1" fillId="0" borderId="1" xfId="3" applyNumberFormat="1" applyFont="1" applyFill="1" applyBorder="1" applyAlignment="1">
      <alignment horizontal="right" wrapText="1"/>
    </xf>
    <xf numFmtId="4" fontId="1" fillId="0" borderId="1" xfId="3" applyNumberFormat="1" applyFont="1" applyFill="1" applyBorder="1" applyAlignment="1">
      <alignment horizontal="right" wrapText="1"/>
    </xf>
    <xf numFmtId="0" fontId="25" fillId="0" borderId="0" xfId="0" applyFont="1"/>
    <xf numFmtId="0" fontId="0" fillId="0" borderId="0" xfId="0"/>
    <xf numFmtId="1" fontId="1" fillId="0" borderId="1" xfId="3" applyNumberFormat="1" applyFont="1" applyFill="1" applyBorder="1" applyAlignment="1">
      <alignment horizontal="right" wrapText="1"/>
    </xf>
    <xf numFmtId="2" fontId="1" fillId="0" borderId="1" xfId="3" applyNumberFormat="1" applyFont="1" applyFill="1" applyBorder="1" applyAlignment="1">
      <alignment horizontal="right" wrapText="1"/>
    </xf>
    <xf numFmtId="4" fontId="1" fillId="0" borderId="1" xfId="3" applyNumberFormat="1" applyFont="1" applyFill="1" applyBorder="1" applyAlignment="1">
      <alignment horizontal="right" wrapText="1"/>
    </xf>
    <xf numFmtId="0" fontId="25" fillId="0" borderId="0" xfId="0" applyFont="1"/>
  </cellXfs>
  <cellStyles count="4">
    <cellStyle name="Normal" xfId="0" builtinId="0"/>
    <cellStyle name="Normal_Sheet1" xfId="1"/>
    <cellStyle name="Normal_Sheet1_1" xfId="2"/>
    <cellStyle name="Normal_Sheet1_1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7"/>
  <sheetViews>
    <sheetView zoomScaleNormal="100"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D36" sqref="D36"/>
    </sheetView>
  </sheetViews>
  <sheetFormatPr defaultRowHeight="15" x14ac:dyDescent="0.25"/>
  <cols>
    <col min="1" max="1" width="13.5703125" bestFit="1" customWidth="1"/>
    <col min="2" max="8" width="11.7109375" customWidth="1"/>
    <col min="9" max="9" width="26.28515625" bestFit="1" customWidth="1"/>
  </cols>
  <sheetData>
    <row r="1" spans="1:9" s="1" customFormat="1" ht="28.9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ht="14.45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ht="14.45" x14ac:dyDescent="0.3">
      <c r="A3" s="28">
        <v>41518</v>
      </c>
      <c r="B3" s="25"/>
      <c r="C3" s="25"/>
      <c r="D3" s="25"/>
      <c r="E3" s="26"/>
      <c r="F3" s="26"/>
      <c r="G3" s="25"/>
      <c r="H3" s="27"/>
    </row>
    <row r="4" spans="1:9" ht="14.45" x14ac:dyDescent="0.3">
      <c r="A4" s="28">
        <v>41519</v>
      </c>
      <c r="B4" s="25"/>
      <c r="C4" s="25"/>
      <c r="D4" s="25"/>
      <c r="E4" s="26"/>
      <c r="F4" s="26"/>
      <c r="G4" s="25"/>
      <c r="H4" s="27"/>
    </row>
    <row r="5" spans="1:9" ht="14.45" x14ac:dyDescent="0.3">
      <c r="A5" s="28">
        <v>41520</v>
      </c>
      <c r="B5" s="25"/>
      <c r="C5" s="25"/>
      <c r="D5" s="25"/>
      <c r="E5" s="26"/>
      <c r="F5" s="26"/>
      <c r="G5" s="25"/>
      <c r="H5" s="27"/>
    </row>
    <row r="6" spans="1:9" ht="14.45" x14ac:dyDescent="0.3">
      <c r="A6" s="28">
        <v>41521</v>
      </c>
      <c r="B6" s="25"/>
      <c r="C6" s="25"/>
      <c r="D6" s="25"/>
      <c r="E6" s="26"/>
      <c r="F6" s="26"/>
      <c r="G6" s="25"/>
      <c r="H6" s="27"/>
    </row>
    <row r="7" spans="1:9" ht="14.45" x14ac:dyDescent="0.3">
      <c r="A7" s="28">
        <v>41522</v>
      </c>
      <c r="B7" s="25"/>
      <c r="C7" s="25"/>
      <c r="D7" s="25"/>
      <c r="E7" s="26"/>
      <c r="F7" s="26"/>
      <c r="G7" s="25"/>
      <c r="H7" s="27"/>
    </row>
    <row r="8" spans="1:9" ht="14.45" x14ac:dyDescent="0.3">
      <c r="A8" s="28">
        <v>41523</v>
      </c>
      <c r="B8" s="25"/>
      <c r="C8" s="25"/>
      <c r="D8" s="25"/>
      <c r="E8" s="26"/>
      <c r="F8" s="26"/>
      <c r="G8" s="25"/>
      <c r="H8" s="27"/>
    </row>
    <row r="9" spans="1:9" ht="14.45" x14ac:dyDescent="0.3">
      <c r="A9" s="28">
        <v>41524</v>
      </c>
      <c r="B9" s="25"/>
      <c r="C9" s="25"/>
      <c r="D9" s="25"/>
      <c r="E9" s="26"/>
      <c r="F9" s="26"/>
      <c r="G9" s="25"/>
      <c r="H9" s="27"/>
    </row>
    <row r="10" spans="1:9" ht="14.45" x14ac:dyDescent="0.3">
      <c r="A10" s="28">
        <v>41525</v>
      </c>
      <c r="B10" s="25"/>
      <c r="C10" s="25"/>
      <c r="D10" s="25"/>
      <c r="E10" s="26"/>
      <c r="F10" s="26"/>
      <c r="G10" s="25"/>
      <c r="H10" s="27"/>
    </row>
    <row r="11" spans="1:9" ht="14.45" x14ac:dyDescent="0.3">
      <c r="A11" s="28">
        <v>41526</v>
      </c>
      <c r="B11" s="25"/>
      <c r="C11" s="25"/>
      <c r="D11" s="25"/>
      <c r="E11" s="26"/>
      <c r="F11" s="26"/>
      <c r="G11" s="25"/>
      <c r="H11" s="27"/>
    </row>
    <row r="12" spans="1:9" ht="14.45" x14ac:dyDescent="0.3">
      <c r="A12" s="28">
        <v>41527</v>
      </c>
      <c r="B12" s="25"/>
      <c r="C12" s="25"/>
      <c r="D12" s="25"/>
      <c r="E12" s="26"/>
      <c r="F12" s="26"/>
      <c r="G12" s="25"/>
      <c r="H12" s="27"/>
    </row>
    <row r="13" spans="1:9" ht="14.45" x14ac:dyDescent="0.3">
      <c r="A13" s="28">
        <v>41528</v>
      </c>
      <c r="B13" s="25"/>
      <c r="C13" s="25"/>
      <c r="D13" s="25"/>
      <c r="E13" s="26"/>
      <c r="F13" s="26"/>
      <c r="G13" s="25"/>
      <c r="H13" s="27"/>
    </row>
    <row r="14" spans="1:9" ht="14.45" x14ac:dyDescent="0.3">
      <c r="A14" s="28">
        <v>41529</v>
      </c>
      <c r="B14" s="25"/>
      <c r="C14" s="25"/>
      <c r="D14" s="25"/>
      <c r="E14" s="26"/>
      <c r="F14" s="26"/>
      <c r="G14" s="25"/>
      <c r="H14" s="27"/>
    </row>
    <row r="15" spans="1:9" ht="14.45" x14ac:dyDescent="0.3">
      <c r="A15" s="28">
        <v>41530</v>
      </c>
      <c r="B15" s="25"/>
      <c r="C15" s="25"/>
      <c r="D15" s="25"/>
      <c r="E15" s="26"/>
      <c r="F15" s="26"/>
      <c r="G15" s="25"/>
      <c r="H15" s="27"/>
    </row>
    <row r="16" spans="1:9" ht="14.45" x14ac:dyDescent="0.3">
      <c r="A16" s="28">
        <v>41531</v>
      </c>
      <c r="B16" s="25"/>
      <c r="C16" s="25"/>
      <c r="D16" s="25"/>
      <c r="E16" s="26"/>
      <c r="F16" s="26"/>
      <c r="G16" s="25"/>
      <c r="H16" s="27"/>
    </row>
    <row r="17" spans="1:8" ht="14.45" x14ac:dyDescent="0.3">
      <c r="A17" s="28">
        <v>41532</v>
      </c>
      <c r="B17" s="25"/>
      <c r="C17" s="25"/>
      <c r="D17" s="25"/>
      <c r="E17" s="26"/>
      <c r="F17" s="26"/>
      <c r="G17" s="25"/>
      <c r="H17" s="27"/>
    </row>
    <row r="18" spans="1:8" ht="14.45" x14ac:dyDescent="0.3">
      <c r="A18" s="28">
        <v>41533</v>
      </c>
      <c r="B18" s="25"/>
      <c r="C18" s="25"/>
      <c r="D18" s="25"/>
      <c r="E18" s="26"/>
      <c r="F18" s="26"/>
      <c r="G18" s="25"/>
      <c r="H18" s="27"/>
    </row>
    <row r="19" spans="1:8" ht="14.45" x14ac:dyDescent="0.3">
      <c r="A19" s="28">
        <v>41534</v>
      </c>
      <c r="B19" s="25"/>
      <c r="C19" s="25"/>
      <c r="D19" s="25"/>
      <c r="E19" s="26"/>
      <c r="F19" s="26"/>
      <c r="G19" s="25"/>
      <c r="H19" s="27"/>
    </row>
    <row r="20" spans="1:8" ht="14.45" x14ac:dyDescent="0.3">
      <c r="A20" s="28">
        <v>41535</v>
      </c>
      <c r="B20" s="25"/>
      <c r="C20" s="25"/>
      <c r="D20" s="25"/>
      <c r="E20" s="26"/>
      <c r="F20" s="26"/>
      <c r="G20" s="25"/>
      <c r="H20" s="27"/>
    </row>
    <row r="21" spans="1:8" ht="14.45" x14ac:dyDescent="0.3">
      <c r="A21" s="28">
        <v>41536</v>
      </c>
      <c r="B21" s="25"/>
      <c r="C21" s="25"/>
      <c r="D21" s="25"/>
      <c r="E21" s="26"/>
      <c r="F21" s="26"/>
      <c r="G21" s="25"/>
      <c r="H21" s="27"/>
    </row>
    <row r="22" spans="1:8" ht="14.45" x14ac:dyDescent="0.3">
      <c r="A22" s="28">
        <v>41537</v>
      </c>
      <c r="B22" s="25"/>
      <c r="C22" s="25"/>
      <c r="D22" s="25"/>
      <c r="E22" s="26"/>
      <c r="F22" s="26"/>
      <c r="G22" s="25"/>
      <c r="H22" s="27"/>
    </row>
    <row r="23" spans="1:8" ht="14.45" x14ac:dyDescent="0.3">
      <c r="A23" s="28">
        <v>41538</v>
      </c>
      <c r="B23" s="25"/>
      <c r="C23" s="25"/>
      <c r="D23" s="25"/>
      <c r="E23" s="26"/>
      <c r="F23" s="26"/>
      <c r="G23" s="25"/>
      <c r="H23" s="27"/>
    </row>
    <row r="24" spans="1:8" ht="14.45" x14ac:dyDescent="0.3">
      <c r="A24" s="28">
        <v>41539</v>
      </c>
      <c r="B24" s="25"/>
      <c r="C24" s="25"/>
      <c r="D24" s="25"/>
      <c r="E24" s="26"/>
      <c r="F24" s="26"/>
      <c r="G24" s="25"/>
      <c r="H24" s="27"/>
    </row>
    <row r="25" spans="1:8" ht="14.45" x14ac:dyDescent="0.3">
      <c r="A25" s="28">
        <v>41540</v>
      </c>
      <c r="B25" s="25"/>
      <c r="C25" s="25"/>
      <c r="D25" s="25"/>
      <c r="E25" s="26"/>
      <c r="F25" s="26"/>
      <c r="G25" s="25"/>
      <c r="H25" s="27"/>
    </row>
    <row r="26" spans="1:8" ht="14.45" x14ac:dyDescent="0.3">
      <c r="A26" s="28">
        <v>41541</v>
      </c>
      <c r="B26" s="25"/>
      <c r="C26" s="25"/>
      <c r="D26" s="25"/>
      <c r="E26" s="26"/>
      <c r="F26" s="26"/>
      <c r="G26" s="25"/>
      <c r="H26" s="27"/>
    </row>
    <row r="27" spans="1:8" ht="14.45" x14ac:dyDescent="0.3">
      <c r="A27" s="28">
        <v>41542</v>
      </c>
      <c r="B27" s="25"/>
      <c r="C27" s="25"/>
      <c r="D27" s="25"/>
      <c r="E27" s="26"/>
      <c r="F27" s="26"/>
      <c r="G27" s="25"/>
      <c r="H27" s="27"/>
    </row>
    <row r="28" spans="1:8" ht="14.45" x14ac:dyDescent="0.3">
      <c r="A28" s="28">
        <v>41543</v>
      </c>
      <c r="B28" s="25"/>
      <c r="C28" s="25"/>
      <c r="D28" s="25"/>
      <c r="E28" s="26"/>
      <c r="F28" s="26"/>
      <c r="G28" s="25"/>
      <c r="H28" s="27"/>
    </row>
    <row r="29" spans="1:8" ht="14.45" x14ac:dyDescent="0.3">
      <c r="A29" s="28">
        <v>41544</v>
      </c>
      <c r="B29" s="13"/>
      <c r="C29" s="13"/>
      <c r="D29" s="13"/>
      <c r="E29" s="14"/>
      <c r="F29" s="14"/>
      <c r="G29" s="13"/>
      <c r="H29" s="15"/>
    </row>
    <row r="30" spans="1:8" ht="14.45" x14ac:dyDescent="0.3">
      <c r="A30" s="28">
        <v>41545</v>
      </c>
      <c r="B30" s="13"/>
      <c r="C30" s="13"/>
      <c r="D30" s="13"/>
      <c r="E30" s="14"/>
      <c r="F30" s="14"/>
      <c r="G30" s="13"/>
      <c r="H30" s="15"/>
    </row>
    <row r="31" spans="1:8" ht="14.45" x14ac:dyDescent="0.3">
      <c r="A31" s="28">
        <v>41546</v>
      </c>
      <c r="B31" s="13"/>
      <c r="C31" s="13"/>
      <c r="D31" s="13"/>
      <c r="E31" s="14"/>
      <c r="F31" s="14"/>
      <c r="G31" s="13"/>
      <c r="H31" s="15"/>
    </row>
    <row r="32" spans="1:8" thickBot="1" x14ac:dyDescent="0.35">
      <c r="A32" s="28">
        <v>41547</v>
      </c>
      <c r="B32" s="107"/>
      <c r="C32" s="13"/>
      <c r="D32" s="13"/>
      <c r="E32" s="14"/>
      <c r="F32" s="14"/>
      <c r="G32" s="13"/>
      <c r="H32" s="15"/>
    </row>
    <row r="33" spans="1:14" s="11" customFormat="1" thickTop="1" x14ac:dyDescent="0.3">
      <c r="A33" s="16" t="s">
        <v>8</v>
      </c>
      <c r="B33" s="17">
        <f t="shared" ref="B33:G33" si="0">SUM(B3:B32)</f>
        <v>0</v>
      </c>
      <c r="C33" s="17">
        <f t="shared" si="0"/>
        <v>0</v>
      </c>
      <c r="D33" s="17">
        <f t="shared" si="0"/>
        <v>0</v>
      </c>
      <c r="E33" s="18">
        <f t="shared" si="0"/>
        <v>0</v>
      </c>
      <c r="F33" s="18">
        <f t="shared" si="0"/>
        <v>0</v>
      </c>
      <c r="G33" s="17">
        <f t="shared" si="0"/>
        <v>0</v>
      </c>
      <c r="H33" s="18"/>
    </row>
    <row r="34" spans="1:14" s="11" customFormat="1" ht="14.45" x14ac:dyDescent="0.3">
      <c r="A34" s="19" t="s">
        <v>9</v>
      </c>
      <c r="B34" s="20">
        <f>SUM(B33+'Aug 2013'!B35)</f>
        <v>23386</v>
      </c>
      <c r="C34" s="20">
        <f>SUM(C33+'Aug 2013'!C35)</f>
        <v>4878</v>
      </c>
      <c r="D34" s="20">
        <f>SUM(D33+'Aug 2013'!D35)</f>
        <v>46785</v>
      </c>
      <c r="E34" s="21">
        <f>SUM(E33+'Aug 2013'!E35)</f>
        <v>8.1300000000000008</v>
      </c>
      <c r="F34" s="21">
        <f>SUM(F33+'Aug 2013'!F35)</f>
        <v>12.1</v>
      </c>
      <c r="G34" s="20">
        <f>SUM(G33+'Aug 2013'!G35)</f>
        <v>20772</v>
      </c>
      <c r="H34" s="21"/>
    </row>
    <row r="36" spans="1:14" ht="14.45" x14ac:dyDescent="0.3">
      <c r="A36" t="s">
        <v>10</v>
      </c>
      <c r="B36" s="23">
        <f>SUM(B3:B32)*1.9835</f>
        <v>0</v>
      </c>
      <c r="C36" s="23">
        <f>SUM(C3:C32)*1.9835</f>
        <v>0</v>
      </c>
      <c r="D36" s="23">
        <f>SUM(D3:D32)*1.9835</f>
        <v>0</v>
      </c>
      <c r="E36" s="23"/>
      <c r="F36" s="23"/>
      <c r="G36" s="23"/>
    </row>
    <row r="37" spans="1:14" ht="14.45" x14ac:dyDescent="0.3">
      <c r="B37" s="23"/>
      <c r="C37" s="23"/>
      <c r="D37" s="24"/>
      <c r="E37" s="23"/>
      <c r="F37" s="23"/>
      <c r="G37" s="23"/>
    </row>
    <row r="38" spans="1:14" ht="14.45" x14ac:dyDescent="0.3">
      <c r="A38" t="s">
        <v>24</v>
      </c>
      <c r="B38" s="23">
        <f>SUM(B36+'Aug 2013'!B39)</f>
        <v>46386.131000000001</v>
      </c>
      <c r="C38" s="23">
        <f>SUM(C36+'Aug 2013'!C39)</f>
        <v>9675.5130000000008</v>
      </c>
      <c r="D38" s="23">
        <f>SUM(D36+'Aug 2013'!D39)</f>
        <v>92798.047500000001</v>
      </c>
      <c r="E38" s="23"/>
      <c r="F38" s="23"/>
      <c r="G38" s="23"/>
    </row>
    <row r="40" spans="1:14" ht="17.45" customHeight="1" x14ac:dyDescent="0.25">
      <c r="A40" s="118"/>
      <c r="B40" s="118"/>
      <c r="C40" s="118"/>
      <c r="D40" s="118"/>
      <c r="E40" s="118"/>
      <c r="F40" s="119"/>
      <c r="G40" s="120" t="s">
        <v>12</v>
      </c>
      <c r="H40" s="121"/>
      <c r="I40" s="30"/>
      <c r="J40" s="30"/>
      <c r="K40" s="30"/>
      <c r="L40" s="30"/>
      <c r="M40" s="31"/>
      <c r="N40" s="30"/>
    </row>
    <row r="41" spans="1:14" ht="16.899999999999999" customHeight="1" x14ac:dyDescent="0.25">
      <c r="A41" s="29"/>
      <c r="B41" s="29"/>
      <c r="C41" s="29"/>
      <c r="D41" s="29"/>
      <c r="E41" s="29"/>
      <c r="F41" s="29"/>
      <c r="G41" s="120"/>
      <c r="H41" s="121"/>
      <c r="I41" s="30"/>
      <c r="J41" s="30"/>
      <c r="K41" s="30"/>
      <c r="L41" s="30"/>
      <c r="M41" s="31"/>
      <c r="N41" s="30"/>
    </row>
    <row r="42" spans="1:14" ht="13.9" customHeight="1" thickBot="1" x14ac:dyDescent="0.35">
      <c r="A42" s="122" t="s">
        <v>23</v>
      </c>
      <c r="B42" s="122"/>
      <c r="C42" s="122"/>
      <c r="D42" s="122"/>
      <c r="E42" s="122"/>
      <c r="F42" s="122"/>
      <c r="G42" s="122"/>
      <c r="H42" s="122"/>
      <c r="I42" s="123"/>
      <c r="J42" s="32"/>
      <c r="K42" s="32"/>
      <c r="L42" s="32"/>
      <c r="M42" s="33"/>
      <c r="N42" s="34"/>
    </row>
    <row r="43" spans="1:14" ht="15.6" customHeight="1" x14ac:dyDescent="0.3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3"/>
    </row>
    <row r="44" spans="1:14" ht="14.45" x14ac:dyDescent="0.3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3"/>
    </row>
    <row r="45" spans="1:14" ht="14.4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ht="14.4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ht="14.4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ht="14.45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ht="13.15" customHeight="1" x14ac:dyDescent="0.25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3"/>
      <c r="N49" s="34"/>
    </row>
    <row r="50" spans="1:14" ht="15.75" thickBot="1" x14ac:dyDescent="0.3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3"/>
      <c r="N50" s="34"/>
    </row>
    <row r="51" spans="1:14" ht="26.25" x14ac:dyDescent="0.25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</row>
    <row r="52" spans="1:14" ht="15.75" x14ac:dyDescent="0.25">
      <c r="A52" s="58"/>
      <c r="B52" s="59"/>
      <c r="C52" s="60"/>
      <c r="D52" s="61"/>
      <c r="E52" s="62"/>
      <c r="F52" s="63">
        <f>SUM(C52/24*D52)</f>
        <v>0</v>
      </c>
      <c r="G52" s="64"/>
      <c r="H52" s="65"/>
      <c r="I52" s="66"/>
    </row>
    <row r="53" spans="1:14" x14ac:dyDescent="0.25">
      <c r="A53" s="67"/>
      <c r="B53" s="68"/>
      <c r="C53" s="69"/>
      <c r="D53" s="61"/>
      <c r="E53" s="70"/>
      <c r="F53" s="71">
        <f>SUM(C53/24*D53)</f>
        <v>0</v>
      </c>
      <c r="G53" s="64"/>
      <c r="H53" s="65"/>
    </row>
    <row r="54" spans="1:14" x14ac:dyDescent="0.25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4" x14ac:dyDescent="0.2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ht="15.75" thickBot="1" x14ac:dyDescent="0.3">
      <c r="A56" s="73"/>
      <c r="B56" s="74"/>
      <c r="C56" s="75"/>
      <c r="D56" s="76"/>
      <c r="E56" s="75"/>
      <c r="F56" s="77">
        <f>SUM(C56/24*D56)</f>
        <v>0</v>
      </c>
      <c r="G56" s="64"/>
      <c r="H56" s="65"/>
      <c r="I56" s="78"/>
    </row>
    <row r="57" spans="1:14" s="84" customFormat="1" ht="30" customHeight="1" x14ac:dyDescent="0.25">
      <c r="A57" s="124" t="s">
        <v>21</v>
      </c>
      <c r="B57" s="125"/>
      <c r="C57" s="126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I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3" sqref="B13"/>
    </sheetView>
  </sheetViews>
  <sheetFormatPr defaultRowHeight="15" outlineLevelRow="2" x14ac:dyDescent="0.25"/>
  <cols>
    <col min="1" max="1" width="13.5703125" bestFit="1" customWidth="1"/>
    <col min="2" max="8" width="11.7109375" customWidth="1"/>
    <col min="9" max="9" width="27.28515625" customWidth="1"/>
  </cols>
  <sheetData>
    <row r="1" spans="1:9" s="1" customFormat="1" ht="28.9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25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ht="14.45" customHeight="1" outlineLevel="1" x14ac:dyDescent="0.25">
      <c r="A3" s="12">
        <v>41487</v>
      </c>
      <c r="B3" s="132">
        <v>150</v>
      </c>
      <c r="C3" s="132">
        <v>0</v>
      </c>
      <c r="D3" s="132">
        <v>292</v>
      </c>
      <c r="E3" s="133">
        <v>0</v>
      </c>
      <c r="F3" s="133">
        <v>0</v>
      </c>
      <c r="G3" s="132">
        <v>0</v>
      </c>
      <c r="H3" s="134">
        <v>4034.7</v>
      </c>
      <c r="I3" s="131"/>
    </row>
    <row r="4" spans="1:9" ht="14.45" customHeight="1" outlineLevel="2" x14ac:dyDescent="0.25">
      <c r="A4" s="12">
        <v>41488</v>
      </c>
      <c r="B4" s="132">
        <v>173</v>
      </c>
      <c r="C4" s="132">
        <v>0</v>
      </c>
      <c r="D4" s="132">
        <v>272</v>
      </c>
      <c r="E4" s="133">
        <v>0</v>
      </c>
      <c r="F4" s="133">
        <v>0</v>
      </c>
      <c r="G4" s="132">
        <v>0</v>
      </c>
      <c r="H4" s="134">
        <v>4034.7</v>
      </c>
      <c r="I4" s="135" t="s">
        <v>122</v>
      </c>
    </row>
    <row r="5" spans="1:9" ht="14.45" customHeight="1" outlineLevel="2" x14ac:dyDescent="0.25">
      <c r="A5" s="12">
        <v>41489</v>
      </c>
      <c r="B5" s="132">
        <v>150</v>
      </c>
      <c r="C5" s="132">
        <v>14</v>
      </c>
      <c r="D5" s="132">
        <v>279</v>
      </c>
      <c r="E5" s="133">
        <v>0</v>
      </c>
      <c r="F5" s="133">
        <v>0</v>
      </c>
      <c r="G5" s="132">
        <v>0</v>
      </c>
      <c r="H5" s="134">
        <v>4034.7</v>
      </c>
      <c r="I5" s="131"/>
    </row>
    <row r="6" spans="1:9" ht="14.45" customHeight="1" outlineLevel="2" x14ac:dyDescent="0.25">
      <c r="A6" s="12">
        <v>41490</v>
      </c>
      <c r="B6" s="132">
        <v>92</v>
      </c>
      <c r="C6" s="132">
        <v>55</v>
      </c>
      <c r="D6" s="132">
        <v>247</v>
      </c>
      <c r="E6" s="133">
        <v>0</v>
      </c>
      <c r="F6" s="133">
        <v>0</v>
      </c>
      <c r="G6" s="132">
        <v>0</v>
      </c>
      <c r="H6" s="134">
        <v>4034.72</v>
      </c>
      <c r="I6" s="135" t="s">
        <v>123</v>
      </c>
    </row>
    <row r="7" spans="1:9" ht="14.45" customHeight="1" outlineLevel="2" x14ac:dyDescent="0.25">
      <c r="A7" s="12">
        <v>41491</v>
      </c>
      <c r="B7" s="132">
        <v>50</v>
      </c>
      <c r="C7" s="132">
        <v>15</v>
      </c>
      <c r="D7" s="132">
        <v>249</v>
      </c>
      <c r="E7" s="133">
        <v>0</v>
      </c>
      <c r="F7" s="133">
        <v>0</v>
      </c>
      <c r="G7" s="132">
        <v>0</v>
      </c>
      <c r="H7" s="134">
        <v>4034.74</v>
      </c>
      <c r="I7" s="131"/>
    </row>
    <row r="8" spans="1:9" ht="14.45" customHeight="1" outlineLevel="2" x14ac:dyDescent="0.25">
      <c r="A8" s="12">
        <v>41492</v>
      </c>
      <c r="B8" s="132">
        <v>77</v>
      </c>
      <c r="C8" s="132">
        <v>0</v>
      </c>
      <c r="D8" s="132">
        <v>269</v>
      </c>
      <c r="E8" s="133">
        <v>0</v>
      </c>
      <c r="F8" s="133">
        <v>0</v>
      </c>
      <c r="G8" s="132">
        <v>0</v>
      </c>
      <c r="H8" s="134">
        <v>4034.75</v>
      </c>
      <c r="I8" s="135" t="s">
        <v>124</v>
      </c>
    </row>
    <row r="9" spans="1:9" ht="14.45" customHeight="1" outlineLevel="2" x14ac:dyDescent="0.25">
      <c r="A9" s="12">
        <v>41493</v>
      </c>
      <c r="B9" s="132">
        <v>134</v>
      </c>
      <c r="C9" s="132">
        <v>0</v>
      </c>
      <c r="D9" s="132">
        <v>280</v>
      </c>
      <c r="E9" s="133">
        <v>0.1</v>
      </c>
      <c r="F9" s="133">
        <v>0</v>
      </c>
      <c r="G9" s="132">
        <v>0</v>
      </c>
      <c r="H9" s="134">
        <v>4034.76</v>
      </c>
      <c r="I9" s="135" t="s">
        <v>60</v>
      </c>
    </row>
    <row r="10" spans="1:9" ht="14.45" customHeight="1" outlineLevel="2" x14ac:dyDescent="0.25">
      <c r="A10" s="12">
        <v>41494</v>
      </c>
      <c r="B10" s="132">
        <v>135</v>
      </c>
      <c r="C10" s="132">
        <v>0</v>
      </c>
      <c r="D10" s="132">
        <v>288</v>
      </c>
      <c r="E10" s="133">
        <v>0</v>
      </c>
      <c r="F10" s="133">
        <v>0</v>
      </c>
      <c r="G10" s="132">
        <v>0</v>
      </c>
      <c r="H10" s="134">
        <v>4034.77</v>
      </c>
      <c r="I10" s="135" t="s">
        <v>125</v>
      </c>
    </row>
    <row r="11" spans="1:9" ht="14.45" customHeight="1" outlineLevel="2" x14ac:dyDescent="0.25">
      <c r="A11" s="12">
        <v>41495</v>
      </c>
      <c r="B11" s="132">
        <v>85</v>
      </c>
      <c r="C11" s="132">
        <v>40</v>
      </c>
      <c r="D11" s="132">
        <v>280</v>
      </c>
      <c r="E11" s="133">
        <v>0.01</v>
      </c>
      <c r="F11" s="133">
        <v>0</v>
      </c>
      <c r="G11" s="132">
        <v>0</v>
      </c>
      <c r="H11" s="134">
        <v>4034.78</v>
      </c>
      <c r="I11" s="135" t="s">
        <v>126</v>
      </c>
    </row>
    <row r="12" spans="1:9" ht="14.45" customHeight="1" outlineLevel="2" x14ac:dyDescent="0.25">
      <c r="A12" s="12">
        <v>41496</v>
      </c>
      <c r="B12" s="132">
        <v>44</v>
      </c>
      <c r="C12" s="132">
        <v>20</v>
      </c>
      <c r="D12" s="132">
        <v>229</v>
      </c>
      <c r="E12" s="133">
        <v>0</v>
      </c>
      <c r="F12" s="133">
        <v>0</v>
      </c>
      <c r="G12" s="132">
        <v>0</v>
      </c>
      <c r="H12" s="134">
        <v>4034.78</v>
      </c>
      <c r="I12" s="135" t="s">
        <v>127</v>
      </c>
    </row>
    <row r="13" spans="1:9" outlineLevel="2" x14ac:dyDescent="0.25">
      <c r="A13" s="12">
        <v>41497</v>
      </c>
      <c r="B13" s="25"/>
      <c r="C13" s="25"/>
      <c r="D13" s="25"/>
      <c r="E13" s="26"/>
      <c r="F13" s="26"/>
      <c r="G13" s="25"/>
      <c r="H13" s="27"/>
    </row>
    <row r="14" spans="1:9" outlineLevel="2" x14ac:dyDescent="0.25">
      <c r="A14" s="12">
        <v>41498</v>
      </c>
      <c r="B14" s="25"/>
      <c r="C14" s="25"/>
      <c r="D14" s="25"/>
      <c r="E14" s="26"/>
      <c r="F14" s="26"/>
      <c r="G14" s="25"/>
      <c r="H14" s="27"/>
    </row>
    <row r="15" spans="1:9" ht="14.45" outlineLevel="2" x14ac:dyDescent="0.3">
      <c r="A15" s="12">
        <v>41499</v>
      </c>
      <c r="B15" s="25"/>
      <c r="C15" s="25"/>
      <c r="D15" s="25"/>
      <c r="E15" s="26"/>
      <c r="F15" s="26"/>
      <c r="G15" s="25"/>
      <c r="H15" s="27"/>
    </row>
    <row r="16" spans="1:9" ht="14.45" outlineLevel="2" x14ac:dyDescent="0.3">
      <c r="A16" s="12">
        <v>41500</v>
      </c>
      <c r="B16" s="25"/>
      <c r="C16" s="25"/>
      <c r="D16" s="25"/>
      <c r="E16" s="26"/>
      <c r="F16" s="26"/>
      <c r="G16" s="25"/>
      <c r="H16" s="27"/>
    </row>
    <row r="17" spans="1:8" ht="14.45" outlineLevel="2" x14ac:dyDescent="0.3">
      <c r="A17" s="12">
        <v>41501</v>
      </c>
      <c r="B17" s="25"/>
      <c r="C17" s="25"/>
      <c r="D17" s="25"/>
      <c r="E17" s="26"/>
      <c r="F17" s="26"/>
      <c r="G17" s="25"/>
      <c r="H17" s="27"/>
    </row>
    <row r="18" spans="1:8" ht="14.45" outlineLevel="2" x14ac:dyDescent="0.3">
      <c r="A18" s="12">
        <v>41502</v>
      </c>
      <c r="B18" s="25"/>
      <c r="C18" s="25"/>
      <c r="D18" s="25"/>
      <c r="E18" s="26"/>
      <c r="F18" s="26"/>
      <c r="G18" s="25"/>
      <c r="H18" s="27"/>
    </row>
    <row r="19" spans="1:8" ht="14.45" outlineLevel="2" x14ac:dyDescent="0.3">
      <c r="A19" s="12">
        <v>41503</v>
      </c>
      <c r="B19" s="25"/>
      <c r="C19" s="25"/>
      <c r="D19" s="25"/>
      <c r="E19" s="26"/>
      <c r="F19" s="26"/>
      <c r="G19" s="25"/>
      <c r="H19" s="27"/>
    </row>
    <row r="20" spans="1:8" ht="14.45" outlineLevel="2" x14ac:dyDescent="0.3">
      <c r="A20" s="12">
        <v>41504</v>
      </c>
      <c r="B20" s="25"/>
      <c r="C20" s="25"/>
      <c r="D20" s="25"/>
      <c r="E20" s="26"/>
      <c r="F20" s="26"/>
      <c r="G20" s="25"/>
      <c r="H20" s="27"/>
    </row>
    <row r="21" spans="1:8" ht="14.45" outlineLevel="2" x14ac:dyDescent="0.3">
      <c r="A21" s="12">
        <v>41505</v>
      </c>
      <c r="B21" s="25"/>
      <c r="C21" s="25"/>
      <c r="D21" s="25"/>
      <c r="E21" s="26"/>
      <c r="F21" s="26"/>
      <c r="G21" s="25"/>
      <c r="H21" s="27"/>
    </row>
    <row r="22" spans="1:8" ht="14.45" outlineLevel="2" x14ac:dyDescent="0.3">
      <c r="A22" s="12">
        <v>41506</v>
      </c>
      <c r="B22" s="25"/>
      <c r="C22" s="25"/>
      <c r="D22" s="25"/>
      <c r="E22" s="26"/>
      <c r="F22" s="26"/>
      <c r="G22" s="25"/>
      <c r="H22" s="27"/>
    </row>
    <row r="23" spans="1:8" ht="14.45" outlineLevel="2" x14ac:dyDescent="0.3">
      <c r="A23" s="12">
        <v>41507</v>
      </c>
      <c r="B23" s="25"/>
      <c r="C23" s="25"/>
      <c r="D23" s="25"/>
      <c r="E23" s="26"/>
      <c r="F23" s="26"/>
      <c r="G23" s="25"/>
      <c r="H23" s="27"/>
    </row>
    <row r="24" spans="1:8" ht="14.45" outlineLevel="2" x14ac:dyDescent="0.3">
      <c r="A24" s="12">
        <v>41508</v>
      </c>
      <c r="B24" s="25"/>
      <c r="C24" s="25"/>
      <c r="D24" s="25"/>
      <c r="E24" s="26"/>
      <c r="F24" s="26"/>
      <c r="G24" s="25"/>
      <c r="H24" s="27"/>
    </row>
    <row r="25" spans="1:8" ht="14.45" outlineLevel="2" x14ac:dyDescent="0.3">
      <c r="A25" s="12">
        <v>41509</v>
      </c>
      <c r="B25" s="25"/>
      <c r="C25" s="25"/>
      <c r="D25" s="25"/>
      <c r="E25" s="26"/>
      <c r="F25" s="26"/>
      <c r="G25" s="25"/>
      <c r="H25" s="27"/>
    </row>
    <row r="26" spans="1:8" ht="14.45" outlineLevel="2" x14ac:dyDescent="0.3">
      <c r="A26" s="12">
        <v>41510</v>
      </c>
      <c r="B26" s="25"/>
      <c r="C26" s="25"/>
      <c r="D26" s="25"/>
      <c r="E26" s="26"/>
      <c r="F26" s="26"/>
      <c r="G26" s="25"/>
      <c r="H26" s="27"/>
    </row>
    <row r="27" spans="1:8" ht="14.45" outlineLevel="2" x14ac:dyDescent="0.3">
      <c r="A27" s="12">
        <v>41511</v>
      </c>
      <c r="B27" s="25"/>
      <c r="C27" s="25"/>
      <c r="D27" s="25"/>
      <c r="E27" s="26"/>
      <c r="F27" s="26"/>
      <c r="G27" s="25"/>
      <c r="H27" s="27"/>
    </row>
    <row r="28" spans="1:8" ht="14.45" outlineLevel="2" x14ac:dyDescent="0.3">
      <c r="A28" s="12">
        <v>41512</v>
      </c>
      <c r="B28" s="25"/>
      <c r="C28" s="25"/>
      <c r="D28" s="25"/>
      <c r="E28" s="26"/>
      <c r="F28" s="26"/>
      <c r="G28" s="25"/>
      <c r="H28" s="27"/>
    </row>
    <row r="29" spans="1:8" ht="14.45" outlineLevel="2" x14ac:dyDescent="0.3">
      <c r="A29" s="12">
        <v>41513</v>
      </c>
      <c r="B29" s="25"/>
      <c r="C29" s="25"/>
      <c r="D29" s="25"/>
      <c r="E29" s="26"/>
      <c r="F29" s="26"/>
      <c r="G29" s="25"/>
      <c r="H29" s="27"/>
    </row>
    <row r="30" spans="1:8" ht="14.45" outlineLevel="2" x14ac:dyDescent="0.3">
      <c r="A30" s="12">
        <v>41514</v>
      </c>
      <c r="B30" s="25"/>
      <c r="C30" s="25"/>
      <c r="D30" s="25"/>
      <c r="E30" s="26"/>
      <c r="F30" s="26"/>
      <c r="G30" s="25"/>
      <c r="H30" s="27"/>
    </row>
    <row r="31" spans="1:8" ht="14.45" outlineLevel="2" x14ac:dyDescent="0.3">
      <c r="A31" s="12">
        <v>41515</v>
      </c>
      <c r="B31" s="25"/>
      <c r="C31" s="25"/>
      <c r="D31" s="25"/>
      <c r="E31" s="26"/>
      <c r="F31" s="26"/>
      <c r="G31" s="25"/>
      <c r="H31" s="27"/>
    </row>
    <row r="32" spans="1:8" ht="14.45" outlineLevel="2" x14ac:dyDescent="0.3">
      <c r="A32" s="12">
        <v>41516</v>
      </c>
      <c r="B32" s="25"/>
      <c r="C32" s="25"/>
      <c r="D32" s="25"/>
      <c r="E32" s="26"/>
      <c r="F32" s="26"/>
      <c r="G32" s="25"/>
      <c r="H32" s="27"/>
    </row>
    <row r="33" spans="1:14" outlineLevel="2" thickBot="1" x14ac:dyDescent="0.35">
      <c r="A33" s="12">
        <v>41517</v>
      </c>
      <c r="B33" s="25"/>
      <c r="C33" s="25"/>
      <c r="D33" s="25"/>
      <c r="E33" s="26"/>
      <c r="F33" s="26"/>
      <c r="G33" s="25"/>
      <c r="H33" s="27"/>
    </row>
    <row r="34" spans="1:14" s="11" customFormat="1" outlineLevel="1" thickTop="1" x14ac:dyDescent="0.3">
      <c r="A34" s="16" t="s">
        <v>8</v>
      </c>
      <c r="B34" s="17">
        <f t="shared" ref="B34:G34" si="0">SUM(B3:B33)</f>
        <v>1090</v>
      </c>
      <c r="C34" s="17">
        <f t="shared" si="0"/>
        <v>144</v>
      </c>
      <c r="D34" s="17">
        <f t="shared" si="0"/>
        <v>2685</v>
      </c>
      <c r="E34" s="18">
        <f t="shared" si="0"/>
        <v>0.11</v>
      </c>
      <c r="F34" s="18">
        <f t="shared" si="0"/>
        <v>0</v>
      </c>
      <c r="G34" s="17">
        <f t="shared" si="0"/>
        <v>0</v>
      </c>
      <c r="H34" s="18"/>
    </row>
    <row r="35" spans="1:14" s="11" customFormat="1" ht="14.45" outlineLevel="1" x14ac:dyDescent="0.3">
      <c r="A35" s="19" t="s">
        <v>9</v>
      </c>
      <c r="B35" s="20">
        <f>SUM(B34+'Jul 2013'!B35)</f>
        <v>23386</v>
      </c>
      <c r="C35" s="20">
        <f>SUM(C34+'Jul 2013'!C35)</f>
        <v>4878</v>
      </c>
      <c r="D35" s="20">
        <f>SUM(D34+'Jul 2013'!D35)</f>
        <v>46785</v>
      </c>
      <c r="E35" s="21">
        <f>SUM(E34+'Jul 2013'!E35)</f>
        <v>8.1300000000000008</v>
      </c>
      <c r="F35" s="21">
        <f>SUM(F34+'Jul 2013'!F35)</f>
        <v>12.1</v>
      </c>
      <c r="G35" s="20">
        <f>SUM(G34+'Jul 2013'!G35)</f>
        <v>20772</v>
      </c>
      <c r="H35" s="21"/>
    </row>
    <row r="36" spans="1:14" ht="14.45" outlineLevel="1" x14ac:dyDescent="0.3"/>
    <row r="37" spans="1:14" ht="14.45" x14ac:dyDescent="0.3">
      <c r="A37" t="s">
        <v>10</v>
      </c>
      <c r="B37" s="23">
        <f>SUM(B3:B33)*1.9835</f>
        <v>2162.0149999999999</v>
      </c>
      <c r="C37" s="23">
        <f>SUM(C3:C33)*1.9835</f>
        <v>285.62400000000002</v>
      </c>
      <c r="D37" s="23">
        <f>SUM(D3:D33)*1.9835</f>
        <v>5325.6975000000002</v>
      </c>
      <c r="E37" s="23"/>
      <c r="F37" s="23"/>
      <c r="G37" s="23"/>
    </row>
    <row r="38" spans="1:14" ht="14.45" x14ac:dyDescent="0.3">
      <c r="B38" s="23"/>
      <c r="C38" s="23"/>
      <c r="D38" s="24"/>
      <c r="E38" s="23"/>
      <c r="F38" s="23"/>
      <c r="G38" s="23"/>
    </row>
    <row r="39" spans="1:14" ht="14.45" x14ac:dyDescent="0.3">
      <c r="A39" t="s">
        <v>24</v>
      </c>
      <c r="B39" s="23">
        <f>SUM(B37+'Jul 2013'!B39)</f>
        <v>46386.131000000001</v>
      </c>
      <c r="C39" s="23">
        <f>SUM(C37+'Jul 2013'!C39)</f>
        <v>9675.5130000000008</v>
      </c>
      <c r="D39" s="23">
        <f>SUM(D37+'Jul 2013'!D39)</f>
        <v>92798.047500000001</v>
      </c>
      <c r="E39" s="23"/>
      <c r="F39" s="23"/>
      <c r="G39" s="23"/>
    </row>
    <row r="41" spans="1:14" ht="17.45" customHeight="1" x14ac:dyDescent="0.25">
      <c r="A41" s="118"/>
      <c r="B41" s="118"/>
      <c r="C41" s="118"/>
      <c r="D41" s="118"/>
      <c r="E41" s="118"/>
      <c r="F41" s="119"/>
      <c r="G41" s="120" t="s">
        <v>12</v>
      </c>
      <c r="H41" s="121"/>
      <c r="I41" s="30"/>
      <c r="J41" s="30"/>
      <c r="K41" s="30"/>
      <c r="L41" s="30"/>
      <c r="M41" s="31"/>
      <c r="N41" s="30"/>
    </row>
    <row r="42" spans="1:14" ht="16.899999999999999" customHeight="1" x14ac:dyDescent="0.25">
      <c r="A42" s="29"/>
      <c r="B42" s="29"/>
      <c r="C42" s="29"/>
      <c r="D42" s="29"/>
      <c r="E42" s="29"/>
      <c r="F42" s="29"/>
      <c r="G42" s="120"/>
      <c r="H42" s="121"/>
      <c r="I42" s="30"/>
      <c r="J42" s="30"/>
      <c r="K42" s="30"/>
      <c r="L42" s="30"/>
      <c r="M42" s="31"/>
      <c r="N42" s="30"/>
    </row>
    <row r="43" spans="1:14" ht="13.9" customHeight="1" thickBot="1" x14ac:dyDescent="0.3">
      <c r="A43" s="122" t="s">
        <v>23</v>
      </c>
      <c r="B43" s="122"/>
      <c r="C43" s="122"/>
      <c r="D43" s="122"/>
      <c r="E43" s="122"/>
      <c r="F43" s="122"/>
      <c r="G43" s="122"/>
      <c r="H43" s="122"/>
      <c r="I43" s="123"/>
      <c r="J43" s="32"/>
      <c r="K43" s="32"/>
      <c r="L43" s="32"/>
      <c r="M43" s="33"/>
      <c r="N43" s="34"/>
    </row>
    <row r="44" spans="1:14" ht="15.6" customHeight="1" x14ac:dyDescent="0.25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3"/>
    </row>
    <row r="45" spans="1:14" x14ac:dyDescent="0.2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2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2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2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x14ac:dyDescent="0.25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3"/>
    </row>
    <row r="50" spans="1:14" ht="13.15" customHeight="1" x14ac:dyDescent="0.25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3"/>
      <c r="N50" s="34"/>
    </row>
    <row r="51" spans="1:14" ht="15.75" thickBot="1" x14ac:dyDescent="0.3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3"/>
      <c r="N51" s="34"/>
    </row>
    <row r="52" spans="1:14" ht="26.25" x14ac:dyDescent="0.2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</row>
    <row r="53" spans="1:14" ht="15.75" outlineLevel="1" x14ac:dyDescent="0.25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66"/>
    </row>
    <row r="54" spans="1:14" outlineLevel="1" x14ac:dyDescent="0.25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4" outlineLevel="1" x14ac:dyDescent="0.2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outlineLevel="1" x14ac:dyDescent="0.25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4" ht="15.75" outlineLevel="1" thickBot="1" x14ac:dyDescent="0.3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</row>
    <row r="58" spans="1:14" s="84" customFormat="1" ht="30" customHeight="1" x14ac:dyDescent="0.25">
      <c r="A58" s="124" t="s">
        <v>21</v>
      </c>
      <c r="B58" s="125"/>
      <c r="C58" s="126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I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8"/>
  <sheetViews>
    <sheetView workbookViewId="0">
      <pane xSplit="1" ySplit="2" topLeftCell="B8" activePane="bottomRight" state="frozen"/>
      <selection pane="topRight" activeCell="B1" sqref="B1"/>
      <selection pane="bottomLeft" activeCell="A3" sqref="A3"/>
      <selection pane="bottomRight" activeCell="B31" sqref="B31:I33"/>
    </sheetView>
  </sheetViews>
  <sheetFormatPr defaultRowHeight="15" x14ac:dyDescent="0.25"/>
  <cols>
    <col min="1" max="1" width="13.5703125" bestFit="1" customWidth="1"/>
    <col min="2" max="8" width="11.7109375" customWidth="1"/>
    <col min="9" max="9" width="30" customWidth="1"/>
  </cols>
  <sheetData>
    <row r="1" spans="1:9" s="1" customFormat="1" ht="28.9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ht="14.45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ht="14.45" x14ac:dyDescent="0.3">
      <c r="A3" s="28">
        <v>41456</v>
      </c>
      <c r="B3" s="25">
        <v>235</v>
      </c>
      <c r="C3" s="25">
        <v>0</v>
      </c>
      <c r="D3" s="25">
        <v>364</v>
      </c>
      <c r="E3" s="26">
        <v>0</v>
      </c>
      <c r="F3" s="26">
        <v>0</v>
      </c>
      <c r="G3" s="25">
        <v>0</v>
      </c>
      <c r="H3" s="27">
        <v>4034.9</v>
      </c>
      <c r="I3" s="113" t="s">
        <v>102</v>
      </c>
    </row>
    <row r="4" spans="1:9" ht="14.45" x14ac:dyDescent="0.3">
      <c r="A4" s="28">
        <v>41457</v>
      </c>
      <c r="B4" s="25">
        <v>260</v>
      </c>
      <c r="C4" s="25">
        <v>0</v>
      </c>
      <c r="D4" s="25">
        <v>364</v>
      </c>
      <c r="E4" s="26">
        <v>0</v>
      </c>
      <c r="F4" s="26">
        <v>0</v>
      </c>
      <c r="G4" s="25">
        <v>0</v>
      </c>
      <c r="H4" s="27">
        <v>4034.9</v>
      </c>
      <c r="I4" s="109" t="s">
        <v>103</v>
      </c>
    </row>
    <row r="5" spans="1:9" ht="14.45" x14ac:dyDescent="0.3">
      <c r="A5" s="28">
        <v>41458</v>
      </c>
      <c r="B5" s="25">
        <v>300</v>
      </c>
      <c r="C5" s="25">
        <v>0</v>
      </c>
      <c r="D5" s="25">
        <v>383</v>
      </c>
      <c r="E5" s="26">
        <v>0</v>
      </c>
      <c r="F5" s="26">
        <v>0</v>
      </c>
      <c r="G5" s="25">
        <v>0</v>
      </c>
      <c r="H5" s="27">
        <v>4034.88</v>
      </c>
      <c r="I5" s="109"/>
    </row>
    <row r="6" spans="1:9" ht="14.45" x14ac:dyDescent="0.3">
      <c r="A6" s="28">
        <v>41459</v>
      </c>
      <c r="B6" s="25">
        <v>250</v>
      </c>
      <c r="C6" s="25">
        <v>5</v>
      </c>
      <c r="D6" s="25">
        <v>352</v>
      </c>
      <c r="E6" s="26">
        <v>0</v>
      </c>
      <c r="F6" s="26">
        <v>0</v>
      </c>
      <c r="G6" s="25">
        <v>0</v>
      </c>
      <c r="H6" s="27">
        <v>4034.86</v>
      </c>
      <c r="I6" s="109" t="s">
        <v>104</v>
      </c>
    </row>
    <row r="7" spans="1:9" ht="14.45" x14ac:dyDescent="0.3">
      <c r="A7" s="28">
        <v>41460</v>
      </c>
      <c r="B7" s="25">
        <v>219</v>
      </c>
      <c r="C7" s="25">
        <v>34</v>
      </c>
      <c r="D7" s="25">
        <v>357</v>
      </c>
      <c r="E7" s="26">
        <v>0</v>
      </c>
      <c r="F7" s="26">
        <v>0</v>
      </c>
      <c r="G7" s="25">
        <v>0</v>
      </c>
      <c r="H7" s="27">
        <v>4034.86</v>
      </c>
      <c r="I7" s="109" t="s">
        <v>70</v>
      </c>
    </row>
    <row r="8" spans="1:9" ht="14.45" x14ac:dyDescent="0.3">
      <c r="A8" s="28">
        <v>41461</v>
      </c>
      <c r="B8" s="25">
        <v>183</v>
      </c>
      <c r="C8" s="25">
        <v>51</v>
      </c>
      <c r="D8" s="25">
        <v>372</v>
      </c>
      <c r="E8" s="26">
        <v>0</v>
      </c>
      <c r="F8" s="26">
        <v>0</v>
      </c>
      <c r="G8" s="25">
        <v>0</v>
      </c>
      <c r="H8" s="27">
        <v>4034.84</v>
      </c>
      <c r="I8" s="109" t="s">
        <v>62</v>
      </c>
    </row>
    <row r="9" spans="1:9" ht="14.45" x14ac:dyDescent="0.3">
      <c r="A9" s="28">
        <v>41462</v>
      </c>
      <c r="B9" s="25">
        <v>163</v>
      </c>
      <c r="C9" s="25">
        <v>2</v>
      </c>
      <c r="D9" s="25">
        <v>369</v>
      </c>
      <c r="E9" s="26">
        <v>0</v>
      </c>
      <c r="F9" s="26">
        <v>0</v>
      </c>
      <c r="G9" s="25">
        <v>0</v>
      </c>
      <c r="H9" s="27">
        <v>4034.84</v>
      </c>
      <c r="I9" s="109" t="s">
        <v>105</v>
      </c>
    </row>
    <row r="10" spans="1:9" ht="14.45" x14ac:dyDescent="0.3">
      <c r="A10" s="28">
        <v>41463</v>
      </c>
      <c r="B10" s="25">
        <v>150</v>
      </c>
      <c r="C10" s="25">
        <v>0</v>
      </c>
      <c r="D10" s="25">
        <v>303</v>
      </c>
      <c r="E10" s="26">
        <v>0</v>
      </c>
      <c r="F10" s="26">
        <v>0</v>
      </c>
      <c r="G10" s="25">
        <v>0</v>
      </c>
      <c r="H10" s="27">
        <v>4034.82</v>
      </c>
      <c r="I10" s="109"/>
    </row>
    <row r="11" spans="1:9" ht="14.45" x14ac:dyDescent="0.3">
      <c r="A11" s="28">
        <v>41464</v>
      </c>
      <c r="B11" s="25">
        <v>117</v>
      </c>
      <c r="C11" s="25">
        <v>25</v>
      </c>
      <c r="D11" s="25">
        <v>318</v>
      </c>
      <c r="E11" s="26">
        <v>0</v>
      </c>
      <c r="F11" s="26">
        <v>0</v>
      </c>
      <c r="G11" s="25">
        <v>0</v>
      </c>
      <c r="H11" s="27">
        <v>4034.83</v>
      </c>
      <c r="I11" s="109" t="s">
        <v>106</v>
      </c>
    </row>
    <row r="12" spans="1:9" ht="14.45" x14ac:dyDescent="0.3">
      <c r="A12" s="28">
        <v>41465</v>
      </c>
      <c r="B12" s="25">
        <v>142</v>
      </c>
      <c r="C12" s="25">
        <v>0</v>
      </c>
      <c r="D12" s="25">
        <v>308</v>
      </c>
      <c r="E12" s="26">
        <v>0</v>
      </c>
      <c r="F12" s="26">
        <v>0</v>
      </c>
      <c r="G12" s="25">
        <v>0</v>
      </c>
      <c r="H12" s="27">
        <v>4034.84</v>
      </c>
      <c r="I12" s="109" t="s">
        <v>107</v>
      </c>
    </row>
    <row r="13" spans="1:9" ht="14.45" x14ac:dyDescent="0.3">
      <c r="A13" s="28">
        <v>41466</v>
      </c>
      <c r="B13" s="25">
        <v>156</v>
      </c>
      <c r="C13" s="25">
        <v>0</v>
      </c>
      <c r="D13" s="25">
        <v>323</v>
      </c>
      <c r="E13" s="26">
        <v>0</v>
      </c>
      <c r="F13" s="26">
        <v>0</v>
      </c>
      <c r="G13" s="25">
        <v>0</v>
      </c>
      <c r="H13" s="27">
        <v>4034.83</v>
      </c>
      <c r="I13" s="109" t="s">
        <v>108</v>
      </c>
    </row>
    <row r="14" spans="1:9" ht="14.45" x14ac:dyDescent="0.3">
      <c r="A14" s="28">
        <v>41467</v>
      </c>
      <c r="B14" s="25">
        <v>129</v>
      </c>
      <c r="C14" s="25">
        <v>0</v>
      </c>
      <c r="D14" s="25">
        <v>308</v>
      </c>
      <c r="E14" s="26">
        <v>0</v>
      </c>
      <c r="F14" s="26">
        <v>0</v>
      </c>
      <c r="G14" s="25">
        <v>0</v>
      </c>
      <c r="H14" s="27">
        <v>4034.83</v>
      </c>
      <c r="I14" s="109" t="s">
        <v>110</v>
      </c>
    </row>
    <row r="15" spans="1:9" ht="14.45" x14ac:dyDescent="0.3">
      <c r="A15" s="28">
        <v>41468</v>
      </c>
      <c r="B15" s="25">
        <v>138</v>
      </c>
      <c r="C15" s="25">
        <v>0</v>
      </c>
      <c r="D15" s="25">
        <v>282</v>
      </c>
      <c r="E15" s="26">
        <v>0</v>
      </c>
      <c r="F15" s="26">
        <v>0</v>
      </c>
      <c r="G15" s="25">
        <v>0</v>
      </c>
      <c r="H15" s="27">
        <v>4034.83</v>
      </c>
      <c r="I15" s="109" t="s">
        <v>109</v>
      </c>
    </row>
    <row r="16" spans="1:9" ht="14.45" x14ac:dyDescent="0.3">
      <c r="A16" s="28">
        <v>41469</v>
      </c>
      <c r="B16" s="25">
        <v>100</v>
      </c>
      <c r="C16" s="25">
        <v>0</v>
      </c>
      <c r="D16" s="25">
        <v>252</v>
      </c>
      <c r="E16" s="26">
        <v>0</v>
      </c>
      <c r="F16" s="26">
        <v>0</v>
      </c>
      <c r="G16" s="25">
        <v>0</v>
      </c>
      <c r="H16" s="27">
        <v>4034.82</v>
      </c>
      <c r="I16" s="109"/>
    </row>
    <row r="17" spans="1:9" ht="14.45" x14ac:dyDescent="0.3">
      <c r="A17" s="28">
        <v>41470</v>
      </c>
      <c r="B17" s="25">
        <v>88</v>
      </c>
      <c r="C17" s="25">
        <v>20</v>
      </c>
      <c r="D17" s="25">
        <v>248</v>
      </c>
      <c r="E17" s="26">
        <v>0</v>
      </c>
      <c r="F17" s="26">
        <v>0</v>
      </c>
      <c r="G17" s="25">
        <v>0</v>
      </c>
      <c r="H17" s="27">
        <v>4034.79</v>
      </c>
      <c r="I17" s="109" t="s">
        <v>111</v>
      </c>
    </row>
    <row r="18" spans="1:9" ht="14.45" x14ac:dyDescent="0.3">
      <c r="A18" s="28">
        <v>41471</v>
      </c>
      <c r="B18" s="25">
        <v>85</v>
      </c>
      <c r="C18" s="25">
        <v>18</v>
      </c>
      <c r="D18" s="25">
        <v>260</v>
      </c>
      <c r="E18" s="26">
        <v>0</v>
      </c>
      <c r="F18" s="26">
        <v>0</v>
      </c>
      <c r="G18" s="25">
        <v>0</v>
      </c>
      <c r="H18" s="27">
        <v>4034.78</v>
      </c>
      <c r="I18" s="109" t="s">
        <v>112</v>
      </c>
    </row>
    <row r="19" spans="1:9" ht="14.45" x14ac:dyDescent="0.3">
      <c r="A19" s="28">
        <v>41472</v>
      </c>
      <c r="B19" s="25">
        <v>117</v>
      </c>
      <c r="C19" s="25">
        <v>0</v>
      </c>
      <c r="D19" s="25">
        <v>283</v>
      </c>
      <c r="E19" s="26">
        <v>0</v>
      </c>
      <c r="F19" s="26">
        <v>0</v>
      </c>
      <c r="G19" s="25">
        <v>0</v>
      </c>
      <c r="H19" s="27">
        <v>4034.78</v>
      </c>
      <c r="I19" s="109" t="s">
        <v>113</v>
      </c>
    </row>
    <row r="20" spans="1:9" ht="14.45" x14ac:dyDescent="0.3">
      <c r="A20" s="28">
        <v>41473</v>
      </c>
      <c r="B20" s="25">
        <v>150</v>
      </c>
      <c r="C20" s="25">
        <v>0</v>
      </c>
      <c r="D20" s="25">
        <v>291</v>
      </c>
      <c r="E20" s="26">
        <v>0</v>
      </c>
      <c r="F20" s="26">
        <v>0</v>
      </c>
      <c r="G20" s="25">
        <v>0</v>
      </c>
      <c r="H20" s="27">
        <v>4034.78</v>
      </c>
      <c r="I20" s="109"/>
    </row>
    <row r="21" spans="1:9" ht="14.45" x14ac:dyDescent="0.3">
      <c r="A21" s="28">
        <v>41474</v>
      </c>
      <c r="B21" s="25">
        <v>183</v>
      </c>
      <c r="C21" s="25">
        <v>0</v>
      </c>
      <c r="D21" s="25">
        <v>287</v>
      </c>
      <c r="E21" s="26">
        <v>0</v>
      </c>
      <c r="F21" s="26">
        <v>0</v>
      </c>
      <c r="G21" s="25">
        <v>0</v>
      </c>
      <c r="H21" s="27">
        <v>4034.78</v>
      </c>
      <c r="I21" s="109" t="s">
        <v>84</v>
      </c>
    </row>
    <row r="22" spans="1:9" ht="14.45" x14ac:dyDescent="0.3">
      <c r="A22" s="28">
        <v>41475</v>
      </c>
      <c r="B22" s="25">
        <v>200</v>
      </c>
      <c r="C22" s="25">
        <v>0</v>
      </c>
      <c r="D22" s="25">
        <v>319</v>
      </c>
      <c r="E22" s="26">
        <v>0</v>
      </c>
      <c r="F22" s="26">
        <v>0</v>
      </c>
      <c r="G22" s="25">
        <v>0</v>
      </c>
      <c r="H22" s="27">
        <v>4034.76</v>
      </c>
      <c r="I22" s="109"/>
    </row>
    <row r="23" spans="1:9" x14ac:dyDescent="0.25">
      <c r="A23" s="28">
        <v>41476</v>
      </c>
      <c r="B23" s="25">
        <v>219</v>
      </c>
      <c r="C23" s="25">
        <v>0</v>
      </c>
      <c r="D23" s="25">
        <v>332</v>
      </c>
      <c r="E23" s="26">
        <v>0</v>
      </c>
      <c r="F23" s="26">
        <v>0</v>
      </c>
      <c r="G23" s="25">
        <v>0</v>
      </c>
      <c r="H23" s="27">
        <v>4034.76</v>
      </c>
      <c r="I23" s="109" t="s">
        <v>70</v>
      </c>
    </row>
    <row r="24" spans="1:9" ht="14.45" customHeight="1" x14ac:dyDescent="0.25">
      <c r="A24" s="28">
        <v>41477</v>
      </c>
      <c r="B24" s="114">
        <v>221</v>
      </c>
      <c r="C24" s="114">
        <v>0</v>
      </c>
      <c r="D24" s="114">
        <v>346</v>
      </c>
      <c r="E24" s="115">
        <v>0</v>
      </c>
      <c r="F24" s="115">
        <v>0</v>
      </c>
      <c r="G24" s="114">
        <v>0</v>
      </c>
      <c r="H24" s="116">
        <v>4034.76</v>
      </c>
      <c r="I24" s="117" t="s">
        <v>114</v>
      </c>
    </row>
    <row r="25" spans="1:9" ht="14.45" customHeight="1" x14ac:dyDescent="0.25">
      <c r="A25" s="28">
        <v>41478</v>
      </c>
      <c r="B25" s="114">
        <v>213</v>
      </c>
      <c r="C25" s="114">
        <v>0</v>
      </c>
      <c r="D25" s="114">
        <v>334</v>
      </c>
      <c r="E25" s="115">
        <v>0</v>
      </c>
      <c r="F25" s="115">
        <v>0</v>
      </c>
      <c r="G25" s="114">
        <v>0</v>
      </c>
      <c r="H25" s="116">
        <v>4034.76</v>
      </c>
      <c r="I25" s="117" t="s">
        <v>115</v>
      </c>
    </row>
    <row r="26" spans="1:9" ht="14.45" customHeight="1" x14ac:dyDescent="0.25">
      <c r="A26" s="28">
        <v>41479</v>
      </c>
      <c r="B26" s="114">
        <v>215</v>
      </c>
      <c r="C26" s="114">
        <v>15</v>
      </c>
      <c r="D26" s="114">
        <v>367</v>
      </c>
      <c r="E26" s="115">
        <v>0</v>
      </c>
      <c r="F26" s="115">
        <v>0</v>
      </c>
      <c r="G26" s="114">
        <v>0</v>
      </c>
      <c r="H26" s="116">
        <v>4034.76</v>
      </c>
      <c r="I26" s="117" t="s">
        <v>96</v>
      </c>
    </row>
    <row r="27" spans="1:9" ht="14.45" customHeight="1" x14ac:dyDescent="0.25">
      <c r="A27" s="28">
        <v>41480</v>
      </c>
      <c r="B27" s="114">
        <v>165</v>
      </c>
      <c r="C27" s="114">
        <v>25</v>
      </c>
      <c r="D27" s="114">
        <v>334</v>
      </c>
      <c r="E27" s="115">
        <v>0</v>
      </c>
      <c r="F27" s="115">
        <v>0</v>
      </c>
      <c r="G27" s="114">
        <v>0</v>
      </c>
      <c r="H27" s="116">
        <v>4034.76</v>
      </c>
      <c r="I27" s="117" t="s">
        <v>116</v>
      </c>
    </row>
    <row r="28" spans="1:9" ht="14.45" customHeight="1" x14ac:dyDescent="0.25">
      <c r="A28" s="28">
        <v>41481</v>
      </c>
      <c r="B28" s="114">
        <v>150</v>
      </c>
      <c r="C28" s="114">
        <v>0</v>
      </c>
      <c r="D28" s="114">
        <v>364</v>
      </c>
      <c r="E28" s="115">
        <v>0</v>
      </c>
      <c r="F28" s="115">
        <v>0</v>
      </c>
      <c r="G28" s="114">
        <v>0</v>
      </c>
      <c r="H28" s="116">
        <v>4034.75</v>
      </c>
      <c r="I28" s="117" t="s">
        <v>117</v>
      </c>
    </row>
    <row r="29" spans="1:9" ht="14.45" customHeight="1" x14ac:dyDescent="0.25">
      <c r="A29" s="28">
        <v>41482</v>
      </c>
      <c r="B29" s="114">
        <v>185</v>
      </c>
      <c r="C29" s="114">
        <v>0</v>
      </c>
      <c r="D29" s="114">
        <v>358</v>
      </c>
      <c r="E29" s="115" t="s">
        <v>34</v>
      </c>
      <c r="F29" s="115">
        <v>0</v>
      </c>
      <c r="G29" s="114">
        <v>0</v>
      </c>
      <c r="H29" s="116">
        <v>4034.74</v>
      </c>
      <c r="I29" s="117" t="s">
        <v>118</v>
      </c>
    </row>
    <row r="30" spans="1:9" ht="14.45" customHeight="1" x14ac:dyDescent="0.25">
      <c r="A30" s="28">
        <v>41483</v>
      </c>
      <c r="B30" s="114">
        <v>185</v>
      </c>
      <c r="C30" s="114">
        <v>0</v>
      </c>
      <c r="D30" s="114">
        <v>349</v>
      </c>
      <c r="E30" s="115">
        <v>0</v>
      </c>
      <c r="F30" s="115">
        <v>0</v>
      </c>
      <c r="G30" s="114">
        <v>0</v>
      </c>
      <c r="H30" s="116">
        <v>4034.74</v>
      </c>
      <c r="I30" s="117" t="s">
        <v>119</v>
      </c>
    </row>
    <row r="31" spans="1:9" x14ac:dyDescent="0.25">
      <c r="A31" s="28">
        <v>41484</v>
      </c>
      <c r="B31" s="127">
        <v>158</v>
      </c>
      <c r="C31" s="127"/>
      <c r="D31" s="127">
        <v>342</v>
      </c>
      <c r="E31" s="128">
        <v>0</v>
      </c>
      <c r="F31" s="128">
        <v>0</v>
      </c>
      <c r="G31" s="127">
        <v>0</v>
      </c>
      <c r="H31" s="129">
        <v>4034.74</v>
      </c>
      <c r="I31" s="130" t="s">
        <v>120</v>
      </c>
    </row>
    <row r="32" spans="1:9" x14ac:dyDescent="0.25">
      <c r="A32" s="28">
        <v>41485</v>
      </c>
      <c r="B32" s="127">
        <v>156</v>
      </c>
      <c r="C32" s="127"/>
      <c r="D32" s="127">
        <v>311</v>
      </c>
      <c r="E32" s="128">
        <v>0</v>
      </c>
      <c r="F32" s="128">
        <v>0</v>
      </c>
      <c r="G32" s="127">
        <v>0</v>
      </c>
      <c r="H32" s="129">
        <v>4034.72</v>
      </c>
      <c r="I32" s="130" t="s">
        <v>121</v>
      </c>
    </row>
    <row r="33" spans="1:14" ht="15" customHeight="1" thickBot="1" x14ac:dyDescent="0.3">
      <c r="A33" s="28">
        <v>41486</v>
      </c>
      <c r="B33" s="127">
        <v>150</v>
      </c>
      <c r="C33" s="127"/>
      <c r="D33" s="127">
        <v>294</v>
      </c>
      <c r="E33" s="128">
        <v>0</v>
      </c>
      <c r="F33" s="128">
        <v>0</v>
      </c>
      <c r="G33" s="127">
        <v>0</v>
      </c>
      <c r="H33" s="129">
        <v>4034.72</v>
      </c>
      <c r="I33" s="130"/>
    </row>
    <row r="34" spans="1:14" s="11" customFormat="1" ht="15.75" thickTop="1" x14ac:dyDescent="0.25">
      <c r="A34" s="16" t="s">
        <v>8</v>
      </c>
      <c r="B34" s="17">
        <f t="shared" ref="B34:G34" si="0">SUM(B3:B33)</f>
        <v>5382</v>
      </c>
      <c r="C34" s="17">
        <f t="shared" si="0"/>
        <v>195</v>
      </c>
      <c r="D34" s="17">
        <f t="shared" si="0"/>
        <v>10074</v>
      </c>
      <c r="E34" s="18">
        <f t="shared" si="0"/>
        <v>0</v>
      </c>
      <c r="F34" s="18">
        <f t="shared" si="0"/>
        <v>0</v>
      </c>
      <c r="G34" s="17">
        <f t="shared" si="0"/>
        <v>0</v>
      </c>
      <c r="H34" s="18"/>
    </row>
    <row r="35" spans="1:14" s="11" customFormat="1" x14ac:dyDescent="0.25">
      <c r="A35" s="19" t="s">
        <v>9</v>
      </c>
      <c r="B35" s="20">
        <f>SUM(B34+'Jun 2013'!B34)</f>
        <v>22296</v>
      </c>
      <c r="C35" s="20">
        <f>SUM(C34+'Jun 2013'!C34)</f>
        <v>4734</v>
      </c>
      <c r="D35" s="20">
        <f>SUM(D34+'Jun 2013'!D34)</f>
        <v>44100</v>
      </c>
      <c r="E35" s="21">
        <f>SUM(E34+'Jun 2013'!E34)</f>
        <v>8.0200000000000014</v>
      </c>
      <c r="F35" s="21">
        <f>SUM(F34+'Jun 2013'!F34)</f>
        <v>12.1</v>
      </c>
      <c r="G35" s="20">
        <f>SUM(G34+'Jun 2013'!G34)</f>
        <v>20772</v>
      </c>
      <c r="H35" s="21"/>
    </row>
    <row r="37" spans="1:14" ht="14.45" x14ac:dyDescent="0.3">
      <c r="A37" t="s">
        <v>10</v>
      </c>
      <c r="B37" s="23">
        <f>SUM(B3:B33)*1.9835</f>
        <v>10675.197</v>
      </c>
      <c r="C37" s="23">
        <f>SUM(C3:C33)*1.9835</f>
        <v>386.78250000000003</v>
      </c>
      <c r="D37" s="23">
        <f>SUM(D3:D33)*1.9835</f>
        <v>19981.778999999999</v>
      </c>
      <c r="E37" s="23"/>
      <c r="F37" s="23"/>
      <c r="G37" s="23"/>
    </row>
    <row r="38" spans="1:14" ht="14.45" x14ac:dyDescent="0.3">
      <c r="B38" s="23"/>
      <c r="C38" s="23"/>
      <c r="D38" s="24"/>
      <c r="E38" s="23"/>
      <c r="F38" s="23"/>
      <c r="G38" s="23"/>
    </row>
    <row r="39" spans="1:14" ht="14.45" x14ac:dyDescent="0.3">
      <c r="A39" t="s">
        <v>24</v>
      </c>
      <c r="B39" s="23">
        <f>SUM(B37+'Jun 2013'!B38)</f>
        <v>44224.116000000002</v>
      </c>
      <c r="C39" s="23">
        <f>SUM(C37+'Jun 2013'!C38)</f>
        <v>9389.889000000001</v>
      </c>
      <c r="D39" s="23">
        <f>SUM(D37+'Jun 2013'!D38)</f>
        <v>87472.35</v>
      </c>
      <c r="E39" s="23"/>
      <c r="F39" s="23"/>
      <c r="G39" s="23"/>
    </row>
    <row r="41" spans="1:14" ht="17.45" customHeight="1" x14ac:dyDescent="0.25">
      <c r="A41" s="118"/>
      <c r="B41" s="118"/>
      <c r="C41" s="118"/>
      <c r="D41" s="118"/>
      <c r="E41" s="118"/>
      <c r="F41" s="119"/>
      <c r="G41" s="120" t="s">
        <v>12</v>
      </c>
      <c r="H41" s="121"/>
      <c r="I41" s="30"/>
      <c r="J41" s="30"/>
      <c r="K41" s="30"/>
      <c r="L41" s="30"/>
      <c r="M41" s="31"/>
      <c r="N41" s="30"/>
    </row>
    <row r="42" spans="1:14" ht="16.899999999999999" customHeight="1" x14ac:dyDescent="0.25">
      <c r="A42" s="29"/>
      <c r="B42" s="29"/>
      <c r="C42" s="29"/>
      <c r="D42" s="29"/>
      <c r="E42" s="29"/>
      <c r="F42" s="29"/>
      <c r="G42" s="120"/>
      <c r="H42" s="121"/>
      <c r="I42" s="30"/>
      <c r="J42" s="30"/>
      <c r="K42" s="30"/>
      <c r="L42" s="30"/>
      <c r="M42" s="31"/>
      <c r="N42" s="30"/>
    </row>
    <row r="43" spans="1:14" ht="13.9" customHeight="1" thickBot="1" x14ac:dyDescent="0.3">
      <c r="A43" s="122" t="s">
        <v>23</v>
      </c>
      <c r="B43" s="122"/>
      <c r="C43" s="122"/>
      <c r="D43" s="122"/>
      <c r="E43" s="122"/>
      <c r="F43" s="122"/>
      <c r="G43" s="122"/>
      <c r="H43" s="122"/>
      <c r="I43" s="123"/>
      <c r="J43" s="32"/>
      <c r="K43" s="32"/>
      <c r="L43" s="32"/>
      <c r="M43" s="33"/>
      <c r="N43" s="34"/>
    </row>
    <row r="44" spans="1:14" ht="15.6" customHeight="1" x14ac:dyDescent="0.25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3"/>
    </row>
    <row r="45" spans="1:14" x14ac:dyDescent="0.2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2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2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2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x14ac:dyDescent="0.25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3"/>
    </row>
    <row r="50" spans="1:14" ht="13.15" customHeight="1" x14ac:dyDescent="0.25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3"/>
      <c r="N50" s="34"/>
    </row>
    <row r="51" spans="1:14" ht="15.75" thickBot="1" x14ac:dyDescent="0.3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3"/>
      <c r="N51" s="34"/>
    </row>
    <row r="52" spans="1:14" ht="26.25" x14ac:dyDescent="0.2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</row>
    <row r="53" spans="1:14" ht="15.75" x14ac:dyDescent="0.25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66"/>
    </row>
    <row r="54" spans="1:14" x14ac:dyDescent="0.25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4" x14ac:dyDescent="0.2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x14ac:dyDescent="0.25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4" ht="15.75" thickBot="1" x14ac:dyDescent="0.3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</row>
    <row r="58" spans="1:14" s="84" customFormat="1" ht="30" customHeight="1" x14ac:dyDescent="0.25">
      <c r="A58" s="124" t="s">
        <v>21</v>
      </c>
      <c r="B58" s="125"/>
      <c r="C58" s="126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I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7"/>
  <sheetViews>
    <sheetView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H32" sqref="H32"/>
    </sheetView>
  </sheetViews>
  <sheetFormatPr defaultRowHeight="15" x14ac:dyDescent="0.25"/>
  <cols>
    <col min="1" max="1" width="13.5703125" bestFit="1" customWidth="1"/>
    <col min="2" max="8" width="11.7109375" customWidth="1"/>
    <col min="9" max="9" width="32.140625" bestFit="1" customWidth="1"/>
  </cols>
  <sheetData>
    <row r="1" spans="1:9" s="1" customFormat="1" ht="28.9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ht="14.45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ht="14.45" x14ac:dyDescent="0.3">
      <c r="A3" s="28">
        <v>41426</v>
      </c>
      <c r="B3" s="25">
        <v>275</v>
      </c>
      <c r="C3" s="25">
        <v>0</v>
      </c>
      <c r="D3" s="25">
        <v>394</v>
      </c>
      <c r="E3" s="26">
        <v>0</v>
      </c>
      <c r="F3" s="26">
        <v>0</v>
      </c>
      <c r="G3" s="25">
        <v>0</v>
      </c>
      <c r="H3" s="27">
        <v>4034.9</v>
      </c>
      <c r="I3" s="109" t="s">
        <v>85</v>
      </c>
    </row>
    <row r="4" spans="1:9" ht="14.45" x14ac:dyDescent="0.3">
      <c r="A4" s="28">
        <v>41427</v>
      </c>
      <c r="B4" s="25">
        <v>277</v>
      </c>
      <c r="C4" s="25">
        <v>1</v>
      </c>
      <c r="D4" s="25">
        <v>409</v>
      </c>
      <c r="E4" s="26">
        <v>0</v>
      </c>
      <c r="F4" s="26">
        <v>0</v>
      </c>
      <c r="G4" s="25">
        <v>0</v>
      </c>
      <c r="H4" s="27">
        <v>4034.9</v>
      </c>
      <c r="I4" s="109" t="s">
        <v>86</v>
      </c>
    </row>
    <row r="5" spans="1:9" ht="14.45" x14ac:dyDescent="0.3">
      <c r="A5" s="28">
        <v>41428</v>
      </c>
      <c r="B5" s="25">
        <v>265</v>
      </c>
      <c r="C5" s="25">
        <v>45</v>
      </c>
      <c r="D5" s="25">
        <v>442</v>
      </c>
      <c r="E5" s="26">
        <v>0</v>
      </c>
      <c r="F5" s="26">
        <v>0</v>
      </c>
      <c r="G5" s="25">
        <v>0</v>
      </c>
      <c r="H5" s="27">
        <v>4034.9</v>
      </c>
      <c r="I5" s="109" t="s">
        <v>68</v>
      </c>
    </row>
    <row r="6" spans="1:9" ht="14.45" x14ac:dyDescent="0.3">
      <c r="A6" s="28">
        <v>41429</v>
      </c>
      <c r="B6" s="25">
        <v>304</v>
      </c>
      <c r="C6" s="25">
        <v>0</v>
      </c>
      <c r="D6" s="25">
        <v>466</v>
      </c>
      <c r="E6" s="26">
        <v>0</v>
      </c>
      <c r="F6" s="26">
        <v>0</v>
      </c>
      <c r="G6" s="25">
        <v>0</v>
      </c>
      <c r="H6" s="27">
        <v>4034.9</v>
      </c>
      <c r="I6" s="109" t="s">
        <v>87</v>
      </c>
    </row>
    <row r="7" spans="1:9" ht="14.45" x14ac:dyDescent="0.3">
      <c r="A7" s="28">
        <v>41430</v>
      </c>
      <c r="B7" s="25">
        <v>377</v>
      </c>
      <c r="C7" s="25">
        <v>0</v>
      </c>
      <c r="D7" s="25">
        <v>507</v>
      </c>
      <c r="E7" s="26">
        <v>0</v>
      </c>
      <c r="F7" s="26">
        <v>0</v>
      </c>
      <c r="G7" s="25">
        <v>0</v>
      </c>
      <c r="H7" s="27">
        <v>4034.86</v>
      </c>
      <c r="I7" s="109" t="s">
        <v>88</v>
      </c>
    </row>
    <row r="8" spans="1:9" ht="14.45" x14ac:dyDescent="0.3">
      <c r="A8" s="28">
        <v>41431</v>
      </c>
      <c r="B8" s="25">
        <v>360</v>
      </c>
      <c r="C8" s="25">
        <v>0</v>
      </c>
      <c r="D8" s="25">
        <v>499</v>
      </c>
      <c r="E8" s="26">
        <v>0</v>
      </c>
      <c r="F8" s="26">
        <v>0</v>
      </c>
      <c r="G8" s="25">
        <v>0</v>
      </c>
      <c r="H8" s="27">
        <v>4034.86</v>
      </c>
      <c r="I8" s="109" t="s">
        <v>89</v>
      </c>
    </row>
    <row r="9" spans="1:9" ht="14.45" x14ac:dyDescent="0.3">
      <c r="A9" s="28">
        <v>41432</v>
      </c>
      <c r="B9" s="25">
        <v>300</v>
      </c>
      <c r="C9" s="25">
        <v>0</v>
      </c>
      <c r="D9" s="25">
        <v>472</v>
      </c>
      <c r="E9" s="26">
        <v>0</v>
      </c>
      <c r="F9" s="26">
        <v>0</v>
      </c>
      <c r="G9" s="25">
        <v>0</v>
      </c>
      <c r="H9" s="27">
        <v>4034.85</v>
      </c>
      <c r="I9" s="109"/>
    </row>
    <row r="10" spans="1:9" ht="14.45" x14ac:dyDescent="0.3">
      <c r="A10" s="28">
        <v>41433</v>
      </c>
      <c r="B10" s="25">
        <v>281</v>
      </c>
      <c r="C10" s="25">
        <v>0</v>
      </c>
      <c r="D10" s="25">
        <v>472</v>
      </c>
      <c r="E10" s="26">
        <v>0</v>
      </c>
      <c r="F10" s="26">
        <v>0</v>
      </c>
      <c r="G10" s="25">
        <v>0</v>
      </c>
      <c r="H10" s="27">
        <v>4034.85</v>
      </c>
      <c r="I10" s="109" t="s">
        <v>90</v>
      </c>
    </row>
    <row r="11" spans="1:9" ht="14.45" x14ac:dyDescent="0.3">
      <c r="A11" s="28">
        <v>41434</v>
      </c>
      <c r="B11" s="25">
        <v>250</v>
      </c>
      <c r="C11" s="25">
        <v>0</v>
      </c>
      <c r="D11" s="25">
        <v>451</v>
      </c>
      <c r="E11" s="26">
        <v>0</v>
      </c>
      <c r="F11" s="26">
        <v>0</v>
      </c>
      <c r="G11" s="25">
        <v>0</v>
      </c>
      <c r="H11" s="27">
        <v>4034.82</v>
      </c>
      <c r="I11" s="109"/>
    </row>
    <row r="12" spans="1:9" ht="14.45" x14ac:dyDescent="0.3">
      <c r="A12" s="28">
        <v>41435</v>
      </c>
      <c r="B12" s="25">
        <v>294</v>
      </c>
      <c r="C12" s="25">
        <v>0</v>
      </c>
      <c r="D12" s="25">
        <v>500</v>
      </c>
      <c r="E12" s="26">
        <v>0</v>
      </c>
      <c r="F12" s="26">
        <v>0</v>
      </c>
      <c r="G12" s="25">
        <v>0</v>
      </c>
      <c r="H12" s="27">
        <v>4034.8</v>
      </c>
      <c r="I12" s="109" t="s">
        <v>91</v>
      </c>
    </row>
    <row r="13" spans="1:9" ht="14.45" x14ac:dyDescent="0.3">
      <c r="A13" s="28">
        <v>41436</v>
      </c>
      <c r="B13" s="25">
        <v>315</v>
      </c>
      <c r="C13" s="25">
        <v>0</v>
      </c>
      <c r="D13" s="25">
        <v>490</v>
      </c>
      <c r="E13" s="26">
        <v>0</v>
      </c>
      <c r="F13" s="26">
        <v>0</v>
      </c>
      <c r="G13" s="25">
        <v>0</v>
      </c>
      <c r="H13" s="27">
        <v>4034.8</v>
      </c>
      <c r="I13" s="109" t="s">
        <v>92</v>
      </c>
    </row>
    <row r="14" spans="1:9" ht="14.45" x14ac:dyDescent="0.3">
      <c r="A14" s="28">
        <v>41437</v>
      </c>
      <c r="B14" s="25">
        <v>300</v>
      </c>
      <c r="C14" s="25">
        <v>0</v>
      </c>
      <c r="D14" s="25">
        <v>473</v>
      </c>
      <c r="E14" s="26">
        <v>0</v>
      </c>
      <c r="F14" s="26">
        <v>0</v>
      </c>
      <c r="G14" s="25">
        <v>0</v>
      </c>
      <c r="H14" s="27">
        <v>4034.8</v>
      </c>
      <c r="I14" s="109"/>
    </row>
    <row r="15" spans="1:9" ht="14.45" x14ac:dyDescent="0.3">
      <c r="A15" s="28">
        <v>41438</v>
      </c>
      <c r="B15" s="25">
        <v>281</v>
      </c>
      <c r="C15" s="25">
        <v>35</v>
      </c>
      <c r="D15" s="25">
        <v>468</v>
      </c>
      <c r="E15" s="26">
        <v>0</v>
      </c>
      <c r="F15" s="26">
        <v>0</v>
      </c>
      <c r="G15" s="25">
        <v>0</v>
      </c>
      <c r="H15" s="27">
        <v>4034.78</v>
      </c>
      <c r="I15" s="109" t="s">
        <v>90</v>
      </c>
    </row>
    <row r="16" spans="1:9" ht="14.45" x14ac:dyDescent="0.3">
      <c r="A16" s="28">
        <v>41439</v>
      </c>
      <c r="B16" s="25">
        <v>263</v>
      </c>
      <c r="C16" s="25">
        <v>6</v>
      </c>
      <c r="D16" s="25">
        <v>441</v>
      </c>
      <c r="E16" s="26">
        <v>0</v>
      </c>
      <c r="F16" s="26">
        <v>0</v>
      </c>
      <c r="G16" s="25">
        <v>0</v>
      </c>
      <c r="H16" s="27">
        <v>4034.78</v>
      </c>
      <c r="I16" s="109" t="s">
        <v>93</v>
      </c>
    </row>
    <row r="17" spans="1:9" ht="14.45" x14ac:dyDescent="0.3">
      <c r="A17" s="28">
        <v>41440</v>
      </c>
      <c r="B17" s="25">
        <v>252</v>
      </c>
      <c r="C17" s="25">
        <v>0</v>
      </c>
      <c r="D17" s="25">
        <v>458</v>
      </c>
      <c r="E17" s="26">
        <v>0</v>
      </c>
      <c r="F17" s="26">
        <v>0</v>
      </c>
      <c r="G17" s="25">
        <v>0</v>
      </c>
      <c r="H17" s="27">
        <v>4034.78</v>
      </c>
      <c r="I17" s="109" t="s">
        <v>94</v>
      </c>
    </row>
    <row r="18" spans="1:9" ht="14.45" x14ac:dyDescent="0.3">
      <c r="A18" s="28">
        <v>41441</v>
      </c>
      <c r="B18" s="25">
        <v>233</v>
      </c>
      <c r="C18" s="25">
        <v>0</v>
      </c>
      <c r="D18" s="25">
        <v>373</v>
      </c>
      <c r="E18" s="26">
        <v>0</v>
      </c>
      <c r="F18" s="26">
        <v>0</v>
      </c>
      <c r="G18" s="25">
        <v>0</v>
      </c>
      <c r="H18" s="27">
        <v>4034.78</v>
      </c>
      <c r="I18" s="109" t="s">
        <v>66</v>
      </c>
    </row>
    <row r="19" spans="1:9" ht="14.45" x14ac:dyDescent="0.3">
      <c r="A19" s="28">
        <v>41442</v>
      </c>
      <c r="B19" s="25">
        <v>275</v>
      </c>
      <c r="C19" s="25">
        <v>0</v>
      </c>
      <c r="D19" s="25">
        <v>405</v>
      </c>
      <c r="E19" s="26">
        <v>0</v>
      </c>
      <c r="F19" s="26">
        <v>0</v>
      </c>
      <c r="G19" s="25">
        <v>0</v>
      </c>
      <c r="H19" s="27">
        <v>4034.78</v>
      </c>
      <c r="I19" s="109" t="s">
        <v>85</v>
      </c>
    </row>
    <row r="20" spans="1:9" ht="14.45" x14ac:dyDescent="0.3">
      <c r="A20" s="28">
        <v>41443</v>
      </c>
      <c r="B20" s="25">
        <v>277</v>
      </c>
      <c r="C20" s="25">
        <v>0</v>
      </c>
      <c r="D20" s="25">
        <v>452</v>
      </c>
      <c r="E20" s="26">
        <v>0</v>
      </c>
      <c r="F20" s="26">
        <v>0</v>
      </c>
      <c r="G20" s="25">
        <v>0</v>
      </c>
      <c r="H20" s="27">
        <v>4034.78</v>
      </c>
      <c r="I20" s="109" t="s">
        <v>86</v>
      </c>
    </row>
    <row r="21" spans="1:9" ht="14.45" x14ac:dyDescent="0.3">
      <c r="A21" s="28">
        <v>41444</v>
      </c>
      <c r="B21" s="25">
        <v>242</v>
      </c>
      <c r="C21" s="25">
        <v>17</v>
      </c>
      <c r="D21" s="25">
        <v>452</v>
      </c>
      <c r="E21" s="26">
        <v>0.03</v>
      </c>
      <c r="F21" s="26">
        <v>0</v>
      </c>
      <c r="G21" s="25">
        <v>0</v>
      </c>
      <c r="H21" s="27">
        <v>4034.76</v>
      </c>
      <c r="I21" s="109" t="s">
        <v>95</v>
      </c>
    </row>
    <row r="22" spans="1:9" ht="14.45" x14ac:dyDescent="0.3">
      <c r="A22" s="28">
        <v>41445</v>
      </c>
      <c r="B22" s="25">
        <v>219</v>
      </c>
      <c r="C22" s="25">
        <v>17</v>
      </c>
      <c r="D22" s="25">
        <v>456</v>
      </c>
      <c r="E22" s="26">
        <v>0</v>
      </c>
      <c r="F22" s="26">
        <v>0</v>
      </c>
      <c r="G22" s="25">
        <v>0</v>
      </c>
      <c r="H22" s="27">
        <v>4034.74</v>
      </c>
      <c r="I22" s="109" t="s">
        <v>70</v>
      </c>
    </row>
    <row r="23" spans="1:9" ht="14.45" x14ac:dyDescent="0.3">
      <c r="A23" s="28">
        <v>41446</v>
      </c>
      <c r="B23" s="25">
        <v>250</v>
      </c>
      <c r="C23" s="25">
        <v>0</v>
      </c>
      <c r="D23" s="25">
        <v>454</v>
      </c>
      <c r="E23" s="26">
        <v>0</v>
      </c>
      <c r="F23" s="26">
        <v>0</v>
      </c>
      <c r="G23" s="25">
        <v>0</v>
      </c>
      <c r="H23" s="27">
        <v>4034.74</v>
      </c>
      <c r="I23" s="109"/>
    </row>
    <row r="24" spans="1:9" ht="14.45" x14ac:dyDescent="0.3">
      <c r="A24" s="28">
        <v>41447</v>
      </c>
      <c r="B24" s="25">
        <v>214</v>
      </c>
      <c r="C24" s="25">
        <v>24</v>
      </c>
      <c r="D24" s="25">
        <v>404</v>
      </c>
      <c r="E24" s="26">
        <v>0</v>
      </c>
      <c r="F24" s="26">
        <v>0</v>
      </c>
      <c r="G24" s="25">
        <v>0</v>
      </c>
      <c r="H24" s="27">
        <v>4034.74</v>
      </c>
      <c r="I24" s="109" t="s">
        <v>96</v>
      </c>
    </row>
    <row r="25" spans="1:9" ht="14.45" x14ac:dyDescent="0.3">
      <c r="A25" s="28">
        <v>41448</v>
      </c>
      <c r="B25" s="25">
        <v>181</v>
      </c>
      <c r="C25" s="25">
        <v>40</v>
      </c>
      <c r="D25" s="25">
        <v>365</v>
      </c>
      <c r="E25" s="26">
        <v>0.2</v>
      </c>
      <c r="F25" s="26">
        <v>0</v>
      </c>
      <c r="G25" s="25">
        <v>0</v>
      </c>
      <c r="H25" s="27">
        <v>4034.75</v>
      </c>
      <c r="I25" s="109" t="s">
        <v>97</v>
      </c>
    </row>
    <row r="26" spans="1:9" ht="14.45" x14ac:dyDescent="0.3">
      <c r="A26" s="28">
        <v>41449</v>
      </c>
      <c r="B26" s="25">
        <v>81</v>
      </c>
      <c r="C26" s="25">
        <v>66</v>
      </c>
      <c r="D26" s="25">
        <v>324</v>
      </c>
      <c r="E26" s="26">
        <v>0.65</v>
      </c>
      <c r="F26" s="26">
        <v>0</v>
      </c>
      <c r="G26" s="25">
        <v>0</v>
      </c>
      <c r="H26" s="27">
        <v>4034.78</v>
      </c>
      <c r="I26" s="109" t="s">
        <v>98</v>
      </c>
    </row>
    <row r="27" spans="1:9" ht="14.45" x14ac:dyDescent="0.3">
      <c r="A27" s="28">
        <v>41450</v>
      </c>
      <c r="B27" s="25">
        <v>40</v>
      </c>
      <c r="C27" s="25">
        <v>17</v>
      </c>
      <c r="D27" s="25">
        <v>297</v>
      </c>
      <c r="E27" s="26">
        <v>7.0000000000000007E-2</v>
      </c>
      <c r="F27" s="26">
        <v>0</v>
      </c>
      <c r="G27" s="25">
        <v>0</v>
      </c>
      <c r="H27" s="27">
        <v>4034.8</v>
      </c>
      <c r="I27" s="109" t="s">
        <v>99</v>
      </c>
    </row>
    <row r="28" spans="1:9" ht="14.45" x14ac:dyDescent="0.3">
      <c r="A28" s="28">
        <v>41451</v>
      </c>
      <c r="B28" s="25">
        <v>25</v>
      </c>
      <c r="C28" s="25">
        <v>35</v>
      </c>
      <c r="D28" s="25">
        <v>278</v>
      </c>
      <c r="E28" s="26">
        <v>0.25</v>
      </c>
      <c r="F28" s="26">
        <v>0</v>
      </c>
      <c r="G28" s="25">
        <v>0</v>
      </c>
      <c r="H28" s="27">
        <v>4034.82</v>
      </c>
      <c r="I28" s="109" t="s">
        <v>27</v>
      </c>
    </row>
    <row r="29" spans="1:9" ht="14.45" x14ac:dyDescent="0.3">
      <c r="A29" s="28">
        <v>41452</v>
      </c>
      <c r="B29" s="25">
        <v>25</v>
      </c>
      <c r="C29" s="25">
        <v>33</v>
      </c>
      <c r="D29" s="25">
        <v>260</v>
      </c>
      <c r="E29" s="26">
        <v>0</v>
      </c>
      <c r="F29" s="26">
        <v>0</v>
      </c>
      <c r="G29" s="25">
        <v>0</v>
      </c>
      <c r="H29" s="27">
        <v>4034.85</v>
      </c>
      <c r="I29" s="109"/>
    </row>
    <row r="30" spans="1:9" ht="14.45" x14ac:dyDescent="0.3">
      <c r="A30" s="28">
        <v>41453</v>
      </c>
      <c r="B30" s="25">
        <v>45</v>
      </c>
      <c r="C30" s="25">
        <v>24</v>
      </c>
      <c r="D30" s="25">
        <v>268</v>
      </c>
      <c r="E30" s="26">
        <v>0</v>
      </c>
      <c r="F30" s="26">
        <v>0</v>
      </c>
      <c r="G30" s="25">
        <v>0</v>
      </c>
      <c r="H30" s="27">
        <v>4034.88</v>
      </c>
      <c r="I30" s="109" t="s">
        <v>100</v>
      </c>
    </row>
    <row r="31" spans="1:9" ht="14.45" x14ac:dyDescent="0.3">
      <c r="A31" s="28">
        <v>41454</v>
      </c>
      <c r="B31" s="25">
        <v>100</v>
      </c>
      <c r="C31" s="25">
        <v>0</v>
      </c>
      <c r="D31" s="25">
        <v>284</v>
      </c>
      <c r="E31" s="26">
        <v>0</v>
      </c>
      <c r="F31" s="26">
        <v>0</v>
      </c>
      <c r="G31" s="25">
        <v>0</v>
      </c>
      <c r="H31" s="27">
        <v>4034.9</v>
      </c>
      <c r="I31" s="109"/>
    </row>
    <row r="32" spans="1:9" thickBot="1" x14ac:dyDescent="0.35">
      <c r="A32" s="28">
        <v>41455</v>
      </c>
      <c r="B32" s="25">
        <v>183</v>
      </c>
      <c r="C32" s="25">
        <v>0</v>
      </c>
      <c r="D32" s="25">
        <v>315</v>
      </c>
      <c r="E32" s="26">
        <v>0</v>
      </c>
      <c r="F32" s="26">
        <v>0</v>
      </c>
      <c r="G32" s="25">
        <v>0</v>
      </c>
      <c r="H32" s="27">
        <v>4034.9</v>
      </c>
      <c r="I32" s="109" t="s">
        <v>101</v>
      </c>
    </row>
    <row r="33" spans="1:14" s="11" customFormat="1" thickTop="1" x14ac:dyDescent="0.3">
      <c r="A33" s="16" t="s">
        <v>8</v>
      </c>
      <c r="B33" s="17">
        <f t="shared" ref="B33:G33" si="0">SUM(B3:B32)</f>
        <v>6784</v>
      </c>
      <c r="C33" s="17">
        <f t="shared" si="0"/>
        <v>360</v>
      </c>
      <c r="D33" s="17">
        <f t="shared" si="0"/>
        <v>12329</v>
      </c>
      <c r="E33" s="18">
        <f t="shared" si="0"/>
        <v>1.2</v>
      </c>
      <c r="F33" s="18">
        <f t="shared" si="0"/>
        <v>0</v>
      </c>
      <c r="G33" s="17">
        <f t="shared" si="0"/>
        <v>0</v>
      </c>
      <c r="H33" s="18"/>
    </row>
    <row r="34" spans="1:14" s="11" customFormat="1" ht="14.45" x14ac:dyDescent="0.3">
      <c r="A34" s="19" t="s">
        <v>9</v>
      </c>
      <c r="B34" s="20">
        <f>SUM(B33+'May 2013'!B35)</f>
        <v>16914</v>
      </c>
      <c r="C34" s="20">
        <f>SUM(C33+'May 2013'!C35)</f>
        <v>4539</v>
      </c>
      <c r="D34" s="20">
        <f>SUM(D33+'May 2013'!D35)</f>
        <v>34026</v>
      </c>
      <c r="E34" s="21">
        <f>SUM(E33+'May 2013'!E35)</f>
        <v>8.0200000000000014</v>
      </c>
      <c r="F34" s="21">
        <f>SUM(F33+'May 2013'!F35)</f>
        <v>12.1</v>
      </c>
      <c r="G34" s="20">
        <f>SUM(G33+'May 2013'!G35)</f>
        <v>20772</v>
      </c>
      <c r="H34" s="21"/>
    </row>
    <row r="36" spans="1:14" ht="14.45" x14ac:dyDescent="0.3">
      <c r="A36" t="s">
        <v>10</v>
      </c>
      <c r="B36" s="23">
        <f>SUM(B3:B32)*1.9835</f>
        <v>13456.064</v>
      </c>
      <c r="C36" s="23">
        <f>SUM(C3:C32)*1.9835</f>
        <v>714.06000000000006</v>
      </c>
      <c r="D36" s="23">
        <f>SUM(D3:D32)*1.9835</f>
        <v>24454.571500000002</v>
      </c>
      <c r="E36" s="23"/>
      <c r="F36" s="23"/>
      <c r="G36" s="23"/>
      <c r="I36" s="22"/>
    </row>
    <row r="38" spans="1:14" ht="14.45" x14ac:dyDescent="0.3">
      <c r="A38" t="s">
        <v>24</v>
      </c>
      <c r="B38" s="23">
        <f>SUM(B36+'May 2013'!B39)</f>
        <v>33548.919000000002</v>
      </c>
      <c r="C38" s="23">
        <f>SUM(C36+'May 2013'!C39)</f>
        <v>9003.1065000000017</v>
      </c>
      <c r="D38" s="23">
        <f>SUM(D36+'May 2013'!D39)</f>
        <v>67490.571000000011</v>
      </c>
      <c r="E38" s="23"/>
      <c r="F38" s="23"/>
      <c r="G38" s="23"/>
      <c r="I38" s="22"/>
    </row>
    <row r="40" spans="1:14" ht="17.45" customHeight="1" x14ac:dyDescent="0.25">
      <c r="A40" s="118"/>
      <c r="B40" s="118"/>
      <c r="C40" s="118"/>
      <c r="D40" s="118"/>
      <c r="E40" s="118"/>
      <c r="F40" s="119"/>
      <c r="G40" s="120" t="s">
        <v>12</v>
      </c>
      <c r="H40" s="121"/>
      <c r="I40" s="30"/>
      <c r="J40" s="30"/>
      <c r="K40" s="30"/>
      <c r="L40" s="30"/>
      <c r="M40" s="31"/>
      <c r="N40" s="30"/>
    </row>
    <row r="41" spans="1:14" ht="16.899999999999999" customHeight="1" x14ac:dyDescent="0.25">
      <c r="A41" s="29"/>
      <c r="B41" s="29"/>
      <c r="C41" s="29"/>
      <c r="D41" s="29"/>
      <c r="E41" s="29"/>
      <c r="F41" s="29"/>
      <c r="G41" s="120"/>
      <c r="H41" s="121"/>
      <c r="I41" s="30"/>
      <c r="J41" s="30"/>
      <c r="K41" s="30"/>
      <c r="L41" s="30"/>
      <c r="M41" s="31"/>
      <c r="N41" s="30"/>
    </row>
    <row r="42" spans="1:14" ht="13.9" customHeight="1" thickBot="1" x14ac:dyDescent="0.35">
      <c r="A42" s="122" t="s">
        <v>23</v>
      </c>
      <c r="B42" s="122"/>
      <c r="C42" s="122"/>
      <c r="D42" s="122"/>
      <c r="E42" s="122"/>
      <c r="F42" s="122"/>
      <c r="G42" s="122"/>
      <c r="H42" s="122"/>
      <c r="I42" s="123"/>
      <c r="J42" s="32"/>
      <c r="K42" s="32"/>
      <c r="L42" s="32"/>
      <c r="M42" s="33"/>
      <c r="N42" s="34"/>
    </row>
    <row r="43" spans="1:14" ht="15.6" customHeight="1" x14ac:dyDescent="0.3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3"/>
    </row>
    <row r="44" spans="1:14" ht="14.45" x14ac:dyDescent="0.3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3"/>
    </row>
    <row r="45" spans="1:14" ht="14.4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ht="14.4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ht="14.4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ht="14.45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ht="13.15" customHeight="1" x14ac:dyDescent="0.25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3"/>
      <c r="N49" s="34"/>
    </row>
    <row r="50" spans="1:14" ht="15.75" thickBot="1" x14ac:dyDescent="0.3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3"/>
      <c r="N50" s="34"/>
    </row>
    <row r="51" spans="1:14" ht="26.25" x14ac:dyDescent="0.25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</row>
    <row r="52" spans="1:14" ht="15.75" x14ac:dyDescent="0.25">
      <c r="A52" s="58"/>
      <c r="B52" s="59"/>
      <c r="C52" s="60"/>
      <c r="D52" s="61"/>
      <c r="E52" s="62"/>
      <c r="F52" s="63">
        <f>SUM(C52/24*D52)</f>
        <v>0</v>
      </c>
      <c r="G52" s="64"/>
      <c r="H52" s="65"/>
      <c r="I52" s="66"/>
    </row>
    <row r="53" spans="1:14" x14ac:dyDescent="0.25">
      <c r="A53" s="67"/>
      <c r="B53" s="68"/>
      <c r="C53" s="69"/>
      <c r="D53" s="61"/>
      <c r="E53" s="70"/>
      <c r="F53" s="71">
        <f>SUM(C53/24*D53)</f>
        <v>0</v>
      </c>
      <c r="G53" s="64"/>
      <c r="H53" s="65"/>
    </row>
    <row r="54" spans="1:14" x14ac:dyDescent="0.25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4" x14ac:dyDescent="0.2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ht="15.75" thickBot="1" x14ac:dyDescent="0.3">
      <c r="A56" s="73"/>
      <c r="B56" s="74"/>
      <c r="C56" s="75"/>
      <c r="D56" s="76"/>
      <c r="E56" s="75"/>
      <c r="F56" s="77">
        <f>SUM(C56/24*D56)</f>
        <v>0</v>
      </c>
      <c r="G56" s="64"/>
      <c r="H56" s="65"/>
      <c r="I56" s="78"/>
    </row>
    <row r="57" spans="1:14" s="84" customFormat="1" ht="30" customHeight="1" x14ac:dyDescent="0.25">
      <c r="A57" s="124" t="s">
        <v>21</v>
      </c>
      <c r="B57" s="125"/>
      <c r="C57" s="126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I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zoomScaleNormal="100" workbookViewId="0">
      <pane xSplit="1" ySplit="2" topLeftCell="B15" activePane="bottomRight" state="frozen"/>
      <selection pane="topRight" activeCell="B1" sqref="B1"/>
      <selection pane="bottomLeft" activeCell="A3" sqref="A3"/>
      <selection pane="bottomRight" activeCell="H33" sqref="H33"/>
    </sheetView>
  </sheetViews>
  <sheetFormatPr defaultRowHeight="15" x14ac:dyDescent="0.25"/>
  <cols>
    <col min="1" max="1" width="13.5703125" bestFit="1" customWidth="1"/>
    <col min="2" max="8" width="11.7109375" customWidth="1"/>
    <col min="9" max="9" width="27.42578125" customWidth="1"/>
  </cols>
  <sheetData>
    <row r="1" spans="1:9" s="1" customFormat="1" ht="28.9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ht="14.45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ht="14.45" x14ac:dyDescent="0.3">
      <c r="A3" s="12">
        <v>41395</v>
      </c>
      <c r="B3" s="25">
        <v>217</v>
      </c>
      <c r="C3" s="25">
        <v>0</v>
      </c>
      <c r="D3" s="25">
        <v>380</v>
      </c>
      <c r="E3" s="26">
        <v>0</v>
      </c>
      <c r="F3" s="26">
        <v>0</v>
      </c>
      <c r="G3" s="25">
        <v>0</v>
      </c>
      <c r="H3" s="27">
        <v>4034.62</v>
      </c>
      <c r="I3" s="109" t="s">
        <v>64</v>
      </c>
    </row>
    <row r="4" spans="1:9" ht="14.45" x14ac:dyDescent="0.3">
      <c r="A4" s="12">
        <v>41396</v>
      </c>
      <c r="B4" s="25">
        <v>233</v>
      </c>
      <c r="C4" s="25">
        <v>0</v>
      </c>
      <c r="D4" s="25">
        <v>413</v>
      </c>
      <c r="E4" s="26">
        <v>0</v>
      </c>
      <c r="F4" s="26">
        <v>0</v>
      </c>
      <c r="G4" s="92">
        <v>0</v>
      </c>
      <c r="H4" s="27">
        <v>4034.62</v>
      </c>
      <c r="I4" s="109" t="s">
        <v>66</v>
      </c>
    </row>
    <row r="5" spans="1:9" ht="14.45" x14ac:dyDescent="0.3">
      <c r="A5" s="12">
        <v>41397</v>
      </c>
      <c r="B5" s="25">
        <v>267</v>
      </c>
      <c r="C5" s="25">
        <v>0</v>
      </c>
      <c r="D5" s="25">
        <v>454</v>
      </c>
      <c r="E5" s="26">
        <v>0</v>
      </c>
      <c r="F5" s="26">
        <v>0</v>
      </c>
      <c r="G5" s="92">
        <v>0</v>
      </c>
      <c r="H5" s="27">
        <v>4034.61</v>
      </c>
      <c r="I5" s="93" t="s">
        <v>67</v>
      </c>
    </row>
    <row r="6" spans="1:9" ht="14.45" x14ac:dyDescent="0.3">
      <c r="A6" s="12">
        <v>41398</v>
      </c>
      <c r="B6" s="25">
        <v>265</v>
      </c>
      <c r="C6" s="25">
        <v>0</v>
      </c>
      <c r="D6" s="25">
        <v>463</v>
      </c>
      <c r="E6" s="26">
        <v>0</v>
      </c>
      <c r="F6" s="26">
        <v>0</v>
      </c>
      <c r="G6" s="25">
        <v>0</v>
      </c>
      <c r="H6" s="27">
        <v>4034.61</v>
      </c>
      <c r="I6" s="109" t="s">
        <v>68</v>
      </c>
    </row>
    <row r="7" spans="1:9" ht="14.45" x14ac:dyDescent="0.3">
      <c r="A7" s="12">
        <v>41399</v>
      </c>
      <c r="B7" s="25">
        <v>229</v>
      </c>
      <c r="C7" s="25">
        <v>8</v>
      </c>
      <c r="D7" s="25">
        <v>446</v>
      </c>
      <c r="E7" s="26">
        <v>0</v>
      </c>
      <c r="F7" s="26">
        <v>0</v>
      </c>
      <c r="G7" s="92">
        <v>0</v>
      </c>
      <c r="H7" s="27">
        <v>4034.61</v>
      </c>
      <c r="I7" s="109" t="s">
        <v>69</v>
      </c>
    </row>
    <row r="8" spans="1:9" ht="14.45" x14ac:dyDescent="0.3">
      <c r="A8" s="12">
        <v>41400</v>
      </c>
      <c r="B8" s="25">
        <v>200</v>
      </c>
      <c r="C8" s="25">
        <v>15</v>
      </c>
      <c r="D8" s="25">
        <v>414</v>
      </c>
      <c r="E8" s="26">
        <v>0.13</v>
      </c>
      <c r="F8" s="26">
        <v>0</v>
      </c>
      <c r="G8" s="25">
        <v>0</v>
      </c>
      <c r="H8" s="27">
        <v>4034.62</v>
      </c>
    </row>
    <row r="9" spans="1:9" ht="14.45" x14ac:dyDescent="0.3">
      <c r="A9" s="12">
        <v>41401</v>
      </c>
      <c r="B9" s="25">
        <v>219</v>
      </c>
      <c r="C9" s="25">
        <v>0</v>
      </c>
      <c r="D9" s="25">
        <v>421</v>
      </c>
      <c r="E9" s="26">
        <v>0.18</v>
      </c>
      <c r="F9" s="26">
        <v>0</v>
      </c>
      <c r="G9" s="25">
        <v>0</v>
      </c>
      <c r="H9" s="27">
        <v>4034.63</v>
      </c>
      <c r="I9" s="109" t="s">
        <v>70</v>
      </c>
    </row>
    <row r="10" spans="1:9" ht="14.45" x14ac:dyDescent="0.3">
      <c r="A10" s="12">
        <v>41402</v>
      </c>
      <c r="B10" s="25">
        <v>190</v>
      </c>
      <c r="C10" s="25">
        <v>22</v>
      </c>
      <c r="D10" s="25">
        <v>431</v>
      </c>
      <c r="E10" s="26">
        <v>0.2</v>
      </c>
      <c r="F10" s="26">
        <v>0</v>
      </c>
      <c r="G10" s="25">
        <v>0</v>
      </c>
      <c r="H10" s="27">
        <v>4034.64</v>
      </c>
      <c r="I10" s="109" t="s">
        <v>71</v>
      </c>
    </row>
    <row r="11" spans="1:9" ht="14.45" x14ac:dyDescent="0.3">
      <c r="A11" s="12">
        <v>41403</v>
      </c>
      <c r="B11" s="25">
        <v>129</v>
      </c>
      <c r="C11" s="92">
        <v>24</v>
      </c>
      <c r="D11" s="92">
        <v>381</v>
      </c>
      <c r="E11" s="26">
        <v>7.0000000000000007E-2</v>
      </c>
      <c r="F11" s="26">
        <v>0</v>
      </c>
      <c r="G11" s="92">
        <v>0</v>
      </c>
      <c r="H11" s="94">
        <v>4034.65</v>
      </c>
      <c r="I11" s="109" t="s">
        <v>72</v>
      </c>
    </row>
    <row r="12" spans="1:9" ht="14.45" x14ac:dyDescent="0.3">
      <c r="A12" s="12">
        <v>41404</v>
      </c>
      <c r="B12" s="25">
        <v>131</v>
      </c>
      <c r="C12" s="25">
        <v>0</v>
      </c>
      <c r="D12" s="25">
        <v>349</v>
      </c>
      <c r="E12" s="26">
        <v>0</v>
      </c>
      <c r="F12" s="26">
        <v>0</v>
      </c>
      <c r="G12" s="25">
        <v>0</v>
      </c>
      <c r="H12" s="27">
        <v>4034.66</v>
      </c>
      <c r="I12" s="109" t="s">
        <v>73</v>
      </c>
    </row>
    <row r="13" spans="1:9" ht="14.45" x14ac:dyDescent="0.3">
      <c r="A13" s="12">
        <v>41405</v>
      </c>
      <c r="B13" s="25">
        <v>150</v>
      </c>
      <c r="C13" s="25">
        <v>0</v>
      </c>
      <c r="D13" s="25">
        <v>332</v>
      </c>
      <c r="E13" s="26">
        <v>0</v>
      </c>
      <c r="F13" s="26">
        <v>0</v>
      </c>
      <c r="G13" s="25">
        <v>0</v>
      </c>
      <c r="H13" s="27">
        <v>4034.67</v>
      </c>
    </row>
    <row r="14" spans="1:9" ht="14.45" x14ac:dyDescent="0.3">
      <c r="A14" s="12">
        <v>41406</v>
      </c>
      <c r="B14" s="25">
        <v>150</v>
      </c>
      <c r="C14" s="25">
        <v>0</v>
      </c>
      <c r="D14" s="25">
        <v>309</v>
      </c>
      <c r="E14" s="26">
        <v>0</v>
      </c>
      <c r="F14" s="26">
        <v>0</v>
      </c>
      <c r="G14" s="25">
        <v>0</v>
      </c>
      <c r="H14" s="27">
        <v>4034.68</v>
      </c>
    </row>
    <row r="15" spans="1:9" ht="14.45" x14ac:dyDescent="0.3">
      <c r="A15" s="12">
        <v>41407</v>
      </c>
      <c r="B15" s="25">
        <v>150</v>
      </c>
      <c r="C15" s="25">
        <v>0</v>
      </c>
      <c r="D15" s="25">
        <v>334</v>
      </c>
      <c r="E15" s="26">
        <v>0</v>
      </c>
      <c r="F15" s="26">
        <v>0</v>
      </c>
      <c r="G15" s="25">
        <v>0</v>
      </c>
      <c r="H15" s="27">
        <v>4034.7</v>
      </c>
    </row>
    <row r="16" spans="1:9" ht="14.45" x14ac:dyDescent="0.3">
      <c r="A16" s="12">
        <v>41408</v>
      </c>
      <c r="B16" s="25">
        <v>201</v>
      </c>
      <c r="C16" s="25">
        <v>0</v>
      </c>
      <c r="D16" s="25">
        <v>337</v>
      </c>
      <c r="E16" s="26">
        <v>0</v>
      </c>
      <c r="F16" s="26">
        <v>0</v>
      </c>
      <c r="G16" s="25">
        <v>0</v>
      </c>
      <c r="H16" s="27">
        <v>4034.71</v>
      </c>
      <c r="I16" s="109" t="s">
        <v>74</v>
      </c>
    </row>
    <row r="17" spans="1:9" ht="14.45" x14ac:dyDescent="0.3">
      <c r="A17" s="12">
        <v>41409</v>
      </c>
      <c r="B17" s="25">
        <v>267</v>
      </c>
      <c r="C17" s="25">
        <v>0</v>
      </c>
      <c r="D17" s="25">
        <v>351</v>
      </c>
      <c r="E17" s="26">
        <v>0</v>
      </c>
      <c r="F17" s="26">
        <v>0</v>
      </c>
      <c r="G17" s="25">
        <v>0</v>
      </c>
      <c r="H17" s="27">
        <v>4034.73</v>
      </c>
      <c r="I17" s="109" t="s">
        <v>67</v>
      </c>
    </row>
    <row r="18" spans="1:9" ht="14.45" x14ac:dyDescent="0.3">
      <c r="A18" s="12">
        <v>41410</v>
      </c>
      <c r="B18" s="25">
        <v>197</v>
      </c>
      <c r="C18" s="25">
        <v>20</v>
      </c>
      <c r="D18" s="25">
        <v>364</v>
      </c>
      <c r="E18" s="26">
        <v>0.08</v>
      </c>
      <c r="F18" s="26">
        <v>0</v>
      </c>
      <c r="G18" s="25">
        <v>0</v>
      </c>
      <c r="H18" s="27">
        <v>4034.75</v>
      </c>
      <c r="I18" s="109" t="s">
        <v>75</v>
      </c>
    </row>
    <row r="19" spans="1:9" ht="14.45" x14ac:dyDescent="0.3">
      <c r="A19" s="12">
        <v>41411</v>
      </c>
      <c r="B19" s="25">
        <v>94</v>
      </c>
      <c r="C19" s="25">
        <v>65</v>
      </c>
      <c r="D19" s="25">
        <v>318</v>
      </c>
      <c r="E19" s="26">
        <v>0.24</v>
      </c>
      <c r="F19" s="26">
        <v>0</v>
      </c>
      <c r="G19" s="25">
        <v>0</v>
      </c>
      <c r="H19" s="27">
        <v>4034.76</v>
      </c>
      <c r="I19" s="109" t="s">
        <v>76</v>
      </c>
    </row>
    <row r="20" spans="1:9" ht="14.45" x14ac:dyDescent="0.3">
      <c r="A20" s="12">
        <v>41412</v>
      </c>
      <c r="B20" s="25">
        <v>50</v>
      </c>
      <c r="C20" s="25">
        <v>2</v>
      </c>
      <c r="D20" s="25">
        <v>298</v>
      </c>
      <c r="E20" s="26">
        <v>0.02</v>
      </c>
      <c r="F20" s="26">
        <v>0</v>
      </c>
      <c r="G20" s="25">
        <v>0</v>
      </c>
      <c r="H20" s="27">
        <v>4034.78</v>
      </c>
    </row>
    <row r="21" spans="1:9" ht="14.45" x14ac:dyDescent="0.3">
      <c r="A21" s="12">
        <v>41413</v>
      </c>
      <c r="B21" s="25">
        <v>50</v>
      </c>
      <c r="C21" s="25">
        <v>0</v>
      </c>
      <c r="D21" s="25">
        <v>278</v>
      </c>
      <c r="E21" s="26">
        <v>0</v>
      </c>
      <c r="F21" s="26">
        <v>0</v>
      </c>
      <c r="G21" s="25">
        <v>0</v>
      </c>
      <c r="H21" s="27">
        <v>4034.79</v>
      </c>
    </row>
    <row r="22" spans="1:9" ht="14.45" x14ac:dyDescent="0.3">
      <c r="A22" s="12">
        <v>41414</v>
      </c>
      <c r="B22" s="25">
        <v>50</v>
      </c>
      <c r="C22" s="25">
        <v>0</v>
      </c>
      <c r="D22" s="25">
        <v>284</v>
      </c>
      <c r="E22" s="26">
        <v>0</v>
      </c>
      <c r="F22" s="26">
        <v>0</v>
      </c>
      <c r="G22" s="25">
        <v>0</v>
      </c>
      <c r="H22" s="27">
        <v>4034.81</v>
      </c>
    </row>
    <row r="23" spans="1:9" ht="14.45" x14ac:dyDescent="0.3">
      <c r="A23" s="12">
        <v>41415</v>
      </c>
      <c r="B23" s="25">
        <v>71</v>
      </c>
      <c r="C23" s="25">
        <v>0</v>
      </c>
      <c r="D23" s="25">
        <v>277</v>
      </c>
      <c r="E23" s="26">
        <v>0</v>
      </c>
      <c r="F23" s="26">
        <v>0</v>
      </c>
      <c r="G23" s="25">
        <v>0</v>
      </c>
      <c r="H23" s="27">
        <v>4034.8</v>
      </c>
      <c r="I23" s="109" t="s">
        <v>77</v>
      </c>
    </row>
    <row r="24" spans="1:9" ht="14.45" x14ac:dyDescent="0.3">
      <c r="A24" s="12">
        <v>41416</v>
      </c>
      <c r="B24" s="25">
        <v>65</v>
      </c>
      <c r="C24" s="25">
        <v>0</v>
      </c>
      <c r="D24" s="25">
        <v>265</v>
      </c>
      <c r="E24" s="26">
        <v>0</v>
      </c>
      <c r="F24" s="26">
        <v>0</v>
      </c>
      <c r="G24" s="25">
        <v>0</v>
      </c>
      <c r="H24" s="27">
        <v>4034.8</v>
      </c>
      <c r="I24" s="109" t="s">
        <v>78</v>
      </c>
    </row>
    <row r="25" spans="1:9" ht="14.45" x14ac:dyDescent="0.3">
      <c r="A25" s="12">
        <v>41417</v>
      </c>
      <c r="B25" s="25">
        <v>50</v>
      </c>
      <c r="C25" s="25">
        <v>0</v>
      </c>
      <c r="D25" s="25">
        <v>281</v>
      </c>
      <c r="E25" s="26">
        <v>0.03</v>
      </c>
      <c r="F25" s="26">
        <v>0</v>
      </c>
      <c r="G25" s="25">
        <v>0</v>
      </c>
      <c r="H25" s="27">
        <v>4034.82</v>
      </c>
    </row>
    <row r="26" spans="1:9" ht="14.45" x14ac:dyDescent="0.3">
      <c r="A26" s="12">
        <v>41418</v>
      </c>
      <c r="B26" s="25">
        <v>50</v>
      </c>
      <c r="C26" s="25">
        <v>0</v>
      </c>
      <c r="D26" s="25">
        <v>293</v>
      </c>
      <c r="E26" s="26">
        <v>0</v>
      </c>
      <c r="F26" s="26">
        <v>0</v>
      </c>
      <c r="G26" s="25">
        <v>0</v>
      </c>
      <c r="H26" s="27">
        <v>4034.85</v>
      </c>
    </row>
    <row r="27" spans="1:9" ht="14.45" x14ac:dyDescent="0.3">
      <c r="A27" s="12">
        <v>41419</v>
      </c>
      <c r="B27" s="25">
        <v>117</v>
      </c>
      <c r="C27" s="25">
        <v>0</v>
      </c>
      <c r="D27" s="25">
        <v>287</v>
      </c>
      <c r="E27" s="26">
        <v>0</v>
      </c>
      <c r="F27" s="26">
        <v>0</v>
      </c>
      <c r="G27" s="25">
        <v>0</v>
      </c>
      <c r="H27" s="27">
        <v>4034.85</v>
      </c>
      <c r="I27" s="109" t="s">
        <v>79</v>
      </c>
    </row>
    <row r="28" spans="1:9" ht="14.45" x14ac:dyDescent="0.3">
      <c r="A28" s="12">
        <v>41420</v>
      </c>
      <c r="B28" s="25">
        <v>164</v>
      </c>
      <c r="C28" s="25">
        <v>0</v>
      </c>
      <c r="D28" s="25">
        <v>298</v>
      </c>
      <c r="E28" s="26">
        <v>0</v>
      </c>
      <c r="F28" s="26">
        <v>0</v>
      </c>
      <c r="G28" s="25">
        <v>0</v>
      </c>
      <c r="H28" s="27">
        <v>4034.86</v>
      </c>
      <c r="I28" s="109" t="s">
        <v>80</v>
      </c>
    </row>
    <row r="29" spans="1:9" ht="14.45" x14ac:dyDescent="0.3">
      <c r="A29" s="12">
        <v>41421</v>
      </c>
      <c r="B29" s="25">
        <v>150</v>
      </c>
      <c r="C29" s="25">
        <v>0</v>
      </c>
      <c r="D29" s="25">
        <v>306</v>
      </c>
      <c r="E29" s="26">
        <v>0.13</v>
      </c>
      <c r="F29" s="26">
        <v>0</v>
      </c>
      <c r="G29" s="25">
        <v>0</v>
      </c>
      <c r="H29" s="27">
        <v>4034.87</v>
      </c>
    </row>
    <row r="30" spans="1:9" ht="14.45" x14ac:dyDescent="0.3">
      <c r="A30" s="12">
        <v>41422</v>
      </c>
      <c r="B30" s="25">
        <v>115</v>
      </c>
      <c r="C30" s="25">
        <v>65</v>
      </c>
      <c r="D30" s="25">
        <v>350</v>
      </c>
      <c r="E30" s="26">
        <v>0.08</v>
      </c>
      <c r="F30" s="26">
        <v>0</v>
      </c>
      <c r="G30" s="25">
        <v>0</v>
      </c>
      <c r="H30" s="27">
        <v>4034.88</v>
      </c>
      <c r="I30" s="109" t="s">
        <v>81</v>
      </c>
    </row>
    <row r="31" spans="1:9" ht="14.45" x14ac:dyDescent="0.3">
      <c r="A31" s="12">
        <v>41423</v>
      </c>
      <c r="B31" s="25">
        <v>123</v>
      </c>
      <c r="C31" s="25">
        <v>2</v>
      </c>
      <c r="D31" s="25">
        <v>357</v>
      </c>
      <c r="E31" s="26">
        <v>0.03</v>
      </c>
      <c r="F31" s="26">
        <v>0</v>
      </c>
      <c r="G31" s="25">
        <v>0</v>
      </c>
      <c r="H31" s="27">
        <v>4034.89</v>
      </c>
      <c r="I31" s="109" t="s">
        <v>82</v>
      </c>
    </row>
    <row r="32" spans="1:9" ht="14.45" x14ac:dyDescent="0.3">
      <c r="A32" s="12">
        <v>41424</v>
      </c>
      <c r="B32" s="25">
        <v>183</v>
      </c>
      <c r="C32" s="25">
        <v>0</v>
      </c>
      <c r="D32" s="25">
        <v>375</v>
      </c>
      <c r="E32" s="26">
        <v>0</v>
      </c>
      <c r="F32" s="26">
        <v>0</v>
      </c>
      <c r="G32" s="25">
        <v>0</v>
      </c>
      <c r="H32" s="27">
        <v>4034.9</v>
      </c>
      <c r="I32" s="109" t="s">
        <v>84</v>
      </c>
    </row>
    <row r="33" spans="1:15" thickBot="1" x14ac:dyDescent="0.35">
      <c r="A33" s="12">
        <v>41425</v>
      </c>
      <c r="B33" s="25">
        <v>156</v>
      </c>
      <c r="C33" s="25">
        <v>0</v>
      </c>
      <c r="D33" s="25">
        <v>390</v>
      </c>
      <c r="E33" s="26">
        <v>0</v>
      </c>
      <c r="F33" s="26">
        <v>0</v>
      </c>
      <c r="G33" s="25">
        <v>0</v>
      </c>
      <c r="H33" s="27">
        <v>4034.9</v>
      </c>
      <c r="I33" s="109" t="s">
        <v>83</v>
      </c>
    </row>
    <row r="34" spans="1:15" s="11" customFormat="1" thickTop="1" x14ac:dyDescent="0.3">
      <c r="A34" s="16" t="s">
        <v>8</v>
      </c>
      <c r="B34" s="17">
        <f t="shared" ref="B34:G34" si="0">SUM(B3:B33)</f>
        <v>4683</v>
      </c>
      <c r="C34" s="17">
        <f t="shared" si="0"/>
        <v>223</v>
      </c>
      <c r="D34" s="17">
        <f t="shared" si="0"/>
        <v>10836</v>
      </c>
      <c r="E34" s="18">
        <f t="shared" si="0"/>
        <v>1.1900000000000002</v>
      </c>
      <c r="F34" s="18">
        <f t="shared" si="0"/>
        <v>0</v>
      </c>
      <c r="G34" s="17">
        <f t="shared" si="0"/>
        <v>0</v>
      </c>
      <c r="H34" s="18"/>
    </row>
    <row r="35" spans="1:15" s="11" customFormat="1" ht="14.45" x14ac:dyDescent="0.3">
      <c r="A35" s="19" t="s">
        <v>9</v>
      </c>
      <c r="B35" s="20">
        <f>SUM(B34+'Apr 2013'!B34)</f>
        <v>10130</v>
      </c>
      <c r="C35" s="20">
        <f>SUM(C34+'Apr 2013'!C34)</f>
        <v>4179</v>
      </c>
      <c r="D35" s="20">
        <f>SUM(D34+'Apr 2013'!D34)</f>
        <v>21697</v>
      </c>
      <c r="E35" s="21">
        <f>SUM(E34+'Apr 2013'!E34)</f>
        <v>6.8200000000000012</v>
      </c>
      <c r="F35" s="21">
        <f>SUM(F34+'Apr 2013'!F34)</f>
        <v>12.1</v>
      </c>
      <c r="G35" s="20">
        <f>SUM(G34+'Apr 2013'!G34)</f>
        <v>20772</v>
      </c>
      <c r="H35" s="21"/>
    </row>
    <row r="37" spans="1:15" ht="14.45" x14ac:dyDescent="0.3">
      <c r="A37" t="s">
        <v>10</v>
      </c>
      <c r="B37" s="23">
        <f>SUM(B3:B33)*1.9835</f>
        <v>9288.7304999999997</v>
      </c>
      <c r="C37" s="23">
        <f>SUM(C3:C33)*1.9835</f>
        <v>442.32049999999998</v>
      </c>
      <c r="D37" s="23">
        <f>SUM(D3:D33)*1.9835</f>
        <v>21493.206000000002</v>
      </c>
      <c r="E37" s="23"/>
      <c r="F37" s="23"/>
      <c r="G37" s="23"/>
      <c r="I37" s="22"/>
    </row>
    <row r="39" spans="1:15" ht="14.45" x14ac:dyDescent="0.3">
      <c r="A39" t="s">
        <v>24</v>
      </c>
      <c r="B39" s="23">
        <f>SUM(B37+'Apr 2013'!B38)</f>
        <v>20092.855000000003</v>
      </c>
      <c r="C39" s="23">
        <f>SUM(C37+'Apr 2013'!C38)</f>
        <v>8289.0465000000022</v>
      </c>
      <c r="D39" s="23">
        <f>SUM(D37+'Apr 2013'!D38)</f>
        <v>43035.999500000005</v>
      </c>
      <c r="E39" s="23"/>
      <c r="F39" s="23"/>
      <c r="G39" s="23"/>
      <c r="I39" s="22"/>
    </row>
    <row r="40" spans="1:15" ht="14.45" x14ac:dyDescent="0.3">
      <c r="I40" s="34"/>
    </row>
    <row r="41" spans="1:15" ht="17.45" customHeight="1" x14ac:dyDescent="0.25">
      <c r="A41" s="118"/>
      <c r="B41" s="118"/>
      <c r="C41" s="118"/>
      <c r="D41" s="118"/>
      <c r="E41" s="118"/>
      <c r="F41" s="119"/>
      <c r="G41" s="120" t="s">
        <v>12</v>
      </c>
      <c r="H41" s="121"/>
      <c r="I41" s="34"/>
      <c r="J41" s="30"/>
      <c r="K41" s="30"/>
      <c r="L41" s="30"/>
      <c r="M41" s="30"/>
      <c r="N41" s="31"/>
      <c r="O41" s="30"/>
    </row>
    <row r="42" spans="1:15" ht="16.899999999999999" customHeight="1" x14ac:dyDescent="0.25">
      <c r="A42" s="29"/>
      <c r="B42" s="29"/>
      <c r="C42" s="29"/>
      <c r="D42" s="29"/>
      <c r="E42" s="29"/>
      <c r="F42" s="29"/>
      <c r="G42" s="120"/>
      <c r="H42" s="121"/>
      <c r="I42" s="34"/>
      <c r="J42" s="30"/>
      <c r="K42" s="30"/>
      <c r="L42" s="30"/>
      <c r="M42" s="30"/>
      <c r="N42" s="31"/>
      <c r="O42" s="30"/>
    </row>
    <row r="43" spans="1:15" ht="13.9" customHeight="1" thickBot="1" x14ac:dyDescent="0.35">
      <c r="A43" s="122" t="s">
        <v>23</v>
      </c>
      <c r="B43" s="122"/>
      <c r="C43" s="122"/>
      <c r="D43" s="122"/>
      <c r="E43" s="122"/>
      <c r="F43" s="122"/>
      <c r="G43" s="122"/>
      <c r="H43" s="122"/>
      <c r="I43" s="123"/>
      <c r="J43" s="123"/>
      <c r="K43" s="32"/>
      <c r="L43" s="32"/>
      <c r="M43" s="32"/>
      <c r="N43" s="33"/>
      <c r="O43" s="34"/>
    </row>
    <row r="44" spans="1:15" ht="15.6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 ht="14.4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ht="14.4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ht="15.6" x14ac:dyDescent="0.3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57"/>
      <c r="J47" s="34"/>
      <c r="K47" s="34"/>
      <c r="L47" s="34"/>
      <c r="M47" s="34"/>
      <c r="N47" s="33"/>
    </row>
    <row r="48" spans="1:15" ht="15.6" x14ac:dyDescent="0.3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66"/>
      <c r="J48" s="34"/>
      <c r="K48" s="34"/>
      <c r="L48" s="34"/>
      <c r="M48" s="34"/>
      <c r="N48" s="33"/>
    </row>
    <row r="49" spans="1:15" ht="14.45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J49" s="34"/>
      <c r="K49" s="34"/>
      <c r="L49" s="34"/>
      <c r="M49" s="34"/>
      <c r="N49" s="33"/>
    </row>
    <row r="50" spans="1:15" ht="13.15" customHeight="1" x14ac:dyDescent="0.3">
      <c r="A50" s="44"/>
      <c r="B50" s="45"/>
      <c r="C50" s="45"/>
      <c r="D50" s="45"/>
      <c r="E50" s="45"/>
      <c r="F50" s="45"/>
      <c r="G50" s="46"/>
      <c r="H50" s="34"/>
      <c r="J50" s="34"/>
      <c r="K50" s="34"/>
      <c r="L50" s="34"/>
      <c r="M50" s="34"/>
      <c r="N50" s="33"/>
      <c r="O50" s="34"/>
    </row>
    <row r="51" spans="1:15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J51" s="34"/>
      <c r="K51" s="34"/>
      <c r="L51" s="34"/>
      <c r="M51" s="34"/>
      <c r="N51" s="33"/>
      <c r="O51" s="34"/>
    </row>
    <row r="52" spans="1:15" ht="26.25" x14ac:dyDescent="0.2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78"/>
      <c r="J52" s="57"/>
    </row>
    <row r="53" spans="1:15" ht="15.75" x14ac:dyDescent="0.25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84"/>
      <c r="J53" s="66"/>
    </row>
    <row r="54" spans="1:15" x14ac:dyDescent="0.25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5" x14ac:dyDescent="0.2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 x14ac:dyDescent="0.25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5" ht="15.75" thickBot="1" x14ac:dyDescent="0.3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J57" s="78"/>
    </row>
    <row r="58" spans="1:15" s="84" customFormat="1" ht="30" customHeight="1" x14ac:dyDescent="0.25">
      <c r="A58" s="124" t="s">
        <v>21</v>
      </c>
      <c r="B58" s="125"/>
      <c r="C58" s="126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  <c r="I58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55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7"/>
  <sheetViews>
    <sheetView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D36" sqref="D36"/>
    </sheetView>
  </sheetViews>
  <sheetFormatPr defaultRowHeight="15" x14ac:dyDescent="0.25"/>
  <cols>
    <col min="1" max="1" width="13.5703125" bestFit="1" customWidth="1"/>
    <col min="2" max="8" width="11.7109375" customWidth="1"/>
    <col min="9" max="9" width="27.42578125" customWidth="1"/>
  </cols>
  <sheetData>
    <row r="1" spans="1:9" s="1" customFormat="1" ht="28.9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ht="14.45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ht="14.45" x14ac:dyDescent="0.3">
      <c r="A3" s="12">
        <v>41365</v>
      </c>
      <c r="B3" s="25">
        <v>50</v>
      </c>
      <c r="C3" s="25">
        <v>0</v>
      </c>
      <c r="D3" s="25">
        <v>64</v>
      </c>
      <c r="E3" s="26">
        <v>0.62</v>
      </c>
      <c r="F3" s="26">
        <v>0</v>
      </c>
      <c r="G3" s="25">
        <v>0</v>
      </c>
      <c r="H3" s="27">
        <v>4034.6</v>
      </c>
    </row>
    <row r="4" spans="1:9" ht="14.45" x14ac:dyDescent="0.3">
      <c r="A4" s="12">
        <v>41366</v>
      </c>
      <c r="B4" s="25">
        <v>50</v>
      </c>
      <c r="C4" s="25">
        <v>0</v>
      </c>
      <c r="D4" s="25">
        <v>76</v>
      </c>
      <c r="E4" s="26">
        <v>0.01</v>
      </c>
      <c r="F4" s="26">
        <v>0</v>
      </c>
      <c r="G4" s="25">
        <v>0</v>
      </c>
      <c r="H4" s="27">
        <v>4034.6</v>
      </c>
    </row>
    <row r="5" spans="1:9" ht="14.45" x14ac:dyDescent="0.3">
      <c r="A5" s="12">
        <v>41367</v>
      </c>
      <c r="B5" s="25">
        <v>50</v>
      </c>
      <c r="C5" s="25">
        <v>0</v>
      </c>
      <c r="D5" s="25">
        <v>77</v>
      </c>
      <c r="E5" s="26">
        <v>0.01</v>
      </c>
      <c r="F5" s="26">
        <v>0</v>
      </c>
      <c r="G5" s="25">
        <v>0</v>
      </c>
      <c r="H5" s="27">
        <v>4034.6</v>
      </c>
    </row>
    <row r="6" spans="1:9" ht="14.45" x14ac:dyDescent="0.3">
      <c r="A6" s="12">
        <v>41368</v>
      </c>
      <c r="B6" s="25">
        <v>50</v>
      </c>
      <c r="C6" s="25">
        <v>0</v>
      </c>
      <c r="D6" s="25">
        <v>67</v>
      </c>
      <c r="E6" s="26">
        <v>0</v>
      </c>
      <c r="F6" s="26">
        <v>0</v>
      </c>
      <c r="G6" s="25">
        <v>0</v>
      </c>
      <c r="H6" s="27">
        <v>4034.6</v>
      </c>
    </row>
    <row r="7" spans="1:9" ht="14.45" x14ac:dyDescent="0.3">
      <c r="A7" s="12">
        <v>41369</v>
      </c>
      <c r="B7" s="25">
        <v>50</v>
      </c>
      <c r="C7" s="25">
        <v>0</v>
      </c>
      <c r="D7" s="25">
        <v>63</v>
      </c>
      <c r="E7" s="26">
        <v>0</v>
      </c>
      <c r="F7" s="26">
        <v>0</v>
      </c>
      <c r="G7" s="25">
        <v>0</v>
      </c>
      <c r="H7" s="27">
        <v>4034.61</v>
      </c>
    </row>
    <row r="8" spans="1:9" ht="14.45" x14ac:dyDescent="0.3">
      <c r="A8" s="12">
        <v>41370</v>
      </c>
      <c r="B8" s="25">
        <v>50</v>
      </c>
      <c r="C8" s="25">
        <v>0</v>
      </c>
      <c r="D8" s="25">
        <v>66</v>
      </c>
      <c r="E8" s="26">
        <v>0</v>
      </c>
      <c r="F8" s="26">
        <v>0</v>
      </c>
      <c r="G8" s="25">
        <v>0</v>
      </c>
      <c r="H8" s="27">
        <v>4034.61</v>
      </c>
    </row>
    <row r="9" spans="1:9" ht="14.45" x14ac:dyDescent="0.3">
      <c r="A9" s="12">
        <v>41371</v>
      </c>
      <c r="B9" s="25">
        <v>50</v>
      </c>
      <c r="C9" s="25">
        <v>0</v>
      </c>
      <c r="D9" s="25">
        <v>68</v>
      </c>
      <c r="E9" s="26">
        <v>0.03</v>
      </c>
      <c r="F9" s="26">
        <v>0</v>
      </c>
      <c r="G9" s="25">
        <v>0</v>
      </c>
      <c r="H9" s="27">
        <v>4034.6</v>
      </c>
    </row>
    <row r="10" spans="1:9" ht="14.45" x14ac:dyDescent="0.3">
      <c r="A10" s="12">
        <v>41372</v>
      </c>
      <c r="B10" s="25">
        <v>50</v>
      </c>
      <c r="C10" s="25">
        <v>0</v>
      </c>
      <c r="D10" s="25">
        <v>69</v>
      </c>
      <c r="E10" s="26">
        <v>0.06</v>
      </c>
      <c r="F10" s="26">
        <v>0</v>
      </c>
      <c r="G10" s="25">
        <v>0</v>
      </c>
      <c r="H10" s="27">
        <v>4034.61</v>
      </c>
    </row>
    <row r="11" spans="1:9" ht="14.45" x14ac:dyDescent="0.3">
      <c r="A11" s="12">
        <v>41373</v>
      </c>
      <c r="B11" s="25">
        <v>50</v>
      </c>
      <c r="C11" s="25">
        <v>0</v>
      </c>
      <c r="D11" s="25">
        <v>68</v>
      </c>
      <c r="E11" s="26">
        <v>0</v>
      </c>
      <c r="F11" s="26">
        <v>0</v>
      </c>
      <c r="G11" s="25">
        <v>0</v>
      </c>
      <c r="H11" s="27">
        <v>4034.61</v>
      </c>
    </row>
    <row r="12" spans="1:9" ht="14.45" x14ac:dyDescent="0.3">
      <c r="A12" s="12">
        <v>41374</v>
      </c>
      <c r="B12" s="25">
        <v>58</v>
      </c>
      <c r="C12" s="25">
        <v>0</v>
      </c>
      <c r="D12" s="25">
        <v>74</v>
      </c>
      <c r="E12" s="26">
        <v>0</v>
      </c>
      <c r="F12" s="26">
        <v>0</v>
      </c>
      <c r="G12" s="25">
        <v>0</v>
      </c>
      <c r="H12" s="27">
        <v>4034.6</v>
      </c>
      <c r="I12" t="s">
        <v>56</v>
      </c>
    </row>
    <row r="13" spans="1:9" ht="14.45" x14ac:dyDescent="0.3">
      <c r="A13" s="12">
        <v>41375</v>
      </c>
      <c r="B13" s="25">
        <v>75</v>
      </c>
      <c r="C13" s="25">
        <v>0</v>
      </c>
      <c r="D13" s="25">
        <v>86</v>
      </c>
      <c r="E13" s="26">
        <v>0</v>
      </c>
      <c r="F13" s="26">
        <v>0</v>
      </c>
      <c r="G13" s="25">
        <v>0</v>
      </c>
      <c r="H13" s="27">
        <v>4034.61</v>
      </c>
    </row>
    <row r="14" spans="1:9" ht="14.45" x14ac:dyDescent="0.3">
      <c r="A14" s="12">
        <v>41376</v>
      </c>
      <c r="B14" s="25">
        <v>75</v>
      </c>
      <c r="C14" s="25">
        <v>0</v>
      </c>
      <c r="D14" s="25">
        <v>83</v>
      </c>
      <c r="E14" s="26">
        <v>0</v>
      </c>
      <c r="F14" s="26">
        <v>0</v>
      </c>
      <c r="G14" s="25">
        <v>0</v>
      </c>
      <c r="H14" s="27">
        <v>4034.61</v>
      </c>
    </row>
    <row r="15" spans="1:9" ht="14.45" x14ac:dyDescent="0.3">
      <c r="A15" s="12">
        <v>41377</v>
      </c>
      <c r="B15" s="25">
        <v>92</v>
      </c>
      <c r="C15" s="25">
        <v>0</v>
      </c>
      <c r="D15" s="25">
        <v>90</v>
      </c>
      <c r="E15" s="26">
        <v>0</v>
      </c>
      <c r="F15" s="26">
        <v>0</v>
      </c>
      <c r="G15" s="25">
        <v>0</v>
      </c>
      <c r="H15" s="27">
        <v>4034.61</v>
      </c>
      <c r="I15" t="s">
        <v>57</v>
      </c>
    </row>
    <row r="16" spans="1:9" ht="14.45" x14ac:dyDescent="0.3">
      <c r="A16" s="12">
        <v>41378</v>
      </c>
      <c r="B16" s="25">
        <v>83</v>
      </c>
      <c r="C16" s="25">
        <v>0</v>
      </c>
      <c r="D16" s="25">
        <v>94</v>
      </c>
      <c r="E16" s="26">
        <v>0</v>
      </c>
      <c r="F16" s="26">
        <v>0</v>
      </c>
      <c r="G16" s="25">
        <v>0</v>
      </c>
      <c r="H16" s="27">
        <v>4034.62</v>
      </c>
      <c r="I16" t="s">
        <v>58</v>
      </c>
    </row>
    <row r="17" spans="1:9" ht="14.45" x14ac:dyDescent="0.3">
      <c r="A17" s="12">
        <v>41379</v>
      </c>
      <c r="B17" s="25">
        <v>75</v>
      </c>
      <c r="C17" s="25">
        <v>0</v>
      </c>
      <c r="D17" s="25">
        <v>115</v>
      </c>
      <c r="E17" s="26">
        <v>0</v>
      </c>
      <c r="F17" s="26">
        <v>0</v>
      </c>
      <c r="G17" s="25">
        <v>0</v>
      </c>
      <c r="H17" s="27">
        <v>4034.61</v>
      </c>
    </row>
    <row r="18" spans="1:9" ht="14.45" x14ac:dyDescent="0.3">
      <c r="A18" s="12">
        <v>41380</v>
      </c>
      <c r="B18" s="25">
        <v>75</v>
      </c>
      <c r="C18" s="25">
        <v>0</v>
      </c>
      <c r="D18" s="25">
        <v>114</v>
      </c>
      <c r="E18" s="26">
        <v>0.01</v>
      </c>
      <c r="F18" s="26" t="s">
        <v>34</v>
      </c>
      <c r="G18" s="25">
        <v>0</v>
      </c>
      <c r="H18" s="27">
        <v>4034.61</v>
      </c>
    </row>
    <row r="19" spans="1:9" ht="14.45" x14ac:dyDescent="0.3">
      <c r="A19" s="12">
        <v>41381</v>
      </c>
      <c r="B19" s="25">
        <v>75</v>
      </c>
      <c r="C19" s="25">
        <v>0</v>
      </c>
      <c r="D19" s="25">
        <v>114</v>
      </c>
      <c r="E19" s="26">
        <v>0</v>
      </c>
      <c r="F19" s="26">
        <v>0</v>
      </c>
      <c r="G19" s="25">
        <v>0</v>
      </c>
      <c r="H19" s="27">
        <v>4034.62</v>
      </c>
    </row>
    <row r="20" spans="1:9" ht="14.45" x14ac:dyDescent="0.3">
      <c r="A20" s="12">
        <v>41382</v>
      </c>
      <c r="B20" s="25">
        <v>75</v>
      </c>
      <c r="C20" s="25">
        <v>0</v>
      </c>
      <c r="D20" s="25">
        <v>114</v>
      </c>
      <c r="E20" s="26">
        <v>0</v>
      </c>
      <c r="F20" s="26">
        <v>0</v>
      </c>
      <c r="G20" s="25">
        <v>0</v>
      </c>
      <c r="H20" s="27">
        <v>4034.62</v>
      </c>
    </row>
    <row r="21" spans="1:9" ht="14.45" x14ac:dyDescent="0.3">
      <c r="A21" s="12">
        <v>41383</v>
      </c>
      <c r="B21" s="25">
        <v>65</v>
      </c>
      <c r="C21" s="25">
        <v>0</v>
      </c>
      <c r="D21" s="25">
        <v>118</v>
      </c>
      <c r="E21" s="26">
        <v>0</v>
      </c>
      <c r="F21" s="26">
        <v>0</v>
      </c>
      <c r="G21" s="25">
        <v>0</v>
      </c>
      <c r="H21" s="27">
        <v>4034.61</v>
      </c>
      <c r="I21" t="s">
        <v>59</v>
      </c>
    </row>
    <row r="22" spans="1:9" ht="14.45" x14ac:dyDescent="0.3">
      <c r="A22" s="12">
        <v>41384</v>
      </c>
      <c r="B22" s="25">
        <v>50</v>
      </c>
      <c r="C22" s="25">
        <v>8</v>
      </c>
      <c r="D22" s="25">
        <v>121</v>
      </c>
      <c r="E22" s="26">
        <v>0</v>
      </c>
      <c r="F22" s="26">
        <v>0</v>
      </c>
      <c r="G22" s="25">
        <v>0</v>
      </c>
      <c r="H22" s="27">
        <v>4034.61</v>
      </c>
    </row>
    <row r="23" spans="1:9" ht="14.45" x14ac:dyDescent="0.3">
      <c r="A23" s="12">
        <v>41385</v>
      </c>
      <c r="B23" s="25">
        <v>50</v>
      </c>
      <c r="C23" s="25">
        <v>10</v>
      </c>
      <c r="D23" s="25">
        <v>140</v>
      </c>
      <c r="E23" s="26">
        <v>0</v>
      </c>
      <c r="F23" s="26">
        <v>0</v>
      </c>
      <c r="G23" s="25">
        <v>0</v>
      </c>
      <c r="H23" s="27">
        <v>4034.61</v>
      </c>
    </row>
    <row r="24" spans="1:9" ht="14.45" x14ac:dyDescent="0.3">
      <c r="A24" s="12">
        <v>41386</v>
      </c>
      <c r="B24" s="25">
        <v>50</v>
      </c>
      <c r="C24" s="25">
        <v>0</v>
      </c>
      <c r="D24" s="25">
        <v>185</v>
      </c>
      <c r="E24" s="26">
        <v>0</v>
      </c>
      <c r="F24" s="26">
        <v>0</v>
      </c>
      <c r="G24" s="25">
        <v>0</v>
      </c>
      <c r="H24" s="27">
        <v>4034.61</v>
      </c>
    </row>
    <row r="25" spans="1:9" ht="14.45" x14ac:dyDescent="0.3">
      <c r="A25" s="12">
        <v>41387</v>
      </c>
      <c r="B25" s="25">
        <v>83</v>
      </c>
      <c r="C25" s="25">
        <v>0</v>
      </c>
      <c r="D25" s="25">
        <v>198</v>
      </c>
      <c r="E25" s="26">
        <v>0</v>
      </c>
      <c r="F25" s="26">
        <v>0</v>
      </c>
      <c r="G25" s="112">
        <v>3</v>
      </c>
      <c r="H25" s="27">
        <v>4034.61</v>
      </c>
      <c r="I25" t="s">
        <v>65</v>
      </c>
    </row>
    <row r="26" spans="1:9" ht="14.45" x14ac:dyDescent="0.3">
      <c r="A26" s="12">
        <v>41388</v>
      </c>
      <c r="B26" s="25">
        <v>134</v>
      </c>
      <c r="C26" s="25">
        <v>0</v>
      </c>
      <c r="D26" s="25">
        <v>213</v>
      </c>
      <c r="E26" s="26">
        <v>0</v>
      </c>
      <c r="F26" s="26">
        <v>0</v>
      </c>
      <c r="G26" s="25">
        <v>0</v>
      </c>
      <c r="H26" s="27">
        <v>4034.62</v>
      </c>
      <c r="I26" t="s">
        <v>60</v>
      </c>
    </row>
    <row r="27" spans="1:9" ht="14.45" x14ac:dyDescent="0.3">
      <c r="A27" s="12">
        <v>41389</v>
      </c>
      <c r="B27" s="25">
        <v>150</v>
      </c>
      <c r="C27" s="25">
        <v>0</v>
      </c>
      <c r="D27" s="25">
        <v>227</v>
      </c>
      <c r="E27" s="26">
        <v>0</v>
      </c>
      <c r="F27" s="26">
        <v>0</v>
      </c>
      <c r="G27" s="25">
        <v>0</v>
      </c>
      <c r="H27" s="27">
        <v>4034.61</v>
      </c>
    </row>
    <row r="28" spans="1:9" ht="14.45" x14ac:dyDescent="0.3">
      <c r="A28" s="12">
        <v>41390</v>
      </c>
      <c r="B28" s="25">
        <v>206</v>
      </c>
      <c r="C28" s="25">
        <v>0</v>
      </c>
      <c r="D28" s="25">
        <v>244</v>
      </c>
      <c r="E28" s="26">
        <v>0</v>
      </c>
      <c r="F28" s="26">
        <v>0</v>
      </c>
      <c r="G28" s="25">
        <v>0</v>
      </c>
      <c r="H28" s="27">
        <v>4034.61</v>
      </c>
      <c r="I28" t="s">
        <v>61</v>
      </c>
    </row>
    <row r="29" spans="1:9" ht="14.45" x14ac:dyDescent="0.3">
      <c r="A29" s="12">
        <v>41391</v>
      </c>
      <c r="B29" s="25">
        <v>183</v>
      </c>
      <c r="C29" s="25">
        <v>25</v>
      </c>
      <c r="D29" s="25">
        <v>252</v>
      </c>
      <c r="E29" s="26">
        <v>0</v>
      </c>
      <c r="F29" s="26">
        <v>0</v>
      </c>
      <c r="G29" s="25">
        <v>0</v>
      </c>
      <c r="H29" s="27">
        <v>4034.62</v>
      </c>
      <c r="I29" t="s">
        <v>62</v>
      </c>
    </row>
    <row r="30" spans="1:9" ht="14.45" x14ac:dyDescent="0.3">
      <c r="A30" s="12">
        <v>41392</v>
      </c>
      <c r="B30" s="25">
        <v>150</v>
      </c>
      <c r="C30" s="25">
        <v>10</v>
      </c>
      <c r="D30" s="25">
        <v>278</v>
      </c>
      <c r="E30" s="26">
        <v>0</v>
      </c>
      <c r="F30" s="26">
        <v>0</v>
      </c>
      <c r="G30" s="25">
        <v>0</v>
      </c>
      <c r="H30" s="27">
        <v>4034.61</v>
      </c>
    </row>
    <row r="31" spans="1:9" ht="14.45" x14ac:dyDescent="0.3">
      <c r="A31" s="12">
        <v>41393</v>
      </c>
      <c r="B31" s="25">
        <v>150</v>
      </c>
      <c r="C31" s="25">
        <v>29</v>
      </c>
      <c r="D31" s="25">
        <v>298</v>
      </c>
      <c r="E31" s="26">
        <v>0</v>
      </c>
      <c r="F31" s="26">
        <v>0</v>
      </c>
      <c r="G31" s="25">
        <v>0</v>
      </c>
      <c r="H31" s="27">
        <v>4034.61</v>
      </c>
    </row>
    <row r="32" spans="1:9" thickBot="1" x14ac:dyDescent="0.35">
      <c r="A32" s="12">
        <v>41394</v>
      </c>
      <c r="B32" s="25">
        <v>167</v>
      </c>
      <c r="C32" s="25">
        <v>0</v>
      </c>
      <c r="D32" s="25">
        <v>346</v>
      </c>
      <c r="E32" s="26">
        <v>0</v>
      </c>
      <c r="F32" s="26">
        <v>0</v>
      </c>
      <c r="G32" s="25">
        <v>0</v>
      </c>
      <c r="H32" s="27">
        <v>4034.61</v>
      </c>
      <c r="I32" t="s">
        <v>63</v>
      </c>
    </row>
    <row r="33" spans="1:15" s="11" customFormat="1" thickTop="1" x14ac:dyDescent="0.3">
      <c r="A33" s="16" t="s">
        <v>8</v>
      </c>
      <c r="B33" s="17">
        <f t="shared" ref="B33:G33" si="0">SUM(B3:B32)</f>
        <v>2571</v>
      </c>
      <c r="C33" s="17">
        <f t="shared" si="0"/>
        <v>82</v>
      </c>
      <c r="D33" s="17">
        <f>SUM(D3:D32)</f>
        <v>4122</v>
      </c>
      <c r="E33" s="18">
        <f t="shared" si="0"/>
        <v>0.74</v>
      </c>
      <c r="F33" s="18">
        <f t="shared" si="0"/>
        <v>0</v>
      </c>
      <c r="G33" s="17">
        <f t="shared" si="0"/>
        <v>3</v>
      </c>
      <c r="H33" s="18"/>
      <c r="I33"/>
    </row>
    <row r="34" spans="1:15" s="11" customFormat="1" ht="14.45" x14ac:dyDescent="0.3">
      <c r="A34" s="19" t="s">
        <v>9</v>
      </c>
      <c r="B34" s="20">
        <f>SUM(B33+'Mar 2013'!B35)</f>
        <v>5447</v>
      </c>
      <c r="C34" s="20">
        <f>SUM(C33+'Mar 2013'!C35)</f>
        <v>3956</v>
      </c>
      <c r="D34" s="20">
        <f>SUM(D33+'Mar 2013'!D35)</f>
        <v>10861</v>
      </c>
      <c r="E34" s="21">
        <f>SUM(E33+'Mar 2013'!E35)</f>
        <v>5.6300000000000008</v>
      </c>
      <c r="F34" s="21">
        <f>SUM(F33+'Mar 2013'!F35)</f>
        <v>12.1</v>
      </c>
      <c r="G34" s="20">
        <f>SUM(G33+'Mar 2013'!G35)</f>
        <v>20772</v>
      </c>
      <c r="H34" s="21"/>
    </row>
    <row r="35" spans="1:15" ht="14.45" x14ac:dyDescent="0.3">
      <c r="I35" s="11"/>
    </row>
    <row r="36" spans="1:15" ht="14.45" x14ac:dyDescent="0.3">
      <c r="A36" t="s">
        <v>10</v>
      </c>
      <c r="B36" s="23">
        <f>SUM(B3:B32)*1.9835</f>
        <v>5099.5785000000005</v>
      </c>
      <c r="C36" s="23">
        <f>SUM(C3:C32)*1.9835</f>
        <v>162.64699999999999</v>
      </c>
      <c r="D36" s="23">
        <f>SUM(D3:D32)*1.9835</f>
        <v>8175.9870000000001</v>
      </c>
      <c r="E36" s="23"/>
      <c r="F36" s="23"/>
      <c r="G36" s="23"/>
      <c r="I36" s="22"/>
    </row>
    <row r="38" spans="1:15" ht="14.45" x14ac:dyDescent="0.3">
      <c r="A38" t="s">
        <v>24</v>
      </c>
      <c r="B38" s="23">
        <f>SUM(B36+'Mar 2013'!B39)</f>
        <v>10804.124500000002</v>
      </c>
      <c r="C38" s="23">
        <f>SUM(C36+'Mar 2013'!C39)</f>
        <v>7846.7260000000015</v>
      </c>
      <c r="D38" s="23">
        <f>SUM(D36+'Mar 2013'!D39)</f>
        <v>21542.7935</v>
      </c>
      <c r="E38" s="23"/>
      <c r="F38" s="23"/>
      <c r="G38" s="23"/>
      <c r="I38" s="22"/>
    </row>
    <row r="39" spans="1:15" ht="14.45" x14ac:dyDescent="0.3">
      <c r="B39" s="23"/>
      <c r="C39" s="23"/>
      <c r="D39" s="24"/>
      <c r="E39" s="23"/>
      <c r="F39" s="23"/>
      <c r="G39" s="23"/>
      <c r="I39" s="22"/>
    </row>
    <row r="40" spans="1:15" ht="17.45" customHeight="1" x14ac:dyDescent="0.25">
      <c r="A40" s="118"/>
      <c r="B40" s="118"/>
      <c r="C40" s="118"/>
      <c r="D40" s="118"/>
      <c r="E40" s="118"/>
      <c r="F40" s="119"/>
      <c r="G40" s="120" t="s">
        <v>12</v>
      </c>
      <c r="H40" s="121"/>
      <c r="I40" s="30"/>
      <c r="J40" s="30"/>
      <c r="K40" s="30"/>
      <c r="L40" s="30"/>
      <c r="M40" s="30"/>
      <c r="N40" s="31"/>
      <c r="O40" s="30"/>
    </row>
    <row r="41" spans="1:15" ht="16.899999999999999" customHeight="1" x14ac:dyDescent="0.25">
      <c r="A41" s="29"/>
      <c r="B41" s="29"/>
      <c r="C41" s="29"/>
      <c r="D41" s="29"/>
      <c r="E41" s="29"/>
      <c r="F41" s="29"/>
      <c r="G41" s="120"/>
      <c r="H41" s="121"/>
      <c r="I41" s="30"/>
      <c r="J41" s="30"/>
      <c r="K41" s="30"/>
      <c r="L41" s="30"/>
      <c r="M41" s="30"/>
      <c r="N41" s="31"/>
      <c r="O41" s="30"/>
    </row>
    <row r="42" spans="1:15" ht="13.9" customHeight="1" x14ac:dyDescent="0.3">
      <c r="A42" s="123" t="s">
        <v>23</v>
      </c>
      <c r="B42" s="123"/>
      <c r="C42" s="123"/>
      <c r="D42" s="123"/>
      <c r="E42" s="123"/>
      <c r="F42" s="123"/>
      <c r="G42" s="123"/>
      <c r="H42" s="123"/>
      <c r="I42" s="123"/>
      <c r="J42" s="123"/>
      <c r="K42" s="32"/>
      <c r="L42" s="32"/>
      <c r="M42" s="32"/>
      <c r="N42" s="33"/>
      <c r="O42" s="34"/>
    </row>
    <row r="43" spans="1:15" ht="15.6" customHeight="1" x14ac:dyDescent="0.3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4"/>
      <c r="N43" s="33"/>
    </row>
    <row r="44" spans="1:15" ht="14.45" x14ac:dyDescent="0.3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4"/>
      <c r="N44" s="33"/>
    </row>
    <row r="45" spans="1:15" ht="14.4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ht="14.4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ht="14.4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ht="14.45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ht="13.15" customHeight="1" x14ac:dyDescent="0.25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4"/>
      <c r="N49" s="33"/>
      <c r="O49" s="34"/>
    </row>
    <row r="50" spans="1:15" ht="15.75" thickBot="1" x14ac:dyDescent="0.3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26.25" x14ac:dyDescent="0.25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  <c r="J51" s="57"/>
    </row>
    <row r="52" spans="1:15" ht="15.75" x14ac:dyDescent="0.25">
      <c r="A52" s="58"/>
      <c r="B52" s="59"/>
      <c r="C52" s="60"/>
      <c r="D52" s="61"/>
      <c r="E52" s="62"/>
      <c r="F52" s="63">
        <f>SUM(C52/24*D52)</f>
        <v>0</v>
      </c>
      <c r="G52" s="64"/>
      <c r="H52" s="65"/>
      <c r="I52" s="66"/>
      <c r="J52" s="66"/>
    </row>
    <row r="53" spans="1:15" x14ac:dyDescent="0.25">
      <c r="A53" s="67"/>
      <c r="B53" s="68"/>
      <c r="C53" s="69"/>
      <c r="D53" s="61"/>
      <c r="E53" s="70"/>
      <c r="F53" s="71">
        <f>SUM(C53/24*D53)</f>
        <v>0</v>
      </c>
      <c r="G53" s="64"/>
      <c r="H53" s="65"/>
    </row>
    <row r="54" spans="1:15" x14ac:dyDescent="0.25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5" x14ac:dyDescent="0.2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 ht="15.75" thickBot="1" x14ac:dyDescent="0.3">
      <c r="A56" s="73"/>
      <c r="B56" s="74"/>
      <c r="C56" s="75"/>
      <c r="D56" s="76"/>
      <c r="E56" s="75"/>
      <c r="F56" s="77">
        <f>SUM(C56/24*D56)</f>
        <v>0</v>
      </c>
      <c r="G56" s="64"/>
      <c r="H56" s="65"/>
      <c r="I56" s="78"/>
      <c r="J56" s="78"/>
    </row>
    <row r="57" spans="1:15" s="84" customFormat="1" ht="30" customHeight="1" x14ac:dyDescent="0.25">
      <c r="A57" s="124" t="s">
        <v>21</v>
      </c>
      <c r="B57" s="125"/>
      <c r="C57" s="126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J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workbookViewId="0">
      <pane xSplit="1" ySplit="2" topLeftCell="B15" activePane="bottomRight" state="frozen"/>
      <selection pane="topRight" activeCell="B1" sqref="B1"/>
      <selection pane="bottomLeft" activeCell="A3" sqref="A3"/>
      <selection pane="bottomRight" activeCell="C37" sqref="C37"/>
    </sheetView>
  </sheetViews>
  <sheetFormatPr defaultRowHeight="15" x14ac:dyDescent="0.25"/>
  <cols>
    <col min="1" max="1" width="13.5703125" bestFit="1" customWidth="1"/>
    <col min="2" max="8" width="11.7109375" customWidth="1"/>
    <col min="9" max="9" width="27.42578125" customWidth="1"/>
  </cols>
  <sheetData>
    <row r="1" spans="1:9" s="1" customFormat="1" ht="28.9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ht="14.45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ht="14.45" x14ac:dyDescent="0.3">
      <c r="A3" s="12">
        <v>41334</v>
      </c>
      <c r="B3" s="13">
        <v>0</v>
      </c>
      <c r="C3" s="13">
        <v>20</v>
      </c>
      <c r="D3" s="13">
        <v>0</v>
      </c>
      <c r="E3" s="14">
        <v>0.01</v>
      </c>
      <c r="F3" s="14">
        <v>0</v>
      </c>
      <c r="G3" s="13">
        <v>0</v>
      </c>
      <c r="H3" s="15">
        <v>4034.49</v>
      </c>
    </row>
    <row r="4" spans="1:9" ht="14.45" x14ac:dyDescent="0.3">
      <c r="A4" s="12">
        <v>41335</v>
      </c>
      <c r="B4" s="13">
        <v>0</v>
      </c>
      <c r="C4" s="13">
        <v>20</v>
      </c>
      <c r="D4" s="13">
        <v>0</v>
      </c>
      <c r="E4" s="14">
        <v>0</v>
      </c>
      <c r="F4" s="14">
        <v>0</v>
      </c>
      <c r="G4" s="13">
        <v>0</v>
      </c>
      <c r="H4" s="15">
        <v>4034.49</v>
      </c>
    </row>
    <row r="5" spans="1:9" ht="14.45" x14ac:dyDescent="0.3">
      <c r="A5" s="12">
        <v>41336</v>
      </c>
      <c r="B5" s="13">
        <v>0</v>
      </c>
      <c r="C5" s="13">
        <v>20</v>
      </c>
      <c r="D5" s="13">
        <v>0</v>
      </c>
      <c r="E5" s="14">
        <v>0.04</v>
      </c>
      <c r="F5" s="14">
        <v>0</v>
      </c>
      <c r="G5" s="13">
        <v>0</v>
      </c>
      <c r="H5" s="15">
        <v>4034.5</v>
      </c>
    </row>
    <row r="6" spans="1:9" ht="14.45" x14ac:dyDescent="0.3">
      <c r="A6" s="12">
        <v>41337</v>
      </c>
      <c r="B6" s="13">
        <v>0</v>
      </c>
      <c r="C6" s="13">
        <v>20</v>
      </c>
      <c r="D6" s="13">
        <v>0</v>
      </c>
      <c r="E6" s="14">
        <v>0</v>
      </c>
      <c r="F6" s="14">
        <v>0</v>
      </c>
      <c r="G6" s="13">
        <v>0</v>
      </c>
      <c r="H6" s="15">
        <v>4034.51</v>
      </c>
    </row>
    <row r="7" spans="1:9" ht="14.45" x14ac:dyDescent="0.3">
      <c r="A7" s="12">
        <v>41338</v>
      </c>
      <c r="B7" s="13">
        <v>0</v>
      </c>
      <c r="C7" s="13">
        <v>20</v>
      </c>
      <c r="D7" s="13">
        <v>0</v>
      </c>
      <c r="E7" s="14">
        <v>0</v>
      </c>
      <c r="F7" s="14">
        <v>0</v>
      </c>
      <c r="G7" s="13">
        <v>0</v>
      </c>
      <c r="H7" s="15">
        <v>4034.52</v>
      </c>
    </row>
    <row r="8" spans="1:9" ht="14.45" x14ac:dyDescent="0.3">
      <c r="A8" s="12">
        <v>41339</v>
      </c>
      <c r="B8" s="13">
        <v>0</v>
      </c>
      <c r="C8" s="13">
        <v>20</v>
      </c>
      <c r="D8" s="13">
        <v>0</v>
      </c>
      <c r="E8" s="14">
        <v>0.06</v>
      </c>
      <c r="F8" s="108">
        <v>0.5</v>
      </c>
      <c r="G8" s="13">
        <v>0</v>
      </c>
      <c r="H8" s="15">
        <v>4034.53</v>
      </c>
    </row>
    <row r="9" spans="1:9" ht="14.45" x14ac:dyDescent="0.3">
      <c r="A9" s="12">
        <v>41340</v>
      </c>
      <c r="B9" s="13">
        <v>0</v>
      </c>
      <c r="C9" s="13">
        <v>20</v>
      </c>
      <c r="D9" s="13">
        <v>0</v>
      </c>
      <c r="E9" s="14">
        <v>0.05</v>
      </c>
      <c r="F9" s="14">
        <v>1</v>
      </c>
      <c r="G9" s="13">
        <v>0</v>
      </c>
      <c r="H9" s="15">
        <v>4034.54</v>
      </c>
    </row>
    <row r="10" spans="1:9" ht="14.45" x14ac:dyDescent="0.3">
      <c r="A10" s="12">
        <v>41341</v>
      </c>
      <c r="B10" s="13">
        <v>0</v>
      </c>
      <c r="C10" s="13">
        <v>20</v>
      </c>
      <c r="D10" s="13">
        <v>0</v>
      </c>
      <c r="E10" s="14">
        <v>0.01</v>
      </c>
      <c r="F10" s="14">
        <v>0</v>
      </c>
      <c r="G10" s="13">
        <v>0</v>
      </c>
      <c r="H10" s="15">
        <v>4034.55</v>
      </c>
    </row>
    <row r="11" spans="1:9" ht="14.45" x14ac:dyDescent="0.3">
      <c r="A11" s="12">
        <v>41342</v>
      </c>
      <c r="B11" s="13">
        <v>0</v>
      </c>
      <c r="C11" s="13">
        <v>20</v>
      </c>
      <c r="D11" s="13">
        <v>0</v>
      </c>
      <c r="E11" s="14">
        <v>0</v>
      </c>
      <c r="F11" s="14">
        <v>0</v>
      </c>
      <c r="G11" s="13">
        <v>0</v>
      </c>
      <c r="H11" s="15">
        <v>4034.56</v>
      </c>
    </row>
    <row r="12" spans="1:9" ht="14.45" x14ac:dyDescent="0.3">
      <c r="A12" s="12">
        <v>41343</v>
      </c>
      <c r="B12" s="13">
        <v>0</v>
      </c>
      <c r="C12" s="13">
        <v>20</v>
      </c>
      <c r="D12" s="13">
        <v>0</v>
      </c>
      <c r="E12" s="14">
        <v>0</v>
      </c>
      <c r="F12" s="14">
        <v>0</v>
      </c>
      <c r="G12" s="13">
        <v>0</v>
      </c>
      <c r="H12" s="15">
        <v>4034.57</v>
      </c>
    </row>
    <row r="13" spans="1:9" ht="14.45" x14ac:dyDescent="0.3">
      <c r="A13" s="12">
        <v>41344</v>
      </c>
      <c r="B13" s="13">
        <v>0</v>
      </c>
      <c r="C13" s="13">
        <v>8</v>
      </c>
      <c r="D13" s="13">
        <v>0</v>
      </c>
      <c r="E13" s="14">
        <v>0</v>
      </c>
      <c r="F13" s="14">
        <v>0</v>
      </c>
      <c r="G13" s="13">
        <v>0</v>
      </c>
      <c r="H13" s="15">
        <v>4034.58</v>
      </c>
    </row>
    <row r="14" spans="1:9" ht="14.45" x14ac:dyDescent="0.3">
      <c r="A14" s="12">
        <v>41345</v>
      </c>
      <c r="B14" s="13">
        <v>0</v>
      </c>
      <c r="C14" s="13">
        <v>0</v>
      </c>
      <c r="D14" s="13">
        <v>0</v>
      </c>
      <c r="E14" s="14">
        <v>0</v>
      </c>
      <c r="F14" s="14">
        <v>0</v>
      </c>
      <c r="G14" s="13">
        <v>0</v>
      </c>
      <c r="H14" s="15">
        <v>4034.59</v>
      </c>
    </row>
    <row r="15" spans="1:9" ht="14.45" x14ac:dyDescent="0.3">
      <c r="A15" s="12">
        <v>41346</v>
      </c>
      <c r="B15" s="13">
        <v>0</v>
      </c>
      <c r="C15" s="13">
        <v>3</v>
      </c>
      <c r="D15" s="13">
        <v>0</v>
      </c>
      <c r="E15" s="14">
        <v>0</v>
      </c>
      <c r="F15" s="14">
        <v>0</v>
      </c>
      <c r="G15" s="13">
        <v>0</v>
      </c>
      <c r="H15" s="15">
        <v>4034.59</v>
      </c>
    </row>
    <row r="16" spans="1:9" ht="14.45" x14ac:dyDescent="0.3">
      <c r="A16" s="12">
        <v>41347</v>
      </c>
      <c r="B16" s="13">
        <v>0</v>
      </c>
      <c r="C16" s="13">
        <v>10</v>
      </c>
      <c r="D16" s="13">
        <v>0</v>
      </c>
      <c r="E16" s="14">
        <v>0</v>
      </c>
      <c r="F16" s="14">
        <v>0</v>
      </c>
      <c r="G16" s="13">
        <v>0</v>
      </c>
      <c r="H16" s="15">
        <v>4034.6</v>
      </c>
    </row>
    <row r="17" spans="1:9" ht="14.45" x14ac:dyDescent="0.3">
      <c r="A17" s="12">
        <v>41348</v>
      </c>
      <c r="B17" s="13">
        <v>0</v>
      </c>
      <c r="C17" s="13">
        <v>14</v>
      </c>
      <c r="D17" s="13">
        <v>6</v>
      </c>
      <c r="E17" s="14">
        <v>0</v>
      </c>
      <c r="F17" s="14">
        <v>0</v>
      </c>
      <c r="G17" s="13">
        <v>0</v>
      </c>
      <c r="H17" s="15">
        <v>4034.61</v>
      </c>
    </row>
    <row r="18" spans="1:9" ht="14.45" x14ac:dyDescent="0.3">
      <c r="A18" s="12">
        <v>41349</v>
      </c>
      <c r="B18" s="111" t="s">
        <v>54</v>
      </c>
      <c r="C18" s="13">
        <v>3</v>
      </c>
      <c r="D18" s="13">
        <v>32</v>
      </c>
      <c r="E18" s="14">
        <v>0</v>
      </c>
      <c r="F18" s="14">
        <v>0</v>
      </c>
      <c r="G18" s="13">
        <v>0</v>
      </c>
      <c r="H18" s="15">
        <v>4034.61</v>
      </c>
      <c r="I18" s="109" t="s">
        <v>53</v>
      </c>
    </row>
    <row r="19" spans="1:9" ht="14.45" x14ac:dyDescent="0.3">
      <c r="A19" s="12">
        <v>41350</v>
      </c>
      <c r="B19" s="13">
        <v>25</v>
      </c>
      <c r="C19" s="13">
        <v>0</v>
      </c>
      <c r="D19" s="13">
        <v>45</v>
      </c>
      <c r="E19" s="14">
        <v>0</v>
      </c>
      <c r="F19" s="14">
        <v>0</v>
      </c>
      <c r="G19" s="13">
        <v>0</v>
      </c>
      <c r="H19" s="110">
        <v>4034.62</v>
      </c>
    </row>
    <row r="20" spans="1:9" ht="14.45" x14ac:dyDescent="0.3">
      <c r="A20" s="12">
        <v>41351</v>
      </c>
      <c r="B20" s="13">
        <v>25</v>
      </c>
      <c r="C20" s="13">
        <v>0</v>
      </c>
      <c r="D20" s="13">
        <v>36</v>
      </c>
      <c r="E20" s="14">
        <v>0</v>
      </c>
      <c r="F20" s="14">
        <v>0</v>
      </c>
      <c r="G20" s="13">
        <v>0</v>
      </c>
      <c r="H20" s="15">
        <v>4034.61</v>
      </c>
    </row>
    <row r="21" spans="1:9" ht="14.45" x14ac:dyDescent="0.3">
      <c r="A21" s="12">
        <v>41352</v>
      </c>
      <c r="B21" s="13">
        <v>25</v>
      </c>
      <c r="C21" s="13">
        <v>0</v>
      </c>
      <c r="D21" s="13">
        <v>36</v>
      </c>
      <c r="E21" s="14">
        <v>0</v>
      </c>
      <c r="F21" s="14">
        <v>0</v>
      </c>
      <c r="G21" s="13">
        <v>0</v>
      </c>
      <c r="H21" s="15">
        <v>4034.6</v>
      </c>
    </row>
    <row r="22" spans="1:9" ht="14.45" x14ac:dyDescent="0.3">
      <c r="A22" s="12">
        <v>41353</v>
      </c>
      <c r="B22" s="13">
        <v>25</v>
      </c>
      <c r="C22" s="13">
        <v>0</v>
      </c>
      <c r="D22" s="25">
        <v>39</v>
      </c>
      <c r="E22" s="26">
        <v>0.02</v>
      </c>
      <c r="F22" s="14">
        <v>0</v>
      </c>
      <c r="G22" s="13">
        <v>0</v>
      </c>
      <c r="H22" s="27">
        <v>4034.59</v>
      </c>
    </row>
    <row r="23" spans="1:9" ht="14.45" x14ac:dyDescent="0.3">
      <c r="A23" s="12">
        <v>41354</v>
      </c>
      <c r="B23" s="13">
        <v>25</v>
      </c>
      <c r="C23" s="13">
        <v>0</v>
      </c>
      <c r="D23" s="25">
        <v>38</v>
      </c>
      <c r="E23" s="26">
        <v>0.01</v>
      </c>
      <c r="F23" s="14">
        <v>0</v>
      </c>
      <c r="G23" s="13">
        <v>0</v>
      </c>
      <c r="H23" s="27">
        <v>4034.58</v>
      </c>
    </row>
    <row r="24" spans="1:9" ht="14.45" x14ac:dyDescent="0.3">
      <c r="A24" s="12">
        <v>41355</v>
      </c>
      <c r="B24" s="13">
        <v>25</v>
      </c>
      <c r="C24" s="13">
        <v>0</v>
      </c>
      <c r="D24" s="25">
        <v>39</v>
      </c>
      <c r="E24" s="26">
        <v>0</v>
      </c>
      <c r="F24" s="14">
        <v>0</v>
      </c>
      <c r="G24" s="13">
        <v>0</v>
      </c>
      <c r="H24" s="27">
        <v>4034.57</v>
      </c>
    </row>
    <row r="25" spans="1:9" ht="14.45" x14ac:dyDescent="0.3">
      <c r="A25" s="12">
        <v>41356</v>
      </c>
      <c r="B25" s="13">
        <v>25</v>
      </c>
      <c r="C25" s="13">
        <v>0</v>
      </c>
      <c r="D25" s="25">
        <v>39</v>
      </c>
      <c r="E25" s="26">
        <v>0</v>
      </c>
      <c r="F25" s="14">
        <v>0</v>
      </c>
      <c r="G25" s="13">
        <v>0</v>
      </c>
      <c r="H25" s="27">
        <v>4034.57</v>
      </c>
    </row>
    <row r="26" spans="1:9" ht="14.45" x14ac:dyDescent="0.3">
      <c r="A26" s="12">
        <v>41357</v>
      </c>
      <c r="B26" s="13">
        <v>25</v>
      </c>
      <c r="C26" s="13">
        <v>0</v>
      </c>
      <c r="D26" s="25">
        <v>41</v>
      </c>
      <c r="E26" s="26">
        <v>0</v>
      </c>
      <c r="F26" s="14">
        <v>0</v>
      </c>
      <c r="G26" s="13">
        <v>0</v>
      </c>
      <c r="H26" s="27">
        <v>4034.56</v>
      </c>
    </row>
    <row r="27" spans="1:9" ht="14.45" x14ac:dyDescent="0.3">
      <c r="A27" s="12">
        <v>41358</v>
      </c>
      <c r="B27" s="13">
        <v>25</v>
      </c>
      <c r="C27" s="13">
        <v>0</v>
      </c>
      <c r="D27" s="25">
        <v>41</v>
      </c>
      <c r="E27" s="26">
        <v>0</v>
      </c>
      <c r="F27" s="14">
        <v>0</v>
      </c>
      <c r="G27" s="13">
        <v>0</v>
      </c>
      <c r="H27" s="27">
        <v>4034.55</v>
      </c>
    </row>
    <row r="28" spans="1:9" ht="14.45" x14ac:dyDescent="0.3">
      <c r="A28" s="12">
        <v>41359</v>
      </c>
      <c r="B28" s="13">
        <v>25</v>
      </c>
      <c r="C28" s="13">
        <v>0</v>
      </c>
      <c r="D28" s="25">
        <v>41</v>
      </c>
      <c r="E28" s="26">
        <v>0.02</v>
      </c>
      <c r="F28" s="14">
        <v>0</v>
      </c>
      <c r="G28" s="13">
        <v>0</v>
      </c>
      <c r="H28" s="27">
        <v>4034.56</v>
      </c>
    </row>
    <row r="29" spans="1:9" ht="14.45" x14ac:dyDescent="0.3">
      <c r="A29" s="12">
        <v>41360</v>
      </c>
      <c r="B29" s="13">
        <v>25</v>
      </c>
      <c r="C29" s="13">
        <v>0</v>
      </c>
      <c r="D29" s="25">
        <v>42</v>
      </c>
      <c r="E29" s="26">
        <v>0.02</v>
      </c>
      <c r="F29" s="14">
        <v>0</v>
      </c>
      <c r="G29" s="13">
        <v>0</v>
      </c>
      <c r="H29" s="27">
        <v>4034.56</v>
      </c>
    </row>
    <row r="30" spans="1:9" ht="14.45" x14ac:dyDescent="0.3">
      <c r="A30" s="12">
        <v>41361</v>
      </c>
      <c r="B30" s="107">
        <v>42</v>
      </c>
      <c r="C30" s="13">
        <v>0</v>
      </c>
      <c r="D30" s="13">
        <v>53</v>
      </c>
      <c r="E30" s="14">
        <v>0.01</v>
      </c>
      <c r="F30" s="14">
        <v>0</v>
      </c>
      <c r="G30" s="13">
        <v>0</v>
      </c>
      <c r="H30" s="15">
        <v>4034.57</v>
      </c>
      <c r="I30" s="109" t="s">
        <v>55</v>
      </c>
    </row>
    <row r="31" spans="1:9" ht="14.45" x14ac:dyDescent="0.3">
      <c r="A31" s="12">
        <v>41362</v>
      </c>
      <c r="B31" s="107">
        <v>50</v>
      </c>
      <c r="C31" s="13">
        <v>0</v>
      </c>
      <c r="D31" s="13">
        <v>62</v>
      </c>
      <c r="E31" s="108">
        <v>0</v>
      </c>
      <c r="F31" s="14">
        <v>0</v>
      </c>
      <c r="G31" s="13">
        <v>0</v>
      </c>
      <c r="H31" s="15">
        <v>4034.58</v>
      </c>
    </row>
    <row r="32" spans="1:9" ht="14.45" x14ac:dyDescent="0.3">
      <c r="A32" s="12">
        <v>41363</v>
      </c>
      <c r="B32" s="13">
        <v>50</v>
      </c>
      <c r="C32" s="13">
        <v>0</v>
      </c>
      <c r="D32" s="13">
        <v>62</v>
      </c>
      <c r="E32" s="108">
        <v>0</v>
      </c>
      <c r="F32" s="14">
        <v>0</v>
      </c>
      <c r="G32" s="13">
        <v>0</v>
      </c>
      <c r="H32" s="15">
        <v>4034.59</v>
      </c>
    </row>
    <row r="33" spans="1:15" thickBot="1" x14ac:dyDescent="0.35">
      <c r="A33" s="12">
        <v>41364</v>
      </c>
      <c r="B33" s="13">
        <v>50</v>
      </c>
      <c r="C33" s="13">
        <v>0</v>
      </c>
      <c r="D33" s="13">
        <v>62</v>
      </c>
      <c r="E33" s="14">
        <v>0.02</v>
      </c>
      <c r="F33" s="14">
        <v>0</v>
      </c>
      <c r="G33" s="13">
        <v>0</v>
      </c>
      <c r="H33" s="15">
        <v>4034.6</v>
      </c>
    </row>
    <row r="34" spans="1:15" s="11" customFormat="1" thickTop="1" x14ac:dyDescent="0.3">
      <c r="A34" s="16" t="s">
        <v>8</v>
      </c>
      <c r="B34" s="17">
        <f t="shared" ref="B34:G34" si="0">SUM(B3:B33)</f>
        <v>467</v>
      </c>
      <c r="C34" s="17">
        <f t="shared" si="0"/>
        <v>238</v>
      </c>
      <c r="D34" s="17">
        <f>SUM(D3:D33)</f>
        <v>714</v>
      </c>
      <c r="E34" s="18">
        <f t="shared" si="0"/>
        <v>0.27</v>
      </c>
      <c r="F34" s="18">
        <f t="shared" si="0"/>
        <v>1.5</v>
      </c>
      <c r="G34" s="17">
        <f t="shared" si="0"/>
        <v>0</v>
      </c>
      <c r="H34" s="18"/>
    </row>
    <row r="35" spans="1:15" s="11" customFormat="1" ht="14.45" x14ac:dyDescent="0.3">
      <c r="A35" s="19" t="s">
        <v>9</v>
      </c>
      <c r="B35" s="20">
        <f>SUM(B34+'Feb 2013'!B33)</f>
        <v>2876</v>
      </c>
      <c r="C35" s="20">
        <f>SUM(C34+'Feb 2013'!C33)</f>
        <v>3874</v>
      </c>
      <c r="D35" s="20">
        <f>SUM(D34+'Feb 2013'!D33)</f>
        <v>6739</v>
      </c>
      <c r="E35" s="21">
        <f>SUM(E34+'Feb 2013'!E33)</f>
        <v>4.8900000000000006</v>
      </c>
      <c r="F35" s="21">
        <f>SUM(F34+'Feb 2013'!F33)</f>
        <v>12.1</v>
      </c>
      <c r="G35" s="20">
        <f>SUM(G34+'Feb 2013'!G33)</f>
        <v>20769</v>
      </c>
      <c r="H35" s="21"/>
    </row>
    <row r="37" spans="1:15" ht="14.45" x14ac:dyDescent="0.3">
      <c r="A37" t="s">
        <v>10</v>
      </c>
      <c r="B37" s="23">
        <f>SUM(B3:B33)*1.9835</f>
        <v>926.29449999999997</v>
      </c>
      <c r="C37" s="23">
        <f>SUM(C3:C33)*1.9835</f>
        <v>472.07300000000004</v>
      </c>
      <c r="D37" s="23">
        <f>SUM(D3:D33)*1.9835</f>
        <v>1416.2190000000001</v>
      </c>
      <c r="E37" s="23"/>
      <c r="F37" s="23"/>
      <c r="G37" s="23"/>
      <c r="I37" s="22"/>
    </row>
    <row r="39" spans="1:15" ht="14.45" x14ac:dyDescent="0.3">
      <c r="A39" t="s">
        <v>24</v>
      </c>
      <c r="B39" s="23">
        <f>SUM(B37+'Feb 2013'!B37)</f>
        <v>5704.5460000000003</v>
      </c>
      <c r="C39" s="23">
        <f>SUM(C37+'Feb 2013'!C37)</f>
        <v>7684.0790000000015</v>
      </c>
      <c r="D39" s="23">
        <f>SUM(D37+'Feb 2013'!D37)</f>
        <v>13366.806499999999</v>
      </c>
      <c r="E39" s="23"/>
      <c r="F39" s="23"/>
      <c r="G39" s="23"/>
      <c r="I39" s="22"/>
    </row>
    <row r="40" spans="1:15" ht="14.45" x14ac:dyDescent="0.3">
      <c r="B40" s="23"/>
      <c r="C40" s="23"/>
      <c r="D40" s="24"/>
      <c r="E40" s="23"/>
      <c r="F40" s="23"/>
      <c r="G40" s="23"/>
      <c r="I40" s="22"/>
    </row>
    <row r="41" spans="1:15" ht="17.45" customHeight="1" x14ac:dyDescent="0.25">
      <c r="A41" s="118"/>
      <c r="B41" s="118"/>
      <c r="C41" s="118"/>
      <c r="D41" s="118"/>
      <c r="E41" s="118"/>
      <c r="F41" s="119"/>
      <c r="G41" s="120" t="s">
        <v>12</v>
      </c>
      <c r="H41" s="121"/>
      <c r="I41" s="30"/>
      <c r="J41" s="30"/>
      <c r="K41" s="30"/>
      <c r="L41" s="30"/>
      <c r="M41" s="30"/>
      <c r="N41" s="31"/>
      <c r="O41" s="30"/>
    </row>
    <row r="42" spans="1:15" ht="16.899999999999999" customHeight="1" x14ac:dyDescent="0.25">
      <c r="A42" s="29"/>
      <c r="B42" s="29"/>
      <c r="C42" s="29"/>
      <c r="D42" s="29"/>
      <c r="E42" s="29"/>
      <c r="F42" s="29"/>
      <c r="G42" s="120"/>
      <c r="H42" s="121"/>
      <c r="I42" s="30"/>
      <c r="J42" s="30"/>
      <c r="K42" s="30"/>
      <c r="L42" s="30"/>
      <c r="M42" s="30"/>
      <c r="N42" s="31"/>
      <c r="O42" s="30"/>
    </row>
    <row r="43" spans="1:15" ht="13.9" customHeight="1" x14ac:dyDescent="0.3">
      <c r="A43" s="123" t="s">
        <v>23</v>
      </c>
      <c r="B43" s="123"/>
      <c r="C43" s="123"/>
      <c r="D43" s="123"/>
      <c r="E43" s="123"/>
      <c r="F43" s="123"/>
      <c r="G43" s="123"/>
      <c r="H43" s="123"/>
      <c r="I43" s="123"/>
      <c r="J43" s="123"/>
      <c r="K43" s="32"/>
      <c r="L43" s="32"/>
      <c r="M43" s="32"/>
      <c r="N43" s="33"/>
      <c r="O43" s="34"/>
    </row>
    <row r="44" spans="1:15" ht="15.6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 ht="14.4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ht="14.4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ht="14.4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ht="14.45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ht="14.45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4"/>
      <c r="N49" s="33"/>
    </row>
    <row r="50" spans="1:15" ht="13.15" customHeight="1" x14ac:dyDescent="0.3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4"/>
      <c r="N50" s="33"/>
      <c r="O50" s="34"/>
    </row>
    <row r="51" spans="1:15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4"/>
      <c r="N51" s="33"/>
      <c r="O51" s="34"/>
    </row>
    <row r="52" spans="1:15" ht="26.25" x14ac:dyDescent="0.2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</row>
    <row r="53" spans="1:15" ht="15.75" x14ac:dyDescent="0.25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66"/>
      <c r="J53" s="66"/>
    </row>
    <row r="54" spans="1:15" x14ac:dyDescent="0.25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5" x14ac:dyDescent="0.2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 x14ac:dyDescent="0.25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5" ht="15.75" thickBot="1" x14ac:dyDescent="0.3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  <c r="J57" s="78"/>
    </row>
    <row r="58" spans="1:15" s="84" customFormat="1" ht="30" customHeight="1" x14ac:dyDescent="0.25">
      <c r="A58" s="124" t="s">
        <v>21</v>
      </c>
      <c r="B58" s="125"/>
      <c r="C58" s="126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6"/>
  <sheetViews>
    <sheetView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B35" sqref="B35"/>
    </sheetView>
  </sheetViews>
  <sheetFormatPr defaultRowHeight="15" x14ac:dyDescent="0.25"/>
  <cols>
    <col min="1" max="1" width="13.5703125" bestFit="1" customWidth="1"/>
    <col min="2" max="8" width="11.7109375" customWidth="1"/>
    <col min="9" max="9" width="27.42578125" customWidth="1"/>
  </cols>
  <sheetData>
    <row r="1" spans="1:9" s="1" customFormat="1" ht="28.9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ht="14.45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ht="14.45" x14ac:dyDescent="0.3">
      <c r="A3" s="12">
        <v>41306</v>
      </c>
      <c r="B3" s="13">
        <v>0</v>
      </c>
      <c r="C3" s="13">
        <v>30</v>
      </c>
      <c r="D3" s="13">
        <v>0</v>
      </c>
      <c r="E3" s="14">
        <v>0</v>
      </c>
      <c r="F3" s="14">
        <v>0</v>
      </c>
      <c r="G3" s="13">
        <v>0</v>
      </c>
      <c r="H3" s="15">
        <v>4034.39</v>
      </c>
    </row>
    <row r="4" spans="1:9" ht="14.45" x14ac:dyDescent="0.3">
      <c r="A4" s="12">
        <f>A3+1</f>
        <v>41307</v>
      </c>
      <c r="B4" s="13">
        <v>0</v>
      </c>
      <c r="C4" s="13">
        <v>30</v>
      </c>
      <c r="D4" s="13">
        <v>0</v>
      </c>
      <c r="E4" s="14">
        <v>0</v>
      </c>
      <c r="F4" s="14">
        <v>0</v>
      </c>
      <c r="G4" s="13">
        <v>0</v>
      </c>
      <c r="H4" s="15">
        <v>4034.4</v>
      </c>
    </row>
    <row r="5" spans="1:9" ht="14.45" x14ac:dyDescent="0.3">
      <c r="A5" s="12">
        <f t="shared" ref="A5:A30" si="0">A4+1</f>
        <v>41308</v>
      </c>
      <c r="B5" s="13">
        <v>0</v>
      </c>
      <c r="C5" s="13">
        <v>30</v>
      </c>
      <c r="D5" s="13">
        <v>0</v>
      </c>
      <c r="E5" s="14">
        <v>0</v>
      </c>
      <c r="F5" s="14">
        <v>0</v>
      </c>
      <c r="G5" s="13">
        <v>0</v>
      </c>
      <c r="H5" s="15">
        <v>4034.4</v>
      </c>
    </row>
    <row r="6" spans="1:9" ht="14.45" x14ac:dyDescent="0.3">
      <c r="A6" s="12">
        <f t="shared" si="0"/>
        <v>41309</v>
      </c>
      <c r="B6" s="13">
        <v>0</v>
      </c>
      <c r="C6" s="13">
        <v>30</v>
      </c>
      <c r="D6" s="13">
        <v>0</v>
      </c>
      <c r="E6" s="14">
        <v>0</v>
      </c>
      <c r="F6" s="14">
        <v>0</v>
      </c>
      <c r="G6" s="13">
        <v>0</v>
      </c>
      <c r="H6" s="15">
        <v>4034.41</v>
      </c>
    </row>
    <row r="7" spans="1:9" ht="14.45" x14ac:dyDescent="0.3">
      <c r="A7" s="12">
        <f t="shared" si="0"/>
        <v>41310</v>
      </c>
      <c r="B7" s="13">
        <v>0</v>
      </c>
      <c r="C7" s="13">
        <v>30</v>
      </c>
      <c r="D7" s="13">
        <v>0</v>
      </c>
      <c r="E7" s="14">
        <v>0.01</v>
      </c>
      <c r="F7" s="14">
        <v>0</v>
      </c>
      <c r="G7" s="13">
        <v>0</v>
      </c>
      <c r="H7" s="15">
        <v>4034.42</v>
      </c>
    </row>
    <row r="8" spans="1:9" ht="14.45" x14ac:dyDescent="0.3">
      <c r="A8" s="12">
        <f t="shared" si="0"/>
        <v>41311</v>
      </c>
      <c r="B8" s="13">
        <v>0</v>
      </c>
      <c r="C8" s="13">
        <v>30</v>
      </c>
      <c r="D8" s="13">
        <v>0</v>
      </c>
      <c r="E8" s="14">
        <v>0</v>
      </c>
      <c r="F8" s="14">
        <v>0</v>
      </c>
      <c r="G8" s="13">
        <v>0</v>
      </c>
      <c r="H8" s="15">
        <v>4034.43</v>
      </c>
    </row>
    <row r="9" spans="1:9" ht="14.45" x14ac:dyDescent="0.3">
      <c r="A9" s="12">
        <f t="shared" si="0"/>
        <v>41312</v>
      </c>
      <c r="B9" s="13">
        <v>0</v>
      </c>
      <c r="C9" s="13">
        <v>30</v>
      </c>
      <c r="D9" s="13">
        <v>0</v>
      </c>
      <c r="E9" s="14">
        <v>0.13</v>
      </c>
      <c r="F9" s="14">
        <v>2</v>
      </c>
      <c r="G9" s="13">
        <v>0</v>
      </c>
      <c r="H9" s="15">
        <v>4034.45</v>
      </c>
    </row>
    <row r="10" spans="1:9" ht="14.45" x14ac:dyDescent="0.3">
      <c r="A10" s="12">
        <f t="shared" si="0"/>
        <v>41313</v>
      </c>
      <c r="B10" s="13">
        <v>0</v>
      </c>
      <c r="C10" s="13">
        <v>30</v>
      </c>
      <c r="D10" s="13">
        <v>0</v>
      </c>
      <c r="E10" s="14">
        <v>0</v>
      </c>
      <c r="F10" s="14">
        <v>0</v>
      </c>
      <c r="G10" s="13">
        <v>0</v>
      </c>
      <c r="H10" s="15">
        <v>4034.47</v>
      </c>
    </row>
    <row r="11" spans="1:9" ht="14.45" x14ac:dyDescent="0.3">
      <c r="A11" s="12">
        <f t="shared" si="0"/>
        <v>41314</v>
      </c>
      <c r="B11" s="13">
        <v>0</v>
      </c>
      <c r="C11" s="13">
        <v>30</v>
      </c>
      <c r="D11" s="13">
        <v>0</v>
      </c>
      <c r="E11" s="14">
        <v>0</v>
      </c>
      <c r="F11" s="14">
        <v>0</v>
      </c>
      <c r="G11" s="13">
        <v>0</v>
      </c>
      <c r="H11" s="15">
        <v>4034.49</v>
      </c>
    </row>
    <row r="12" spans="1:9" ht="14.45" x14ac:dyDescent="0.3">
      <c r="A12" s="12">
        <f t="shared" si="0"/>
        <v>41315</v>
      </c>
      <c r="B12" s="13">
        <v>0</v>
      </c>
      <c r="C12" s="13">
        <v>30</v>
      </c>
      <c r="D12" s="13">
        <v>0</v>
      </c>
      <c r="E12" s="14">
        <v>0</v>
      </c>
      <c r="F12" s="14">
        <v>0</v>
      </c>
      <c r="G12" s="13">
        <v>0</v>
      </c>
      <c r="H12" s="15">
        <v>4034.5</v>
      </c>
    </row>
    <row r="13" spans="1:9" ht="14.45" x14ac:dyDescent="0.3">
      <c r="A13" s="12">
        <f t="shared" si="0"/>
        <v>41316</v>
      </c>
      <c r="B13" s="13">
        <v>0</v>
      </c>
      <c r="C13" s="13">
        <v>25</v>
      </c>
      <c r="D13" s="13">
        <v>0</v>
      </c>
      <c r="E13" s="14">
        <v>0</v>
      </c>
      <c r="F13" s="14">
        <v>0</v>
      </c>
      <c r="G13" s="13">
        <v>0</v>
      </c>
      <c r="H13" s="15">
        <v>4034.5</v>
      </c>
    </row>
    <row r="14" spans="1:9" ht="14.45" x14ac:dyDescent="0.3">
      <c r="A14" s="12">
        <f t="shared" si="0"/>
        <v>41317</v>
      </c>
      <c r="B14" s="13">
        <v>0</v>
      </c>
      <c r="C14" s="13">
        <v>20</v>
      </c>
      <c r="D14" s="13">
        <v>0</v>
      </c>
      <c r="E14" s="14">
        <v>0</v>
      </c>
      <c r="F14" s="14">
        <v>0</v>
      </c>
      <c r="G14" s="13">
        <v>0</v>
      </c>
      <c r="H14" s="15">
        <v>4034.51</v>
      </c>
    </row>
    <row r="15" spans="1:9" ht="14.45" x14ac:dyDescent="0.3">
      <c r="A15" s="12">
        <f t="shared" si="0"/>
        <v>41318</v>
      </c>
      <c r="B15" s="13">
        <v>0</v>
      </c>
      <c r="C15" s="13">
        <v>20</v>
      </c>
      <c r="D15" s="13">
        <v>0</v>
      </c>
      <c r="E15" s="14">
        <v>0</v>
      </c>
      <c r="F15" s="14">
        <v>0</v>
      </c>
      <c r="G15" s="13">
        <v>0</v>
      </c>
      <c r="H15" s="27">
        <v>4034.52</v>
      </c>
    </row>
    <row r="16" spans="1:9" ht="14.45" x14ac:dyDescent="0.3">
      <c r="A16" s="12">
        <f t="shared" si="0"/>
        <v>41319</v>
      </c>
      <c r="B16" s="13">
        <v>0</v>
      </c>
      <c r="C16" s="13">
        <v>20</v>
      </c>
      <c r="D16" s="13">
        <v>0</v>
      </c>
      <c r="E16" s="14">
        <v>0</v>
      </c>
      <c r="F16" s="14">
        <v>0</v>
      </c>
      <c r="G16" s="13">
        <v>0</v>
      </c>
      <c r="H16" s="27">
        <v>4034.53</v>
      </c>
    </row>
    <row r="17" spans="1:9" ht="14.45" x14ac:dyDescent="0.3">
      <c r="A17" s="12">
        <f t="shared" si="0"/>
        <v>41320</v>
      </c>
      <c r="B17" s="13">
        <v>0</v>
      </c>
      <c r="C17" s="13">
        <v>20</v>
      </c>
      <c r="D17" s="13">
        <v>0</v>
      </c>
      <c r="E17" s="14">
        <v>0</v>
      </c>
      <c r="F17" s="14">
        <v>0</v>
      </c>
      <c r="G17" s="13">
        <v>0</v>
      </c>
      <c r="H17" s="27">
        <v>4034.54</v>
      </c>
    </row>
    <row r="18" spans="1:9" ht="14.45" x14ac:dyDescent="0.3">
      <c r="A18" s="12">
        <f t="shared" si="0"/>
        <v>41321</v>
      </c>
      <c r="B18" s="13">
        <v>0</v>
      </c>
      <c r="C18" s="13">
        <v>20</v>
      </c>
      <c r="D18" s="13">
        <v>0</v>
      </c>
      <c r="E18" s="14">
        <v>0</v>
      </c>
      <c r="F18" s="14">
        <v>0</v>
      </c>
      <c r="G18" s="13">
        <v>0</v>
      </c>
      <c r="H18" s="27">
        <v>4034.54</v>
      </c>
    </row>
    <row r="19" spans="1:9" ht="14.45" x14ac:dyDescent="0.3">
      <c r="A19" s="12">
        <f t="shared" si="0"/>
        <v>41322</v>
      </c>
      <c r="B19" s="13">
        <v>0</v>
      </c>
      <c r="C19" s="13">
        <v>20</v>
      </c>
      <c r="D19" s="13">
        <v>0</v>
      </c>
      <c r="E19" s="14">
        <v>0</v>
      </c>
      <c r="F19" s="14">
        <v>0</v>
      </c>
      <c r="G19" s="13">
        <v>0</v>
      </c>
      <c r="H19" s="27">
        <v>4034.55</v>
      </c>
    </row>
    <row r="20" spans="1:9" ht="14.45" x14ac:dyDescent="0.3">
      <c r="A20" s="12">
        <f t="shared" si="0"/>
        <v>41323</v>
      </c>
      <c r="B20" s="13">
        <v>0</v>
      </c>
      <c r="C20" s="25">
        <v>20</v>
      </c>
      <c r="D20" s="13">
        <v>0</v>
      </c>
      <c r="E20" s="26">
        <v>0</v>
      </c>
      <c r="F20" s="26">
        <v>0</v>
      </c>
      <c r="G20" s="13">
        <v>0</v>
      </c>
      <c r="H20" s="27">
        <v>4034.55</v>
      </c>
    </row>
    <row r="21" spans="1:9" ht="14.45" x14ac:dyDescent="0.3">
      <c r="A21" s="12">
        <f t="shared" si="0"/>
        <v>41324</v>
      </c>
      <c r="B21" s="13">
        <v>0</v>
      </c>
      <c r="C21" s="25">
        <v>20</v>
      </c>
      <c r="D21" s="13">
        <v>0</v>
      </c>
      <c r="E21" s="26">
        <v>0.35</v>
      </c>
      <c r="F21" s="26">
        <v>4</v>
      </c>
      <c r="G21" s="13">
        <v>0</v>
      </c>
      <c r="H21" s="27">
        <v>4034.56</v>
      </c>
    </row>
    <row r="22" spans="1:9" ht="14.45" x14ac:dyDescent="0.3">
      <c r="A22" s="12">
        <f t="shared" si="0"/>
        <v>41325</v>
      </c>
      <c r="B22" s="13">
        <v>0</v>
      </c>
      <c r="C22" s="25">
        <v>29</v>
      </c>
      <c r="D22" s="13">
        <v>0</v>
      </c>
      <c r="E22" s="26">
        <v>0</v>
      </c>
      <c r="F22" s="26">
        <v>0</v>
      </c>
      <c r="G22" s="13">
        <v>95</v>
      </c>
      <c r="H22" s="27">
        <v>4034.57</v>
      </c>
    </row>
    <row r="23" spans="1:9" ht="14.45" x14ac:dyDescent="0.3">
      <c r="A23" s="12">
        <f t="shared" si="0"/>
        <v>41326</v>
      </c>
      <c r="B23" s="13">
        <v>0</v>
      </c>
      <c r="C23" s="25">
        <v>40</v>
      </c>
      <c r="D23" s="13">
        <v>0</v>
      </c>
      <c r="E23" s="26">
        <v>0</v>
      </c>
      <c r="F23" s="26">
        <v>0</v>
      </c>
      <c r="G23" s="13">
        <v>230</v>
      </c>
      <c r="H23" s="27">
        <v>4034.57</v>
      </c>
    </row>
    <row r="24" spans="1:9" ht="14.45" x14ac:dyDescent="0.3">
      <c r="A24" s="12">
        <f t="shared" si="0"/>
        <v>41327</v>
      </c>
      <c r="B24" s="13">
        <v>0</v>
      </c>
      <c r="C24" s="25">
        <v>35</v>
      </c>
      <c r="D24" s="13">
        <v>0</v>
      </c>
      <c r="E24" s="26">
        <v>0</v>
      </c>
      <c r="F24" s="26">
        <v>0</v>
      </c>
      <c r="G24" s="13">
        <v>319</v>
      </c>
      <c r="H24" s="27">
        <v>4034.56</v>
      </c>
    </row>
    <row r="25" spans="1:9" ht="14.45" x14ac:dyDescent="0.3">
      <c r="A25" s="12">
        <f t="shared" si="0"/>
        <v>41328</v>
      </c>
      <c r="B25" s="13">
        <v>0</v>
      </c>
      <c r="C25" s="25">
        <v>30</v>
      </c>
      <c r="D25" s="13">
        <v>0</v>
      </c>
      <c r="E25" s="26">
        <v>7.0000000000000007E-2</v>
      </c>
      <c r="F25" s="26">
        <v>0</v>
      </c>
      <c r="G25" s="13">
        <v>319</v>
      </c>
      <c r="H25" s="27">
        <v>4034.55</v>
      </c>
    </row>
    <row r="26" spans="1:9" ht="14.45" x14ac:dyDescent="0.3">
      <c r="A26" s="12">
        <f t="shared" si="0"/>
        <v>41329</v>
      </c>
      <c r="B26" s="13">
        <v>0</v>
      </c>
      <c r="C26" s="25">
        <v>30</v>
      </c>
      <c r="D26" s="13">
        <v>0</v>
      </c>
      <c r="E26" s="26" t="s">
        <v>34</v>
      </c>
      <c r="F26" s="26">
        <v>0</v>
      </c>
      <c r="G26" s="13">
        <v>318</v>
      </c>
      <c r="H26" s="27">
        <v>4034.54</v>
      </c>
    </row>
    <row r="27" spans="1:9" ht="14.45" x14ac:dyDescent="0.3">
      <c r="A27" s="12">
        <f t="shared" si="0"/>
        <v>41330</v>
      </c>
      <c r="B27" s="13">
        <v>0</v>
      </c>
      <c r="C27" s="25">
        <v>30</v>
      </c>
      <c r="D27" s="13">
        <v>0</v>
      </c>
      <c r="E27" s="26">
        <v>0</v>
      </c>
      <c r="F27" s="26">
        <v>0</v>
      </c>
      <c r="G27" s="13">
        <v>318</v>
      </c>
      <c r="H27" s="27">
        <v>4034.52</v>
      </c>
    </row>
    <row r="28" spans="1:9" ht="14.45" x14ac:dyDescent="0.3">
      <c r="A28" s="12">
        <f t="shared" si="0"/>
        <v>41331</v>
      </c>
      <c r="B28" s="13">
        <v>0</v>
      </c>
      <c r="C28" s="25">
        <v>30</v>
      </c>
      <c r="D28" s="13">
        <v>0</v>
      </c>
      <c r="E28" s="26">
        <v>0</v>
      </c>
      <c r="F28" s="26">
        <v>0</v>
      </c>
      <c r="G28" s="13">
        <v>318</v>
      </c>
      <c r="H28" s="27">
        <v>4034.5</v>
      </c>
    </row>
    <row r="29" spans="1:9" ht="14.45" x14ac:dyDescent="0.3">
      <c r="A29" s="12">
        <f t="shared" si="0"/>
        <v>41332</v>
      </c>
      <c r="B29" s="13">
        <v>0</v>
      </c>
      <c r="C29" s="25">
        <v>30</v>
      </c>
      <c r="D29" s="13">
        <v>0</v>
      </c>
      <c r="E29" s="26">
        <v>0</v>
      </c>
      <c r="F29" s="26">
        <v>0</v>
      </c>
      <c r="G29" s="13">
        <v>318</v>
      </c>
      <c r="H29" s="27">
        <v>4034.48</v>
      </c>
    </row>
    <row r="30" spans="1:9" ht="14.45" x14ac:dyDescent="0.3">
      <c r="A30" s="12">
        <f t="shared" si="0"/>
        <v>41333</v>
      </c>
      <c r="B30" s="13">
        <v>0</v>
      </c>
      <c r="C30" s="25">
        <v>23</v>
      </c>
      <c r="D30" s="13">
        <v>0</v>
      </c>
      <c r="E30" s="26">
        <v>0.04</v>
      </c>
      <c r="F30" s="26">
        <v>0</v>
      </c>
      <c r="G30" s="13">
        <v>166</v>
      </c>
      <c r="H30" s="27">
        <v>4034.48</v>
      </c>
    </row>
    <row r="31" spans="1:9" thickBot="1" x14ac:dyDescent="0.35">
      <c r="A31" s="12"/>
      <c r="B31" s="13"/>
      <c r="C31" s="13"/>
      <c r="D31" s="13"/>
      <c r="E31" s="14"/>
      <c r="F31" s="14"/>
      <c r="G31" s="13"/>
      <c r="H31" s="27"/>
    </row>
    <row r="32" spans="1:9" s="11" customFormat="1" thickTop="1" x14ac:dyDescent="0.3">
      <c r="A32" s="16" t="s">
        <v>8</v>
      </c>
      <c r="B32" s="17">
        <f t="shared" ref="B32:G32" si="1">SUM(B3:B31)</f>
        <v>0</v>
      </c>
      <c r="C32" s="17">
        <f t="shared" si="1"/>
        <v>762</v>
      </c>
      <c r="D32" s="17">
        <f t="shared" si="1"/>
        <v>0</v>
      </c>
      <c r="E32" s="18">
        <f t="shared" si="1"/>
        <v>0.60000000000000009</v>
      </c>
      <c r="F32" s="18">
        <f t="shared" si="1"/>
        <v>6</v>
      </c>
      <c r="G32" s="17">
        <f t="shared" si="1"/>
        <v>2401</v>
      </c>
      <c r="H32" s="18"/>
      <c r="I32"/>
    </row>
    <row r="33" spans="1:15" s="11" customFormat="1" ht="14.45" x14ac:dyDescent="0.3">
      <c r="A33" s="19" t="s">
        <v>9</v>
      </c>
      <c r="B33" s="20">
        <f>SUM(B32+'Jan 2013'!B35)</f>
        <v>2409</v>
      </c>
      <c r="C33" s="20">
        <f>SUM(C32+'Jan 2013'!C35)</f>
        <v>3636</v>
      </c>
      <c r="D33" s="20">
        <f>SUM(D32+'Jan 2013'!D35)</f>
        <v>6025</v>
      </c>
      <c r="E33" s="21">
        <f>SUM(E32+'Jan 2013'!E35)</f>
        <v>4.620000000000001</v>
      </c>
      <c r="F33" s="21">
        <f>SUM(F32+'Jan 2013'!F35)</f>
        <v>10.6</v>
      </c>
      <c r="G33" s="20">
        <f>SUM(G32+'Jan 2013'!G35)</f>
        <v>20769</v>
      </c>
      <c r="H33" s="21"/>
      <c r="I33"/>
    </row>
    <row r="35" spans="1:15" ht="14.45" x14ac:dyDescent="0.3">
      <c r="A35" t="s">
        <v>10</v>
      </c>
      <c r="B35" s="23">
        <f>SUM(B3:B31)*1.9835</f>
        <v>0</v>
      </c>
      <c r="C35" s="23">
        <f>SUM(C3:C31)*1.9835</f>
        <v>1511.4270000000001</v>
      </c>
      <c r="D35" s="23">
        <f>SUM(D3:D31)*1.9835</f>
        <v>0</v>
      </c>
      <c r="E35" s="23"/>
      <c r="F35" s="23"/>
      <c r="G35" s="23"/>
      <c r="I35" s="22"/>
    </row>
    <row r="37" spans="1:15" ht="14.45" x14ac:dyDescent="0.3">
      <c r="A37" t="s">
        <v>24</v>
      </c>
      <c r="B37" s="23">
        <f>SUM(B35+'Jan 2013'!B39)</f>
        <v>4778.2515000000003</v>
      </c>
      <c r="C37" s="23">
        <f>SUM(C35+'Jan 2013'!C39)</f>
        <v>7212.0060000000012</v>
      </c>
      <c r="D37" s="23">
        <f>SUM(D35+'Jan 2013'!D39)</f>
        <v>11950.5875</v>
      </c>
      <c r="E37" s="23"/>
      <c r="F37" s="23"/>
      <c r="G37" s="23"/>
      <c r="I37" s="22"/>
    </row>
    <row r="38" spans="1:15" ht="14.45" x14ac:dyDescent="0.3">
      <c r="B38" s="23"/>
      <c r="C38" s="23"/>
      <c r="D38" s="24"/>
      <c r="E38" s="23"/>
      <c r="F38" s="23"/>
      <c r="G38" s="23"/>
      <c r="I38" s="22"/>
    </row>
    <row r="39" spans="1:15" ht="17.45" customHeight="1" x14ac:dyDescent="0.25">
      <c r="A39" s="118"/>
      <c r="B39" s="118"/>
      <c r="C39" s="118"/>
      <c r="D39" s="118"/>
      <c r="E39" s="118"/>
      <c r="F39" s="119"/>
      <c r="G39" s="120" t="s">
        <v>12</v>
      </c>
      <c r="H39" s="121"/>
      <c r="I39" s="30"/>
      <c r="J39" s="30"/>
      <c r="K39" s="30"/>
      <c r="L39" s="30"/>
      <c r="M39" s="30"/>
      <c r="N39" s="31"/>
      <c r="O39" s="30"/>
    </row>
    <row r="40" spans="1:15" ht="16.899999999999999" customHeight="1" x14ac:dyDescent="0.25">
      <c r="A40" s="29"/>
      <c r="B40" s="29"/>
      <c r="C40" s="29"/>
      <c r="D40" s="29"/>
      <c r="E40" s="29"/>
      <c r="F40" s="29"/>
      <c r="G40" s="120"/>
      <c r="H40" s="121"/>
      <c r="I40" s="30"/>
      <c r="J40" s="30"/>
      <c r="K40" s="30"/>
      <c r="L40" s="30"/>
      <c r="M40" s="30"/>
      <c r="N40" s="31"/>
      <c r="O40" s="30"/>
    </row>
    <row r="41" spans="1:15" ht="13.9" customHeight="1" x14ac:dyDescent="0.3">
      <c r="A41" s="123" t="s">
        <v>23</v>
      </c>
      <c r="B41" s="123"/>
      <c r="C41" s="123"/>
      <c r="D41" s="123"/>
      <c r="E41" s="123"/>
      <c r="F41" s="123"/>
      <c r="G41" s="123"/>
      <c r="H41" s="123"/>
      <c r="I41" s="123"/>
      <c r="J41" s="123"/>
      <c r="K41" s="32"/>
      <c r="L41" s="32"/>
      <c r="M41" s="32"/>
      <c r="N41" s="33"/>
      <c r="O41" s="34"/>
    </row>
    <row r="42" spans="1:15" ht="15.6" customHeight="1" x14ac:dyDescent="0.3">
      <c r="A42" s="42" t="s">
        <v>17</v>
      </c>
      <c r="B42" s="36"/>
      <c r="C42" s="37"/>
      <c r="D42" s="37"/>
      <c r="E42" s="38"/>
      <c r="F42" s="39"/>
      <c r="G42" s="40"/>
      <c r="H42" s="41"/>
      <c r="I42" s="34"/>
      <c r="J42" s="34"/>
      <c r="K42" s="34"/>
      <c r="L42" s="34"/>
      <c r="M42" s="34"/>
      <c r="N42" s="33"/>
    </row>
    <row r="43" spans="1:15" ht="14.45" x14ac:dyDescent="0.3">
      <c r="A43" s="35"/>
      <c r="B43" s="36"/>
      <c r="C43" s="37"/>
      <c r="D43" s="37"/>
      <c r="E43" s="43"/>
      <c r="F43" s="39">
        <f>SUM(24-D43)</f>
        <v>24</v>
      </c>
      <c r="G43" s="40">
        <f>SUM(C43+E43)</f>
        <v>0</v>
      </c>
      <c r="H43" s="41">
        <f>SUM(C43/24*D43+G43/24*F43)</f>
        <v>0</v>
      </c>
      <c r="I43" s="34"/>
      <c r="J43" s="34"/>
      <c r="K43" s="34"/>
      <c r="L43" s="34"/>
      <c r="M43" s="34"/>
      <c r="N43" s="33"/>
    </row>
    <row r="44" spans="1:15" ht="14.45" x14ac:dyDescent="0.3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4"/>
      <c r="N44" s="33"/>
    </row>
    <row r="45" spans="1:15" ht="14.4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ht="14.4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ht="14.4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ht="13.15" customHeight="1" x14ac:dyDescent="0.3">
      <c r="A48" s="44"/>
      <c r="B48" s="45"/>
      <c r="C48" s="45"/>
      <c r="D48" s="45"/>
      <c r="E48" s="45"/>
      <c r="F48" s="45"/>
      <c r="G48" s="46"/>
      <c r="H48" s="34"/>
      <c r="I48" s="34"/>
      <c r="J48" s="34"/>
      <c r="K48" s="34"/>
      <c r="L48" s="34"/>
      <c r="M48" s="34"/>
      <c r="N48" s="33"/>
      <c r="O48" s="34"/>
    </row>
    <row r="49" spans="1:15" ht="15.75" thickBot="1" x14ac:dyDescent="0.3">
      <c r="A49" s="47" t="s">
        <v>18</v>
      </c>
      <c r="B49" s="47"/>
      <c r="C49" s="47"/>
      <c r="D49" s="47"/>
      <c r="E49" s="48"/>
      <c r="F49" s="49"/>
      <c r="G49" s="46"/>
      <c r="H49" s="34"/>
      <c r="I49" s="34"/>
      <c r="J49" s="34"/>
      <c r="K49" s="34"/>
      <c r="L49" s="34"/>
      <c r="M49" s="34"/>
      <c r="N49" s="33"/>
      <c r="O49" s="34"/>
    </row>
    <row r="50" spans="1:15" ht="26.25" x14ac:dyDescent="0.25">
      <c r="A50" s="50" t="s">
        <v>19</v>
      </c>
      <c r="B50" s="51" t="s">
        <v>13</v>
      </c>
      <c r="C50" s="52" t="s">
        <v>14</v>
      </c>
      <c r="D50" s="52" t="s">
        <v>15</v>
      </c>
      <c r="E50" s="53" t="s">
        <v>16</v>
      </c>
      <c r="F50" s="54" t="s">
        <v>20</v>
      </c>
      <c r="G50" s="55"/>
      <c r="H50" s="56"/>
      <c r="I50" s="57"/>
      <c r="J50" s="57"/>
    </row>
    <row r="51" spans="1:15" ht="15.75" x14ac:dyDescent="0.25">
      <c r="A51" s="58"/>
      <c r="B51" s="59"/>
      <c r="C51" s="60"/>
      <c r="D51" s="61"/>
      <c r="E51" s="62"/>
      <c r="F51" s="63">
        <f>SUM(C51/24*D51)</f>
        <v>0</v>
      </c>
      <c r="G51" s="64"/>
      <c r="H51" s="65"/>
      <c r="I51" s="66"/>
      <c r="J51" s="66"/>
    </row>
    <row r="52" spans="1:15" x14ac:dyDescent="0.25">
      <c r="A52" s="67"/>
      <c r="B52" s="68"/>
      <c r="C52" s="69"/>
      <c r="D52" s="61"/>
      <c r="E52" s="70"/>
      <c r="F52" s="71">
        <f>SUM(C52/24*D52)</f>
        <v>0</v>
      </c>
      <c r="G52" s="64"/>
      <c r="H52" s="65"/>
    </row>
    <row r="53" spans="1:15" x14ac:dyDescent="0.25">
      <c r="A53" s="67"/>
      <c r="B53" s="68"/>
      <c r="C53" s="69"/>
      <c r="D53" s="61"/>
      <c r="E53" s="72"/>
      <c r="F53" s="71">
        <f>SUM(C53/24*D53)</f>
        <v>0</v>
      </c>
      <c r="G53" s="64"/>
      <c r="H53" s="65"/>
    </row>
    <row r="54" spans="1:15" x14ac:dyDescent="0.25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5" ht="15.75" thickBot="1" x14ac:dyDescent="0.3">
      <c r="A55" s="73"/>
      <c r="B55" s="74"/>
      <c r="C55" s="75"/>
      <c r="D55" s="76"/>
      <c r="E55" s="75"/>
      <c r="F55" s="77">
        <f>SUM(C55/24*D55)</f>
        <v>0</v>
      </c>
      <c r="G55" s="64"/>
      <c r="H55" s="65"/>
      <c r="I55" s="78"/>
      <c r="J55" s="78"/>
    </row>
    <row r="56" spans="1:15" s="84" customFormat="1" ht="30" customHeight="1" x14ac:dyDescent="0.25">
      <c r="A56" s="124" t="s">
        <v>21</v>
      </c>
      <c r="B56" s="125"/>
      <c r="C56" s="126"/>
      <c r="D56" s="79">
        <f>SUM(D51:D55)</f>
        <v>0</v>
      </c>
      <c r="E56" s="80" t="s">
        <v>22</v>
      </c>
      <c r="F56" s="81">
        <f>SUM(F51:F55)</f>
        <v>0</v>
      </c>
      <c r="G56" s="82"/>
      <c r="H56" s="83"/>
    </row>
  </sheetData>
  <mergeCells count="4">
    <mergeCell ref="A39:F39"/>
    <mergeCell ref="G39:H40"/>
    <mergeCell ref="A41:J41"/>
    <mergeCell ref="A56:C56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workbookViewId="0">
      <pane xSplit="1" ySplit="2" topLeftCell="B18" activePane="bottomRight" state="frozen"/>
      <selection pane="topRight" activeCell="B1" sqref="B1"/>
      <selection pane="bottomLeft" activeCell="A3" sqref="A3"/>
      <selection pane="bottomRight" activeCell="D37" sqref="D37"/>
    </sheetView>
  </sheetViews>
  <sheetFormatPr defaultRowHeight="15" x14ac:dyDescent="0.25"/>
  <cols>
    <col min="1" max="1" width="13.5703125" bestFit="1" customWidth="1"/>
    <col min="2" max="8" width="11.7109375" customWidth="1"/>
    <col min="9" max="9" width="27.42578125" customWidth="1"/>
  </cols>
  <sheetData>
    <row r="1" spans="1:9" s="1" customFormat="1" ht="28.9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ht="14.45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ht="14.45" x14ac:dyDescent="0.3">
      <c r="A3" s="12">
        <v>41275</v>
      </c>
      <c r="B3" s="25">
        <v>0</v>
      </c>
      <c r="C3" s="25">
        <v>20</v>
      </c>
      <c r="D3" s="25">
        <v>0</v>
      </c>
      <c r="E3" s="26">
        <v>0</v>
      </c>
      <c r="F3" s="26">
        <v>0</v>
      </c>
      <c r="G3" s="25">
        <v>0</v>
      </c>
      <c r="H3" s="27">
        <v>4034.39</v>
      </c>
    </row>
    <row r="4" spans="1:9" ht="14.45" x14ac:dyDescent="0.3">
      <c r="A4" s="12">
        <v>41276</v>
      </c>
      <c r="B4" s="25">
        <v>0</v>
      </c>
      <c r="C4" s="25">
        <v>20</v>
      </c>
      <c r="D4" s="25">
        <v>0</v>
      </c>
      <c r="E4" s="26">
        <v>0</v>
      </c>
      <c r="F4" s="26">
        <v>0</v>
      </c>
      <c r="G4" s="25">
        <v>0</v>
      </c>
      <c r="H4" s="27">
        <v>4034.4</v>
      </c>
    </row>
    <row r="5" spans="1:9" ht="14.45" x14ac:dyDescent="0.3">
      <c r="A5" s="12">
        <v>41277</v>
      </c>
      <c r="B5" s="25">
        <v>0</v>
      </c>
      <c r="C5" s="25">
        <v>20</v>
      </c>
      <c r="D5" s="25">
        <v>0</v>
      </c>
      <c r="E5" s="26">
        <v>0</v>
      </c>
      <c r="F5" s="26">
        <v>0</v>
      </c>
      <c r="G5" s="25">
        <v>0</v>
      </c>
      <c r="H5" s="27">
        <v>4034.4</v>
      </c>
    </row>
    <row r="6" spans="1:9" ht="14.45" x14ac:dyDescent="0.3">
      <c r="A6" s="12">
        <v>41278</v>
      </c>
      <c r="B6" s="25">
        <v>0</v>
      </c>
      <c r="C6" s="25">
        <v>20</v>
      </c>
      <c r="D6" s="25">
        <v>0</v>
      </c>
      <c r="E6" s="26">
        <v>0</v>
      </c>
      <c r="F6" s="26">
        <v>0</v>
      </c>
      <c r="G6" s="25">
        <v>0</v>
      </c>
      <c r="H6" s="27">
        <v>4034.4</v>
      </c>
    </row>
    <row r="7" spans="1:9" ht="14.45" x14ac:dyDescent="0.3">
      <c r="A7" s="12">
        <v>41279</v>
      </c>
      <c r="B7" s="25">
        <v>0</v>
      </c>
      <c r="C7" s="25">
        <v>20</v>
      </c>
      <c r="D7" s="25">
        <v>0</v>
      </c>
      <c r="E7" s="26">
        <v>0</v>
      </c>
      <c r="F7" s="26">
        <v>0</v>
      </c>
      <c r="G7" s="25">
        <v>0</v>
      </c>
      <c r="H7" s="27">
        <v>4034.4</v>
      </c>
    </row>
    <row r="8" spans="1:9" ht="14.45" x14ac:dyDescent="0.3">
      <c r="A8" s="12">
        <v>41280</v>
      </c>
      <c r="B8" s="25">
        <v>0</v>
      </c>
      <c r="C8" s="25">
        <v>20</v>
      </c>
      <c r="D8" s="25">
        <v>0</v>
      </c>
      <c r="E8" s="14">
        <v>0.04</v>
      </c>
      <c r="F8" s="26">
        <v>0.5</v>
      </c>
      <c r="G8" s="25">
        <v>0</v>
      </c>
      <c r="H8" s="27">
        <v>4034.4</v>
      </c>
    </row>
    <row r="9" spans="1:9" ht="14.45" x14ac:dyDescent="0.3">
      <c r="A9" s="12">
        <v>41281</v>
      </c>
      <c r="B9" s="25">
        <v>0</v>
      </c>
      <c r="C9" s="25">
        <v>20</v>
      </c>
      <c r="D9" s="25">
        <v>0</v>
      </c>
      <c r="E9" s="108" t="s">
        <v>34</v>
      </c>
      <c r="F9" s="26">
        <v>0</v>
      </c>
      <c r="G9" s="25">
        <v>0</v>
      </c>
      <c r="H9" s="27">
        <v>4034.4</v>
      </c>
    </row>
    <row r="10" spans="1:9" ht="14.45" x14ac:dyDescent="0.3">
      <c r="A10" s="12">
        <v>41282</v>
      </c>
      <c r="B10" s="25">
        <v>0</v>
      </c>
      <c r="C10" s="25">
        <v>20</v>
      </c>
      <c r="D10" s="25">
        <v>0</v>
      </c>
      <c r="E10" s="108" t="s">
        <v>34</v>
      </c>
      <c r="F10" s="26" t="s">
        <v>34</v>
      </c>
      <c r="G10" s="25">
        <v>0</v>
      </c>
      <c r="H10" s="27">
        <v>4034.4</v>
      </c>
    </row>
    <row r="11" spans="1:9" ht="14.45" x14ac:dyDescent="0.3">
      <c r="A11" s="12">
        <v>41283</v>
      </c>
      <c r="B11" s="25">
        <v>0</v>
      </c>
      <c r="C11" s="25">
        <v>20</v>
      </c>
      <c r="D11" s="25">
        <v>0</v>
      </c>
      <c r="E11" s="14">
        <v>0.03</v>
      </c>
      <c r="F11" s="26">
        <v>1</v>
      </c>
      <c r="G11" s="25">
        <v>0</v>
      </c>
      <c r="H11" s="27">
        <v>4034.4</v>
      </c>
    </row>
    <row r="12" spans="1:9" ht="14.45" x14ac:dyDescent="0.3">
      <c r="A12" s="12">
        <v>41284</v>
      </c>
      <c r="B12" s="25">
        <v>0</v>
      </c>
      <c r="C12" s="25">
        <v>20</v>
      </c>
      <c r="D12" s="25">
        <v>0</v>
      </c>
      <c r="E12" s="14">
        <v>0.12</v>
      </c>
      <c r="F12" s="26">
        <v>1</v>
      </c>
      <c r="G12" s="25">
        <v>0</v>
      </c>
      <c r="H12" s="27">
        <v>4034.41</v>
      </c>
    </row>
    <row r="13" spans="1:9" ht="14.45" x14ac:dyDescent="0.3">
      <c r="A13" s="12">
        <v>41285</v>
      </c>
      <c r="B13" s="25">
        <v>0</v>
      </c>
      <c r="C13" s="25">
        <v>20</v>
      </c>
      <c r="D13" s="25">
        <v>0</v>
      </c>
      <c r="E13" s="14">
        <v>0.01</v>
      </c>
      <c r="F13" s="26">
        <v>0.25</v>
      </c>
      <c r="G13" s="25">
        <v>0</v>
      </c>
      <c r="H13" s="27">
        <v>4034.41</v>
      </c>
    </row>
    <row r="14" spans="1:9" ht="14.45" x14ac:dyDescent="0.3">
      <c r="A14" s="12">
        <v>41286</v>
      </c>
      <c r="B14" s="25">
        <v>0</v>
      </c>
      <c r="C14" s="25">
        <v>20</v>
      </c>
      <c r="D14" s="25">
        <v>0</v>
      </c>
      <c r="E14" s="14">
        <v>0</v>
      </c>
      <c r="F14" s="26">
        <v>0</v>
      </c>
      <c r="G14" s="25">
        <v>0</v>
      </c>
      <c r="H14" s="27">
        <v>4034.41</v>
      </c>
    </row>
    <row r="15" spans="1:9" ht="14.45" x14ac:dyDescent="0.3">
      <c r="A15" s="12">
        <v>41287</v>
      </c>
      <c r="B15" s="25">
        <v>0</v>
      </c>
      <c r="C15" s="25">
        <v>20</v>
      </c>
      <c r="D15" s="25">
        <v>0</v>
      </c>
      <c r="E15" s="14">
        <v>0</v>
      </c>
      <c r="F15" s="26">
        <v>0</v>
      </c>
      <c r="G15" s="25">
        <v>0</v>
      </c>
      <c r="H15" s="27">
        <v>4034.41</v>
      </c>
    </row>
    <row r="16" spans="1:9" ht="14.45" x14ac:dyDescent="0.3">
      <c r="A16" s="12">
        <v>41288</v>
      </c>
      <c r="B16" s="25">
        <v>0</v>
      </c>
      <c r="C16" s="25">
        <v>20</v>
      </c>
      <c r="D16" s="25">
        <v>0</v>
      </c>
      <c r="E16" s="14">
        <v>0</v>
      </c>
      <c r="F16" s="26">
        <v>0</v>
      </c>
      <c r="G16" s="25">
        <v>0</v>
      </c>
      <c r="H16" s="27">
        <v>4034.41</v>
      </c>
    </row>
    <row r="17" spans="1:8" ht="14.45" x14ac:dyDescent="0.3">
      <c r="A17" s="12">
        <v>41289</v>
      </c>
      <c r="B17" s="25">
        <v>0</v>
      </c>
      <c r="C17" s="25">
        <v>20</v>
      </c>
      <c r="D17" s="25">
        <v>0</v>
      </c>
      <c r="E17" s="14">
        <v>0</v>
      </c>
      <c r="F17" s="26">
        <v>0</v>
      </c>
      <c r="G17" s="25">
        <v>0</v>
      </c>
      <c r="H17" s="27">
        <v>4034.4</v>
      </c>
    </row>
    <row r="18" spans="1:8" ht="14.45" x14ac:dyDescent="0.3">
      <c r="A18" s="12">
        <v>41290</v>
      </c>
      <c r="B18" s="25">
        <v>0</v>
      </c>
      <c r="C18" s="25">
        <v>20</v>
      </c>
      <c r="D18" s="25">
        <v>0</v>
      </c>
      <c r="E18" s="14">
        <v>0</v>
      </c>
      <c r="F18" s="26">
        <v>0</v>
      </c>
      <c r="G18" s="25">
        <v>0</v>
      </c>
      <c r="H18" s="15">
        <v>4034.4</v>
      </c>
    </row>
    <row r="19" spans="1:8" ht="14.45" x14ac:dyDescent="0.3">
      <c r="A19" s="12">
        <v>41291</v>
      </c>
      <c r="B19" s="25">
        <v>0</v>
      </c>
      <c r="C19" s="25">
        <v>20</v>
      </c>
      <c r="D19" s="25">
        <v>0</v>
      </c>
      <c r="E19" s="14">
        <v>0</v>
      </c>
      <c r="F19" s="26">
        <v>0</v>
      </c>
      <c r="G19" s="25">
        <v>0</v>
      </c>
      <c r="H19" s="15">
        <v>4034.39</v>
      </c>
    </row>
    <row r="20" spans="1:8" ht="14.45" x14ac:dyDescent="0.3">
      <c r="A20" s="12">
        <v>41292</v>
      </c>
      <c r="B20" s="25">
        <v>0</v>
      </c>
      <c r="C20" s="25">
        <v>20</v>
      </c>
      <c r="D20" s="25">
        <v>0</v>
      </c>
      <c r="E20" s="14">
        <v>0</v>
      </c>
      <c r="F20" s="26">
        <v>0</v>
      </c>
      <c r="G20" s="25">
        <v>0</v>
      </c>
      <c r="H20" s="15">
        <v>4034.38</v>
      </c>
    </row>
    <row r="21" spans="1:8" ht="14.45" x14ac:dyDescent="0.3">
      <c r="A21" s="12">
        <v>41293</v>
      </c>
      <c r="B21" s="25">
        <v>0</v>
      </c>
      <c r="C21" s="25">
        <v>20</v>
      </c>
      <c r="D21" s="25">
        <v>0</v>
      </c>
      <c r="E21" s="14">
        <v>0</v>
      </c>
      <c r="F21" s="26">
        <v>0</v>
      </c>
      <c r="G21" s="25">
        <v>0</v>
      </c>
      <c r="H21" s="15">
        <v>4034.38</v>
      </c>
    </row>
    <row r="22" spans="1:8" ht="14.45" x14ac:dyDescent="0.3">
      <c r="A22" s="12">
        <v>41294</v>
      </c>
      <c r="B22" s="25">
        <v>0</v>
      </c>
      <c r="C22" s="25">
        <v>20</v>
      </c>
      <c r="D22" s="25">
        <v>0</v>
      </c>
      <c r="E22" s="14">
        <v>0</v>
      </c>
      <c r="F22" s="26">
        <v>0</v>
      </c>
      <c r="G22" s="25">
        <v>0</v>
      </c>
      <c r="H22" s="15">
        <v>4034.37</v>
      </c>
    </row>
    <row r="23" spans="1:8" ht="14.45" x14ac:dyDescent="0.3">
      <c r="A23" s="12">
        <v>41295</v>
      </c>
      <c r="B23" s="25">
        <v>0</v>
      </c>
      <c r="C23" s="25">
        <v>20</v>
      </c>
      <c r="D23" s="25">
        <v>0</v>
      </c>
      <c r="E23" s="14">
        <v>0</v>
      </c>
      <c r="F23" s="26">
        <v>0</v>
      </c>
      <c r="G23" s="25">
        <v>0</v>
      </c>
      <c r="H23" s="15">
        <v>4034.37</v>
      </c>
    </row>
    <row r="24" spans="1:8" ht="14.45" x14ac:dyDescent="0.3">
      <c r="A24" s="12">
        <v>41296</v>
      </c>
      <c r="B24" s="25">
        <v>0</v>
      </c>
      <c r="C24" s="25">
        <v>20</v>
      </c>
      <c r="D24" s="25">
        <v>0</v>
      </c>
      <c r="E24" s="14">
        <v>0</v>
      </c>
      <c r="F24" s="26">
        <v>0</v>
      </c>
      <c r="G24" s="25">
        <v>0</v>
      </c>
      <c r="H24" s="15">
        <v>4034.36</v>
      </c>
    </row>
    <row r="25" spans="1:8" ht="14.45" x14ac:dyDescent="0.3">
      <c r="A25" s="12">
        <v>41297</v>
      </c>
      <c r="B25" s="25">
        <v>0</v>
      </c>
      <c r="C25" s="25">
        <v>20</v>
      </c>
      <c r="D25" s="25">
        <v>0</v>
      </c>
      <c r="E25" s="14">
        <v>0</v>
      </c>
      <c r="F25" s="26">
        <v>0</v>
      </c>
      <c r="G25" s="25">
        <v>0</v>
      </c>
      <c r="H25" s="15">
        <v>4034.35</v>
      </c>
    </row>
    <row r="26" spans="1:8" ht="14.45" x14ac:dyDescent="0.3">
      <c r="A26" s="12">
        <v>41298</v>
      </c>
      <c r="B26" s="25">
        <v>0</v>
      </c>
      <c r="C26" s="25">
        <v>20</v>
      </c>
      <c r="D26" s="25">
        <v>0</v>
      </c>
      <c r="E26" s="14">
        <v>0.03</v>
      </c>
      <c r="F26" s="26">
        <v>0</v>
      </c>
      <c r="G26" s="25">
        <v>0</v>
      </c>
      <c r="H26" s="15">
        <v>4034.34</v>
      </c>
    </row>
    <row r="27" spans="1:8" ht="14.45" x14ac:dyDescent="0.3">
      <c r="A27" s="12">
        <v>41299</v>
      </c>
      <c r="B27" s="25">
        <v>0</v>
      </c>
      <c r="C27" s="13">
        <v>24</v>
      </c>
      <c r="D27" s="25">
        <v>0</v>
      </c>
      <c r="E27" s="14">
        <v>0.18</v>
      </c>
      <c r="F27" s="26">
        <v>0</v>
      </c>
      <c r="G27" s="25">
        <v>0</v>
      </c>
      <c r="H27" s="15">
        <v>4034.34</v>
      </c>
    </row>
    <row r="28" spans="1:8" ht="14.45" x14ac:dyDescent="0.3">
      <c r="A28" s="12">
        <v>41300</v>
      </c>
      <c r="B28" s="25">
        <v>0</v>
      </c>
      <c r="C28" s="13">
        <v>30</v>
      </c>
      <c r="D28" s="25">
        <v>0</v>
      </c>
      <c r="E28" s="14">
        <v>0.03</v>
      </c>
      <c r="F28" s="26">
        <v>0</v>
      </c>
      <c r="G28" s="25">
        <v>0</v>
      </c>
      <c r="H28" s="15">
        <v>4034.35</v>
      </c>
    </row>
    <row r="29" spans="1:8" ht="14.45" x14ac:dyDescent="0.3">
      <c r="A29" s="12">
        <v>41301</v>
      </c>
      <c r="B29" s="25">
        <v>0</v>
      </c>
      <c r="C29" s="13">
        <v>30</v>
      </c>
      <c r="D29" s="25">
        <v>0</v>
      </c>
      <c r="E29" s="14">
        <v>0</v>
      </c>
      <c r="F29" s="26">
        <v>0</v>
      </c>
      <c r="G29" s="25">
        <v>0</v>
      </c>
      <c r="H29" s="15">
        <v>4034.35</v>
      </c>
    </row>
    <row r="30" spans="1:8" ht="14.45" x14ac:dyDescent="0.3">
      <c r="A30" s="12">
        <v>41302</v>
      </c>
      <c r="B30" s="25">
        <v>0</v>
      </c>
      <c r="C30" s="13">
        <v>46</v>
      </c>
      <c r="D30" s="25">
        <v>0</v>
      </c>
      <c r="E30" s="14">
        <v>0.01</v>
      </c>
      <c r="F30" s="26">
        <v>0</v>
      </c>
      <c r="G30" s="25">
        <v>0</v>
      </c>
      <c r="H30" s="15">
        <v>4034.36</v>
      </c>
    </row>
    <row r="31" spans="1:8" ht="14.45" x14ac:dyDescent="0.3">
      <c r="A31" s="12">
        <v>41303</v>
      </c>
      <c r="B31" s="25">
        <v>0</v>
      </c>
      <c r="C31" s="13">
        <v>50</v>
      </c>
      <c r="D31" s="25">
        <v>0</v>
      </c>
      <c r="E31" s="14">
        <v>0</v>
      </c>
      <c r="F31" s="26">
        <v>0</v>
      </c>
      <c r="G31" s="25">
        <v>0</v>
      </c>
      <c r="H31" s="15">
        <v>4034.37</v>
      </c>
    </row>
    <row r="32" spans="1:8" ht="14.45" x14ac:dyDescent="0.3">
      <c r="A32" s="12">
        <v>41304</v>
      </c>
      <c r="B32" s="25">
        <v>0</v>
      </c>
      <c r="C32" s="13">
        <v>38</v>
      </c>
      <c r="D32" s="25">
        <v>0</v>
      </c>
      <c r="E32" s="14">
        <v>0</v>
      </c>
      <c r="F32" s="26">
        <v>0</v>
      </c>
      <c r="G32" s="25">
        <v>0</v>
      </c>
      <c r="H32" s="15">
        <v>4034.37</v>
      </c>
    </row>
    <row r="33" spans="1:15" thickBot="1" x14ac:dyDescent="0.35">
      <c r="A33" s="12">
        <v>41305</v>
      </c>
      <c r="B33" s="25">
        <v>0</v>
      </c>
      <c r="C33" s="13">
        <v>30</v>
      </c>
      <c r="D33" s="25">
        <v>0</v>
      </c>
      <c r="E33" s="14">
        <v>0</v>
      </c>
      <c r="F33" s="26">
        <v>0</v>
      </c>
      <c r="G33" s="25">
        <v>0</v>
      </c>
      <c r="H33" s="15">
        <v>4034.38</v>
      </c>
    </row>
    <row r="34" spans="1:15" s="11" customFormat="1" thickTop="1" x14ac:dyDescent="0.3">
      <c r="A34" s="16" t="s">
        <v>8</v>
      </c>
      <c r="B34" s="17">
        <f t="shared" ref="B34:G34" si="0">SUM(B3:B33)</f>
        <v>0</v>
      </c>
      <c r="C34" s="17">
        <f t="shared" si="0"/>
        <v>728</v>
      </c>
      <c r="D34" s="17">
        <f t="shared" si="0"/>
        <v>0</v>
      </c>
      <c r="E34" s="18">
        <f t="shared" si="0"/>
        <v>0.45000000000000007</v>
      </c>
      <c r="F34" s="18">
        <f t="shared" si="0"/>
        <v>2.75</v>
      </c>
      <c r="G34" s="17">
        <f t="shared" si="0"/>
        <v>0</v>
      </c>
      <c r="H34" s="18"/>
    </row>
    <row r="35" spans="1:15" s="11" customFormat="1" ht="14.45" x14ac:dyDescent="0.3">
      <c r="A35" s="19" t="s">
        <v>9</v>
      </c>
      <c r="B35" s="20">
        <f>SUM(B34+'Dec 2012'!B35)</f>
        <v>2409</v>
      </c>
      <c r="C35" s="20">
        <f>SUM(C34+'Dec 2012'!C35)</f>
        <v>2874</v>
      </c>
      <c r="D35" s="20">
        <f>SUM(D34+'Dec 2012'!D35)</f>
        <v>6025</v>
      </c>
      <c r="E35" s="21">
        <f>SUM(E34+'Dec 2012'!E35)</f>
        <v>4.0200000000000005</v>
      </c>
      <c r="F35" s="21">
        <f>SUM(F34+'Dec 2012'!F35)</f>
        <v>4.5999999999999996</v>
      </c>
      <c r="G35" s="20">
        <f>SUM(G34+'Dec 2012'!G35)</f>
        <v>18368</v>
      </c>
      <c r="H35" s="21"/>
    </row>
    <row r="37" spans="1:15" ht="14.45" x14ac:dyDescent="0.3">
      <c r="A37" t="s">
        <v>10</v>
      </c>
      <c r="B37" s="23">
        <f>SUM(B3:B33)*1.9835</f>
        <v>0</v>
      </c>
      <c r="C37" s="23">
        <f>SUM(C3:C33)*1.9835</f>
        <v>1443.9880000000001</v>
      </c>
      <c r="D37" s="23">
        <f>SUM(D3:D33)*1.9835</f>
        <v>0</v>
      </c>
      <c r="E37" s="23"/>
      <c r="F37" s="23"/>
      <c r="G37" s="23"/>
      <c r="I37" s="22"/>
    </row>
    <row r="39" spans="1:15" ht="14.45" x14ac:dyDescent="0.3">
      <c r="A39" t="s">
        <v>24</v>
      </c>
      <c r="B39" s="23">
        <f>SUM(B37+'Dec 2012'!B39)</f>
        <v>4778.2515000000003</v>
      </c>
      <c r="C39" s="23">
        <f>SUM(C37+'Dec 2012'!C39)</f>
        <v>5700.5790000000006</v>
      </c>
      <c r="D39" s="23">
        <f>SUM(D37+'Dec 2012'!D39)</f>
        <v>11950.5875</v>
      </c>
      <c r="E39" s="23"/>
      <c r="F39" s="23"/>
      <c r="G39" s="23"/>
      <c r="I39" s="22"/>
    </row>
    <row r="40" spans="1:15" ht="14.45" x14ac:dyDescent="0.3">
      <c r="B40" s="23"/>
      <c r="C40" s="23"/>
      <c r="D40" s="24"/>
      <c r="E40" s="23"/>
      <c r="F40" s="23"/>
      <c r="G40" s="23"/>
      <c r="I40" s="22"/>
    </row>
    <row r="41" spans="1:15" ht="17.45" customHeight="1" x14ac:dyDescent="0.25">
      <c r="A41" s="118"/>
      <c r="B41" s="118"/>
      <c r="C41" s="118"/>
      <c r="D41" s="118"/>
      <c r="E41" s="118"/>
      <c r="F41" s="119"/>
      <c r="G41" s="120" t="s">
        <v>12</v>
      </c>
      <c r="H41" s="121"/>
      <c r="I41" s="30"/>
      <c r="J41" s="30"/>
      <c r="K41" s="30"/>
      <c r="L41" s="30"/>
      <c r="M41" s="30"/>
      <c r="N41" s="31"/>
      <c r="O41" s="30"/>
    </row>
    <row r="42" spans="1:15" ht="16.899999999999999" customHeight="1" x14ac:dyDescent="0.25">
      <c r="A42" s="29"/>
      <c r="B42" s="29"/>
      <c r="C42" s="29"/>
      <c r="D42" s="29"/>
      <c r="E42" s="29"/>
      <c r="F42" s="29"/>
      <c r="G42" s="120"/>
      <c r="H42" s="121"/>
      <c r="I42" s="30"/>
      <c r="J42" s="30"/>
      <c r="K42" s="30"/>
      <c r="L42" s="30"/>
      <c r="M42" s="30"/>
      <c r="N42" s="31"/>
      <c r="O42" s="30"/>
    </row>
    <row r="43" spans="1:15" ht="13.9" customHeight="1" x14ac:dyDescent="0.3">
      <c r="A43" s="123" t="s">
        <v>23</v>
      </c>
      <c r="B43" s="123"/>
      <c r="C43" s="123"/>
      <c r="D43" s="123"/>
      <c r="E43" s="123"/>
      <c r="F43" s="123"/>
      <c r="G43" s="123"/>
      <c r="H43" s="123"/>
      <c r="I43" s="123"/>
      <c r="J43" s="123"/>
      <c r="K43" s="32"/>
      <c r="L43" s="32"/>
      <c r="M43" s="32"/>
      <c r="N43" s="33"/>
      <c r="O43" s="34"/>
    </row>
    <row r="44" spans="1:15" ht="15.6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 ht="14.4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ht="14.4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ht="14.4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ht="14.45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ht="14.45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4"/>
      <c r="N49" s="33"/>
    </row>
    <row r="50" spans="1:15" ht="13.15" customHeight="1" x14ac:dyDescent="0.3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4"/>
      <c r="N50" s="33"/>
      <c r="O50" s="34"/>
    </row>
    <row r="51" spans="1:15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4"/>
      <c r="N51" s="33"/>
      <c r="O51" s="34"/>
    </row>
    <row r="52" spans="1:15" ht="26.45" x14ac:dyDescent="0.3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</row>
    <row r="53" spans="1:15" ht="15.6" x14ac:dyDescent="0.35">
      <c r="A53" s="58"/>
      <c r="B53" s="59"/>
      <c r="C53" s="60"/>
      <c r="D53" s="61"/>
      <c r="E53" s="62">
        <v>-100</v>
      </c>
      <c r="F53" s="63">
        <f>SUM(C53/24*D53)</f>
        <v>0</v>
      </c>
      <c r="G53" s="64"/>
      <c r="H53" s="65"/>
      <c r="I53" s="66"/>
      <c r="J53" s="66"/>
    </row>
    <row r="54" spans="1:15" x14ac:dyDescent="0.25">
      <c r="A54" s="67"/>
      <c r="B54" s="68"/>
      <c r="C54" s="69"/>
      <c r="D54" s="61"/>
      <c r="E54" s="70">
        <v>-50</v>
      </c>
      <c r="F54" s="71">
        <f>SUM(C54/24*D54)</f>
        <v>0</v>
      </c>
      <c r="G54" s="64"/>
      <c r="H54" s="65"/>
    </row>
    <row r="55" spans="1:15" x14ac:dyDescent="0.2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 x14ac:dyDescent="0.25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5" ht="15.75" thickBot="1" x14ac:dyDescent="0.3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  <c r="J57" s="78"/>
    </row>
    <row r="58" spans="1:15" s="84" customFormat="1" ht="30" customHeight="1" x14ac:dyDescent="0.25">
      <c r="A58" s="124" t="s">
        <v>21</v>
      </c>
      <c r="B58" s="125"/>
      <c r="C58" s="126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workbookViewId="0">
      <pane xSplit="1" ySplit="2" topLeftCell="B18" activePane="bottomRight" state="frozen"/>
      <selection pane="topRight" activeCell="B1" sqref="B1"/>
      <selection pane="bottomLeft" activeCell="A3" sqref="A3"/>
      <selection pane="bottomRight" activeCell="B37" sqref="B37"/>
    </sheetView>
  </sheetViews>
  <sheetFormatPr defaultRowHeight="15" x14ac:dyDescent="0.25"/>
  <cols>
    <col min="1" max="1" width="13.5703125" bestFit="1" customWidth="1"/>
    <col min="2" max="8" width="11.7109375" customWidth="1"/>
    <col min="9" max="9" width="27.42578125" customWidth="1"/>
  </cols>
  <sheetData>
    <row r="1" spans="1:9" s="1" customFormat="1" ht="28.9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ht="14.45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ht="14.45" x14ac:dyDescent="0.3">
      <c r="A3" s="12">
        <v>41244</v>
      </c>
      <c r="B3" s="25">
        <v>0</v>
      </c>
      <c r="C3" s="25">
        <v>20</v>
      </c>
      <c r="D3" s="25">
        <v>0</v>
      </c>
      <c r="E3" s="26">
        <v>7.0000000000000007E-2</v>
      </c>
      <c r="F3" s="26">
        <v>0</v>
      </c>
      <c r="G3" s="25">
        <v>319</v>
      </c>
      <c r="H3" s="27">
        <v>4034.56</v>
      </c>
    </row>
    <row r="4" spans="1:9" ht="14.45" x14ac:dyDescent="0.3">
      <c r="A4" s="12">
        <v>41245</v>
      </c>
      <c r="B4" s="25">
        <v>0</v>
      </c>
      <c r="C4" s="25">
        <v>20</v>
      </c>
      <c r="D4" s="25">
        <v>0</v>
      </c>
      <c r="E4" s="26">
        <v>0.52</v>
      </c>
      <c r="F4" s="26">
        <v>0</v>
      </c>
      <c r="G4" s="25">
        <v>319</v>
      </c>
      <c r="H4" s="27">
        <v>4034.56</v>
      </c>
    </row>
    <row r="5" spans="1:9" ht="14.45" x14ac:dyDescent="0.3">
      <c r="A5" s="12">
        <v>41246</v>
      </c>
      <c r="B5" s="25">
        <v>0</v>
      </c>
      <c r="C5" s="25">
        <v>93</v>
      </c>
      <c r="D5" s="25">
        <v>0</v>
      </c>
      <c r="E5" s="26">
        <v>0.01</v>
      </c>
      <c r="F5" s="26">
        <v>0</v>
      </c>
      <c r="G5" s="25">
        <v>319</v>
      </c>
      <c r="H5" s="27">
        <v>4034.56</v>
      </c>
    </row>
    <row r="6" spans="1:9" ht="14.45" x14ac:dyDescent="0.3">
      <c r="A6" s="12">
        <v>41247</v>
      </c>
      <c r="B6" s="25">
        <v>0</v>
      </c>
      <c r="C6" s="25">
        <v>80</v>
      </c>
      <c r="D6" s="25">
        <v>0</v>
      </c>
      <c r="E6" s="26">
        <v>0.02</v>
      </c>
      <c r="F6" s="26">
        <v>0</v>
      </c>
      <c r="G6" s="25">
        <v>114</v>
      </c>
      <c r="H6" s="27">
        <v>4034.55</v>
      </c>
      <c r="I6" t="s">
        <v>47</v>
      </c>
    </row>
    <row r="7" spans="1:9" ht="14.45" x14ac:dyDescent="0.3">
      <c r="A7" s="12">
        <v>41248</v>
      </c>
      <c r="B7" s="25">
        <v>0</v>
      </c>
      <c r="C7" s="25">
        <v>53</v>
      </c>
      <c r="D7" s="25">
        <v>0</v>
      </c>
      <c r="E7" s="26">
        <v>7.0000000000000007E-2</v>
      </c>
      <c r="F7" s="26">
        <v>0</v>
      </c>
      <c r="G7" s="25">
        <v>192</v>
      </c>
      <c r="H7" s="27">
        <v>4034.54</v>
      </c>
      <c r="I7" t="s">
        <v>46</v>
      </c>
    </row>
    <row r="8" spans="1:9" ht="14.45" x14ac:dyDescent="0.3">
      <c r="A8" s="12">
        <v>41249</v>
      </c>
      <c r="B8" s="25">
        <v>0</v>
      </c>
      <c r="C8" s="25">
        <v>34</v>
      </c>
      <c r="D8" s="25">
        <v>0</v>
      </c>
      <c r="E8" s="26">
        <v>0.01</v>
      </c>
      <c r="F8" s="26">
        <v>0</v>
      </c>
      <c r="G8" s="25">
        <v>301</v>
      </c>
      <c r="H8" s="27">
        <v>4034.53</v>
      </c>
    </row>
    <row r="9" spans="1:9" ht="14.45" x14ac:dyDescent="0.3">
      <c r="A9" s="12">
        <v>41250</v>
      </c>
      <c r="B9" s="25">
        <v>0</v>
      </c>
      <c r="C9" s="25">
        <v>30</v>
      </c>
      <c r="D9" s="25">
        <v>0</v>
      </c>
      <c r="E9" s="26">
        <v>0</v>
      </c>
      <c r="F9" s="26">
        <v>0</v>
      </c>
      <c r="G9" s="25">
        <v>301</v>
      </c>
      <c r="H9" s="27">
        <v>4034.52</v>
      </c>
    </row>
    <row r="10" spans="1:9" ht="14.45" x14ac:dyDescent="0.3">
      <c r="A10" s="12">
        <v>41251</v>
      </c>
      <c r="B10" s="25">
        <v>0</v>
      </c>
      <c r="C10" s="25">
        <v>30</v>
      </c>
      <c r="D10" s="25">
        <v>0</v>
      </c>
      <c r="E10" s="26">
        <v>0</v>
      </c>
      <c r="F10" s="26">
        <v>0</v>
      </c>
      <c r="G10" s="25">
        <v>301</v>
      </c>
      <c r="H10" s="27">
        <v>4034.51</v>
      </c>
    </row>
    <row r="11" spans="1:9" ht="14.45" x14ac:dyDescent="0.3">
      <c r="A11" s="12">
        <v>41252</v>
      </c>
      <c r="B11" s="25">
        <v>0</v>
      </c>
      <c r="C11" s="25">
        <v>30</v>
      </c>
      <c r="D11" s="25">
        <v>0</v>
      </c>
      <c r="E11" s="26">
        <v>0</v>
      </c>
      <c r="F11" s="26">
        <v>0</v>
      </c>
      <c r="G11" s="25">
        <v>301</v>
      </c>
      <c r="H11" s="27">
        <v>4034.5</v>
      </c>
    </row>
    <row r="12" spans="1:9" ht="14.45" x14ac:dyDescent="0.3">
      <c r="A12" s="12">
        <v>41253</v>
      </c>
      <c r="B12" s="25">
        <v>0</v>
      </c>
      <c r="C12" s="25">
        <v>30</v>
      </c>
      <c r="D12" s="25">
        <v>0</v>
      </c>
      <c r="E12" s="26">
        <v>0</v>
      </c>
      <c r="F12" s="26">
        <v>0</v>
      </c>
      <c r="G12" s="25">
        <v>300</v>
      </c>
      <c r="H12" s="27">
        <v>4034.5</v>
      </c>
    </row>
    <row r="13" spans="1:9" ht="14.45" x14ac:dyDescent="0.3">
      <c r="A13" s="12">
        <v>41254</v>
      </c>
      <c r="B13" s="25">
        <v>0</v>
      </c>
      <c r="C13" s="25">
        <v>30</v>
      </c>
      <c r="D13" s="25">
        <v>0</v>
      </c>
      <c r="E13" s="26">
        <v>0.01</v>
      </c>
      <c r="F13" s="26">
        <v>0</v>
      </c>
      <c r="G13" s="25">
        <v>300</v>
      </c>
      <c r="H13" s="27">
        <v>4034.48</v>
      </c>
    </row>
    <row r="14" spans="1:9" ht="14.45" x14ac:dyDescent="0.3">
      <c r="A14" s="12">
        <v>41255</v>
      </c>
      <c r="B14" s="25">
        <v>0</v>
      </c>
      <c r="C14" s="25">
        <v>30</v>
      </c>
      <c r="D14" s="25">
        <v>0</v>
      </c>
      <c r="E14" s="26">
        <v>0.09</v>
      </c>
      <c r="F14" s="26">
        <v>0</v>
      </c>
      <c r="G14" s="25">
        <v>300</v>
      </c>
      <c r="H14" s="27">
        <v>4034.46</v>
      </c>
    </row>
    <row r="15" spans="1:9" ht="14.45" x14ac:dyDescent="0.3">
      <c r="A15" s="12">
        <v>41256</v>
      </c>
      <c r="B15" s="25">
        <v>0</v>
      </c>
      <c r="C15" s="25">
        <v>27</v>
      </c>
      <c r="D15" s="25">
        <v>0</v>
      </c>
      <c r="E15" s="26">
        <v>0</v>
      </c>
      <c r="F15" s="26">
        <v>0</v>
      </c>
      <c r="G15" s="25">
        <v>300</v>
      </c>
      <c r="H15" s="27">
        <v>4034.45</v>
      </c>
    </row>
    <row r="16" spans="1:9" ht="14.45" x14ac:dyDescent="0.3">
      <c r="A16" s="12">
        <v>41257</v>
      </c>
      <c r="B16" s="25">
        <v>0</v>
      </c>
      <c r="C16" s="25">
        <v>25</v>
      </c>
      <c r="D16" s="25">
        <v>0</v>
      </c>
      <c r="E16" s="26">
        <v>0.03</v>
      </c>
      <c r="F16" s="26">
        <v>0.1</v>
      </c>
      <c r="G16" s="25">
        <v>300</v>
      </c>
      <c r="H16" s="27">
        <v>4034.44</v>
      </c>
    </row>
    <row r="17" spans="1:9" ht="14.45" x14ac:dyDescent="0.3">
      <c r="A17" s="12">
        <v>41258</v>
      </c>
      <c r="B17" s="25">
        <v>0</v>
      </c>
      <c r="C17" s="25">
        <v>25</v>
      </c>
      <c r="D17" s="25">
        <v>0</v>
      </c>
      <c r="E17" s="26">
        <v>0.03</v>
      </c>
      <c r="F17" s="26">
        <v>0</v>
      </c>
      <c r="G17" s="25">
        <v>300</v>
      </c>
      <c r="H17" s="27">
        <v>4034.42</v>
      </c>
    </row>
    <row r="18" spans="1:9" ht="14.45" x14ac:dyDescent="0.3">
      <c r="A18" s="12">
        <v>41259</v>
      </c>
      <c r="B18" s="25">
        <v>0</v>
      </c>
      <c r="C18" s="25">
        <v>25</v>
      </c>
      <c r="D18" s="25">
        <v>0</v>
      </c>
      <c r="E18" s="26">
        <v>0.02</v>
      </c>
      <c r="F18" s="26">
        <v>0</v>
      </c>
      <c r="G18" s="25">
        <v>300</v>
      </c>
      <c r="H18" s="27">
        <v>4034.4</v>
      </c>
    </row>
    <row r="19" spans="1:9" ht="14.45" x14ac:dyDescent="0.3">
      <c r="A19" s="12">
        <v>41260</v>
      </c>
      <c r="B19" s="25">
        <v>0</v>
      </c>
      <c r="C19" s="25">
        <v>25</v>
      </c>
      <c r="D19" s="25">
        <v>0</v>
      </c>
      <c r="E19" s="26">
        <v>0.13</v>
      </c>
      <c r="F19" s="26">
        <v>0</v>
      </c>
      <c r="G19" s="25">
        <v>300</v>
      </c>
      <c r="H19" s="27">
        <v>4034.39</v>
      </c>
    </row>
    <row r="20" spans="1:9" ht="14.45" x14ac:dyDescent="0.3">
      <c r="A20" s="12">
        <v>41261</v>
      </c>
      <c r="B20" s="25">
        <v>0</v>
      </c>
      <c r="C20" s="25">
        <v>25</v>
      </c>
      <c r="D20" s="25">
        <v>0</v>
      </c>
      <c r="E20" s="26">
        <v>0</v>
      </c>
      <c r="F20" s="26">
        <v>0</v>
      </c>
      <c r="G20" s="25">
        <v>300</v>
      </c>
      <c r="H20" s="27">
        <v>4034.38</v>
      </c>
    </row>
    <row r="21" spans="1:9" ht="14.45" x14ac:dyDescent="0.3">
      <c r="A21" s="12">
        <v>41262</v>
      </c>
      <c r="B21" s="25">
        <v>0</v>
      </c>
      <c r="C21" s="25">
        <v>22</v>
      </c>
      <c r="D21" s="25">
        <v>0</v>
      </c>
      <c r="E21" s="26">
        <v>0</v>
      </c>
      <c r="F21" s="26">
        <v>0</v>
      </c>
      <c r="G21" s="25">
        <v>300</v>
      </c>
      <c r="H21" s="27">
        <v>4034.37</v>
      </c>
    </row>
    <row r="22" spans="1:9" ht="14.45" x14ac:dyDescent="0.3">
      <c r="A22" s="12">
        <v>41263</v>
      </c>
      <c r="B22" s="25">
        <v>0</v>
      </c>
      <c r="C22" s="25">
        <v>20</v>
      </c>
      <c r="D22" s="25">
        <v>0</v>
      </c>
      <c r="E22" s="26">
        <v>0</v>
      </c>
      <c r="F22" s="26">
        <v>0</v>
      </c>
      <c r="G22" s="25">
        <v>300</v>
      </c>
      <c r="H22" s="27">
        <v>4034.36</v>
      </c>
    </row>
    <row r="23" spans="1:9" ht="14.45" x14ac:dyDescent="0.3">
      <c r="A23" s="12">
        <v>41264</v>
      </c>
      <c r="B23" s="25">
        <v>0</v>
      </c>
      <c r="C23" s="25">
        <v>20</v>
      </c>
      <c r="D23" s="25">
        <v>0</v>
      </c>
      <c r="E23" s="26" t="s">
        <v>34</v>
      </c>
      <c r="F23" s="26" t="s">
        <v>34</v>
      </c>
      <c r="G23" s="25">
        <v>188</v>
      </c>
      <c r="H23" s="27">
        <v>4034.35</v>
      </c>
      <c r="I23" t="s">
        <v>48</v>
      </c>
    </row>
    <row r="24" spans="1:9" ht="14.45" x14ac:dyDescent="0.3">
      <c r="A24" s="12">
        <v>41265</v>
      </c>
      <c r="B24" s="25">
        <v>0</v>
      </c>
      <c r="C24" s="25">
        <v>20</v>
      </c>
      <c r="D24" s="25">
        <v>0</v>
      </c>
      <c r="E24" s="26">
        <v>0.13</v>
      </c>
      <c r="F24" s="26" t="s">
        <v>49</v>
      </c>
      <c r="G24" s="25">
        <v>0</v>
      </c>
      <c r="H24" s="27">
        <v>4034.34</v>
      </c>
    </row>
    <row r="25" spans="1:9" ht="14.45" x14ac:dyDescent="0.3">
      <c r="A25" s="12">
        <v>41266</v>
      </c>
      <c r="B25" s="25">
        <v>0</v>
      </c>
      <c r="C25" s="25">
        <v>20</v>
      </c>
      <c r="D25" s="25">
        <v>0</v>
      </c>
      <c r="E25" s="26" t="s">
        <v>34</v>
      </c>
      <c r="F25" s="26" t="s">
        <v>34</v>
      </c>
      <c r="G25" s="25">
        <v>0</v>
      </c>
      <c r="H25" s="27">
        <v>4034.34</v>
      </c>
    </row>
    <row r="26" spans="1:9" ht="14.45" x14ac:dyDescent="0.3">
      <c r="A26" s="12">
        <v>41267</v>
      </c>
      <c r="B26" s="25">
        <v>0</v>
      </c>
      <c r="C26" s="25">
        <v>20</v>
      </c>
      <c r="D26" s="25">
        <v>0</v>
      </c>
      <c r="E26" s="26" t="s">
        <v>34</v>
      </c>
      <c r="F26" s="26">
        <v>0</v>
      </c>
      <c r="G26" s="25">
        <v>0</v>
      </c>
      <c r="H26" s="27">
        <v>4034.34</v>
      </c>
    </row>
    <row r="27" spans="1:9" ht="14.45" x14ac:dyDescent="0.3">
      <c r="A27" s="12">
        <v>41268</v>
      </c>
      <c r="B27" s="25">
        <v>0</v>
      </c>
      <c r="C27" s="25">
        <v>20</v>
      </c>
      <c r="D27" s="25">
        <v>0</v>
      </c>
      <c r="E27" s="26" t="s">
        <v>34</v>
      </c>
      <c r="F27" s="26">
        <v>0</v>
      </c>
      <c r="G27" s="25">
        <v>0</v>
      </c>
      <c r="H27" s="27">
        <v>4034.35</v>
      </c>
    </row>
    <row r="28" spans="1:9" ht="14.45" x14ac:dyDescent="0.3">
      <c r="A28" s="12">
        <v>41269</v>
      </c>
      <c r="B28" s="25">
        <v>0</v>
      </c>
      <c r="C28" s="25">
        <v>20</v>
      </c>
      <c r="D28" s="25">
        <v>0</v>
      </c>
      <c r="E28" s="26">
        <v>0.09</v>
      </c>
      <c r="F28" s="26" t="s">
        <v>50</v>
      </c>
      <c r="G28" s="25">
        <v>0</v>
      </c>
      <c r="H28" s="27">
        <v>4034.35</v>
      </c>
    </row>
    <row r="29" spans="1:9" ht="14.45" x14ac:dyDescent="0.3">
      <c r="A29" s="12">
        <v>41270</v>
      </c>
      <c r="B29" s="25">
        <v>0</v>
      </c>
      <c r="C29" s="25">
        <v>27</v>
      </c>
      <c r="D29" s="25">
        <v>0</v>
      </c>
      <c r="E29" s="26" t="s">
        <v>34</v>
      </c>
      <c r="F29" s="26">
        <v>0</v>
      </c>
      <c r="G29" s="25">
        <v>0</v>
      </c>
      <c r="H29" s="27">
        <v>4034.36</v>
      </c>
    </row>
    <row r="30" spans="1:9" ht="14.45" x14ac:dyDescent="0.3">
      <c r="A30" s="12">
        <v>41271</v>
      </c>
      <c r="B30" s="25">
        <v>0</v>
      </c>
      <c r="C30" s="25">
        <v>30</v>
      </c>
      <c r="D30" s="25">
        <v>0</v>
      </c>
      <c r="E30" s="26">
        <v>0.02</v>
      </c>
      <c r="F30" s="26" t="s">
        <v>51</v>
      </c>
      <c r="G30" s="25">
        <v>0</v>
      </c>
      <c r="H30" s="27">
        <v>4034.37</v>
      </c>
    </row>
    <row r="31" spans="1:9" ht="14.45" x14ac:dyDescent="0.3">
      <c r="A31" s="12">
        <v>41272</v>
      </c>
      <c r="B31" s="25">
        <v>0</v>
      </c>
      <c r="C31" s="25">
        <v>30</v>
      </c>
      <c r="D31" s="25">
        <v>0</v>
      </c>
      <c r="E31" s="26">
        <v>0.05</v>
      </c>
      <c r="F31" s="26" t="s">
        <v>52</v>
      </c>
      <c r="G31" s="25">
        <v>0</v>
      </c>
      <c r="H31" s="27">
        <v>4034.38</v>
      </c>
    </row>
    <row r="32" spans="1:9" ht="14.45" x14ac:dyDescent="0.3">
      <c r="A32" s="12">
        <v>41273</v>
      </c>
      <c r="B32" s="25">
        <v>0</v>
      </c>
      <c r="C32" s="25">
        <v>30</v>
      </c>
      <c r="D32" s="25">
        <v>0</v>
      </c>
      <c r="E32" s="26">
        <v>0</v>
      </c>
      <c r="F32" s="26">
        <v>0</v>
      </c>
      <c r="G32" s="25">
        <v>0</v>
      </c>
      <c r="H32" s="27">
        <v>4034.39</v>
      </c>
    </row>
    <row r="33" spans="1:15" thickBot="1" x14ac:dyDescent="0.35">
      <c r="A33" s="12">
        <v>41274</v>
      </c>
      <c r="B33" s="88">
        <v>0</v>
      </c>
      <c r="C33" s="25">
        <v>25</v>
      </c>
      <c r="D33" s="25">
        <v>0</v>
      </c>
      <c r="E33" s="89">
        <v>0</v>
      </c>
      <c r="F33" s="26">
        <v>0</v>
      </c>
      <c r="G33" s="25">
        <v>0</v>
      </c>
      <c r="H33" s="27">
        <v>4034.39</v>
      </c>
    </row>
    <row r="34" spans="1:15" s="11" customFormat="1" thickTop="1" x14ac:dyDescent="0.3">
      <c r="A34" s="16" t="s">
        <v>8</v>
      </c>
      <c r="B34" s="17">
        <f t="shared" ref="B34:G34" si="0">SUM(B3:B33)</f>
        <v>0</v>
      </c>
      <c r="C34" s="17">
        <f t="shared" si="0"/>
        <v>936</v>
      </c>
      <c r="D34" s="17">
        <f t="shared" si="0"/>
        <v>0</v>
      </c>
      <c r="E34" s="18">
        <f t="shared" si="0"/>
        <v>1.3000000000000003</v>
      </c>
      <c r="F34" s="18">
        <f t="shared" si="0"/>
        <v>0.1</v>
      </c>
      <c r="G34" s="17">
        <f t="shared" si="0"/>
        <v>5955</v>
      </c>
      <c r="H34" s="18"/>
    </row>
    <row r="35" spans="1:15" s="11" customFormat="1" ht="14.45" x14ac:dyDescent="0.3">
      <c r="A35" s="19" t="s">
        <v>9</v>
      </c>
      <c r="B35" s="20">
        <f>SUM(B34+'Nov 2012'!B34)</f>
        <v>2409</v>
      </c>
      <c r="C35" s="20">
        <f>SUM(C34+'Nov 2012'!C34)</f>
        <v>2146</v>
      </c>
      <c r="D35" s="20">
        <f>SUM(D34+'Nov 2012'!D34)</f>
        <v>6025</v>
      </c>
      <c r="E35" s="21">
        <f>SUM(E34+'Nov 2012'!E34)</f>
        <v>3.5700000000000003</v>
      </c>
      <c r="F35" s="21">
        <f>SUM(F34+'Nov 2012'!F34)</f>
        <v>1.85</v>
      </c>
      <c r="G35" s="20">
        <f>SUM(G34+'Nov 2012'!G34)</f>
        <v>18368</v>
      </c>
      <c r="H35" s="21"/>
    </row>
    <row r="37" spans="1:15" ht="14.45" x14ac:dyDescent="0.3">
      <c r="A37" t="s">
        <v>10</v>
      </c>
      <c r="B37" s="23">
        <f>SUM(B3:B33)*1.9835</f>
        <v>0</v>
      </c>
      <c r="C37" s="23">
        <f>SUM(C3:C33)*1.9835</f>
        <v>1856.556</v>
      </c>
      <c r="D37" s="23">
        <f>SUM(D3:D33)*1.9835</f>
        <v>0</v>
      </c>
      <c r="E37" s="23"/>
      <c r="F37" s="23"/>
      <c r="G37" s="23"/>
      <c r="I37" s="22"/>
    </row>
    <row r="39" spans="1:15" ht="14.45" x14ac:dyDescent="0.3">
      <c r="A39" t="s">
        <v>24</v>
      </c>
      <c r="B39" s="23">
        <f>SUM('Nov 2012'!B38+B37)</f>
        <v>4778.2515000000003</v>
      </c>
      <c r="C39" s="23">
        <f>SUM('Nov 2012'!C38+C37)</f>
        <v>4256.5910000000003</v>
      </c>
      <c r="D39" s="23">
        <f>SUM('Nov 2012'!D38+D37)</f>
        <v>11950.5875</v>
      </c>
      <c r="E39" s="23"/>
      <c r="F39" s="23"/>
      <c r="G39" s="23"/>
      <c r="I39" s="22"/>
    </row>
    <row r="40" spans="1:15" ht="14.45" x14ac:dyDescent="0.3">
      <c r="B40" s="23"/>
      <c r="C40" s="23"/>
      <c r="D40" s="24"/>
      <c r="E40" s="23"/>
      <c r="F40" s="23"/>
      <c r="G40" s="23"/>
      <c r="I40" s="22"/>
    </row>
    <row r="41" spans="1:15" ht="17.45" customHeight="1" x14ac:dyDescent="0.25">
      <c r="A41" s="118"/>
      <c r="B41" s="118"/>
      <c r="C41" s="118"/>
      <c r="D41" s="118"/>
      <c r="E41" s="118"/>
      <c r="F41" s="119"/>
      <c r="G41" s="120" t="s">
        <v>12</v>
      </c>
      <c r="H41" s="121"/>
      <c r="I41" s="30"/>
      <c r="J41" s="30"/>
      <c r="K41" s="30"/>
      <c r="L41" s="30"/>
      <c r="M41" s="30"/>
      <c r="N41" s="31"/>
      <c r="O41" s="30"/>
    </row>
    <row r="42" spans="1:15" ht="16.899999999999999" customHeight="1" x14ac:dyDescent="0.25">
      <c r="A42" s="29"/>
      <c r="B42" s="29"/>
      <c r="C42" s="29"/>
      <c r="D42" s="29"/>
      <c r="E42" s="29"/>
      <c r="F42" s="29"/>
      <c r="G42" s="120"/>
      <c r="H42" s="121"/>
      <c r="I42" s="30"/>
      <c r="J42" s="30"/>
      <c r="K42" s="30"/>
      <c r="L42" s="30"/>
      <c r="M42" s="30"/>
      <c r="N42" s="31"/>
      <c r="O42" s="30"/>
    </row>
    <row r="43" spans="1:15" ht="13.9" customHeight="1" x14ac:dyDescent="0.3">
      <c r="A43" s="123" t="s">
        <v>23</v>
      </c>
      <c r="B43" s="123"/>
      <c r="C43" s="123"/>
      <c r="D43" s="123"/>
      <c r="E43" s="123"/>
      <c r="F43" s="123"/>
      <c r="G43" s="123"/>
      <c r="H43" s="123"/>
      <c r="I43" s="123"/>
      <c r="J43" s="123"/>
      <c r="K43" s="32"/>
      <c r="L43" s="32"/>
      <c r="M43" s="32"/>
      <c r="N43" s="33"/>
      <c r="O43" s="34"/>
    </row>
    <row r="44" spans="1:15" ht="15.6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 ht="14.4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ht="14.4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ht="14.4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ht="14.45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ht="14.45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4"/>
      <c r="N49" s="33"/>
    </row>
    <row r="50" spans="1:15" ht="13.15" customHeight="1" x14ac:dyDescent="0.3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4"/>
      <c r="N50" s="33"/>
      <c r="O50" s="34"/>
    </row>
    <row r="51" spans="1:15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4"/>
      <c r="N51" s="33"/>
      <c r="O51" s="34"/>
    </row>
    <row r="52" spans="1:15" ht="26.45" x14ac:dyDescent="0.3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</row>
    <row r="53" spans="1:15" ht="15.6" x14ac:dyDescent="0.35">
      <c r="A53" s="58"/>
      <c r="B53" s="59"/>
      <c r="C53" s="60"/>
      <c r="D53" s="61"/>
      <c r="E53" s="62"/>
      <c r="F53" s="63"/>
      <c r="G53" s="64"/>
      <c r="H53" s="65"/>
      <c r="I53" s="66"/>
      <c r="J53" s="66"/>
    </row>
    <row r="54" spans="1:15" x14ac:dyDescent="0.25">
      <c r="A54" s="67"/>
      <c r="B54" s="68"/>
      <c r="C54" s="69"/>
      <c r="D54" s="61"/>
      <c r="E54" s="70"/>
      <c r="F54" s="71"/>
      <c r="G54" s="64"/>
      <c r="H54" s="65"/>
    </row>
    <row r="55" spans="1:15" x14ac:dyDescent="0.25">
      <c r="A55" s="67"/>
      <c r="B55" s="68"/>
      <c r="C55" s="69"/>
      <c r="D55" s="61"/>
      <c r="E55" s="72"/>
      <c r="F55" s="71"/>
      <c r="G55" s="64"/>
      <c r="H55" s="65"/>
    </row>
    <row r="56" spans="1:15" x14ac:dyDescent="0.25">
      <c r="A56" s="67"/>
      <c r="B56" s="68"/>
      <c r="C56" s="69"/>
      <c r="D56" s="61"/>
      <c r="E56" s="72"/>
      <c r="F56" s="71"/>
      <c r="G56" s="64"/>
      <c r="H56" s="65"/>
    </row>
    <row r="57" spans="1:15" ht="15.75" thickBot="1" x14ac:dyDescent="0.3">
      <c r="A57" s="73"/>
      <c r="B57" s="74"/>
      <c r="C57" s="75"/>
      <c r="D57" s="76"/>
      <c r="E57" s="75"/>
      <c r="F57" s="77"/>
      <c r="G57" s="64"/>
      <c r="H57" s="65"/>
      <c r="I57" s="78"/>
      <c r="J57" s="78"/>
    </row>
    <row r="58" spans="1:15" s="84" customFormat="1" ht="30" customHeight="1" x14ac:dyDescent="0.25">
      <c r="A58" s="124" t="s">
        <v>21</v>
      </c>
      <c r="B58" s="125"/>
      <c r="C58" s="126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7"/>
  <sheetViews>
    <sheetView topLeftCell="A13" workbookViewId="0">
      <selection activeCell="B36" sqref="B36"/>
    </sheetView>
  </sheetViews>
  <sheetFormatPr defaultRowHeight="15" x14ac:dyDescent="0.25"/>
  <cols>
    <col min="1" max="1" width="13.5703125" style="2" bestFit="1" customWidth="1"/>
    <col min="2" max="4" width="11.7109375" style="6" customWidth="1"/>
    <col min="5" max="6" width="11.7109375" customWidth="1"/>
    <col min="7" max="7" width="11.7109375" style="6" customWidth="1"/>
    <col min="8" max="8" width="11.7109375" customWidth="1"/>
    <col min="9" max="9" width="29" bestFit="1" customWidth="1"/>
  </cols>
  <sheetData>
    <row r="1" spans="1:9" s="1" customFormat="1" ht="28.9" x14ac:dyDescent="0.3">
      <c r="A1" s="87" t="s">
        <v>0</v>
      </c>
      <c r="B1" s="5" t="s">
        <v>5</v>
      </c>
      <c r="C1" s="5" t="s">
        <v>1</v>
      </c>
      <c r="D1" s="5" t="s">
        <v>2</v>
      </c>
      <c r="E1" s="7" t="s">
        <v>6</v>
      </c>
      <c r="F1" s="7" t="s">
        <v>7</v>
      </c>
      <c r="G1" s="5" t="s">
        <v>3</v>
      </c>
      <c r="H1" s="3" t="s">
        <v>4</v>
      </c>
      <c r="I1" s="3" t="s">
        <v>11</v>
      </c>
    </row>
    <row r="2" spans="1:9" s="1" customFormat="1" ht="14.45" x14ac:dyDescent="0.3">
      <c r="A2" s="86"/>
      <c r="B2" s="5" t="s">
        <v>25</v>
      </c>
      <c r="C2" s="5" t="s">
        <v>25</v>
      </c>
      <c r="D2" s="5" t="s">
        <v>25</v>
      </c>
      <c r="E2" s="7"/>
      <c r="F2" s="7"/>
      <c r="G2" s="5" t="s">
        <v>26</v>
      </c>
      <c r="H2" s="3"/>
      <c r="I2" s="85"/>
    </row>
    <row r="3" spans="1:9" ht="14.45" x14ac:dyDescent="0.3">
      <c r="A3" s="12">
        <v>41214</v>
      </c>
      <c r="B3" s="90">
        <v>150</v>
      </c>
      <c r="C3" s="90">
        <v>0</v>
      </c>
      <c r="D3" s="90">
        <v>158</v>
      </c>
      <c r="E3" s="26">
        <v>0.05</v>
      </c>
      <c r="F3" s="26">
        <v>0</v>
      </c>
      <c r="G3" s="90">
        <v>300</v>
      </c>
      <c r="H3" s="26">
        <v>4034.52</v>
      </c>
    </row>
    <row r="4" spans="1:9" ht="14.45" x14ac:dyDescent="0.3">
      <c r="A4" s="12">
        <v>41215</v>
      </c>
      <c r="B4" s="90">
        <v>150</v>
      </c>
      <c r="C4" s="90">
        <v>0</v>
      </c>
      <c r="D4" s="90">
        <v>192</v>
      </c>
      <c r="E4" s="26">
        <v>0.01</v>
      </c>
      <c r="F4" s="26">
        <v>0</v>
      </c>
      <c r="G4" s="90">
        <v>300</v>
      </c>
      <c r="H4" s="26">
        <v>4034.5</v>
      </c>
    </row>
    <row r="5" spans="1:9" ht="14.45" x14ac:dyDescent="0.3">
      <c r="A5" s="12">
        <v>41216</v>
      </c>
      <c r="B5" s="90">
        <v>150</v>
      </c>
      <c r="C5" s="90">
        <v>0</v>
      </c>
      <c r="D5" s="90">
        <v>214</v>
      </c>
      <c r="E5" s="26">
        <v>0.02</v>
      </c>
      <c r="F5" s="26">
        <v>0</v>
      </c>
      <c r="G5" s="90">
        <v>300</v>
      </c>
      <c r="H5" s="26">
        <v>4034.48</v>
      </c>
    </row>
    <row r="6" spans="1:9" ht="14.45" x14ac:dyDescent="0.3">
      <c r="A6" s="12">
        <v>41217</v>
      </c>
      <c r="B6" s="90">
        <v>150</v>
      </c>
      <c r="C6" s="90">
        <v>0</v>
      </c>
      <c r="D6" s="90">
        <v>194</v>
      </c>
      <c r="E6" s="26">
        <v>0</v>
      </c>
      <c r="F6" s="26">
        <v>0</v>
      </c>
      <c r="G6" s="90">
        <v>300</v>
      </c>
      <c r="H6" s="26">
        <v>4034.47</v>
      </c>
    </row>
    <row r="7" spans="1:9" ht="14.45" x14ac:dyDescent="0.3">
      <c r="A7" s="12">
        <v>41218</v>
      </c>
      <c r="B7" s="90">
        <v>150</v>
      </c>
      <c r="C7" s="90">
        <v>0</v>
      </c>
      <c r="D7" s="90">
        <v>151</v>
      </c>
      <c r="E7" s="26">
        <v>0</v>
      </c>
      <c r="F7" s="26">
        <v>0</v>
      </c>
      <c r="G7" s="90">
        <v>300</v>
      </c>
      <c r="H7" s="26">
        <v>4034.46</v>
      </c>
    </row>
    <row r="8" spans="1:9" ht="14.45" x14ac:dyDescent="0.3">
      <c r="A8" s="12">
        <v>41219</v>
      </c>
      <c r="B8" s="90">
        <v>150</v>
      </c>
      <c r="C8" s="90">
        <v>0</v>
      </c>
      <c r="D8" s="90">
        <v>139</v>
      </c>
      <c r="E8" s="26">
        <v>0.01</v>
      </c>
      <c r="F8" s="26">
        <v>0</v>
      </c>
      <c r="G8" s="90">
        <v>300</v>
      </c>
      <c r="H8" s="26">
        <v>4034.44</v>
      </c>
    </row>
    <row r="9" spans="1:9" ht="14.45" x14ac:dyDescent="0.3">
      <c r="A9" s="12">
        <v>41220</v>
      </c>
      <c r="B9" s="90">
        <v>115</v>
      </c>
      <c r="C9" s="90">
        <v>0</v>
      </c>
      <c r="D9" s="90">
        <v>147</v>
      </c>
      <c r="E9" s="26">
        <v>0</v>
      </c>
      <c r="F9" s="26">
        <v>0</v>
      </c>
      <c r="G9" s="90">
        <v>300</v>
      </c>
      <c r="H9" s="26">
        <v>4034.42</v>
      </c>
      <c r="I9" t="s">
        <v>38</v>
      </c>
    </row>
    <row r="10" spans="1:9" ht="14.45" x14ac:dyDescent="0.3">
      <c r="A10" s="12">
        <v>41221</v>
      </c>
      <c r="B10" s="90">
        <v>77</v>
      </c>
      <c r="C10" s="90">
        <v>0</v>
      </c>
      <c r="D10" s="90">
        <v>138</v>
      </c>
      <c r="E10" s="26">
        <v>0</v>
      </c>
      <c r="F10" s="26">
        <v>0</v>
      </c>
      <c r="G10" s="90">
        <v>300</v>
      </c>
      <c r="H10" s="26">
        <v>4034.4</v>
      </c>
      <c r="I10" t="s">
        <v>39</v>
      </c>
    </row>
    <row r="11" spans="1:9" ht="14.45" x14ac:dyDescent="0.3">
      <c r="A11" s="12">
        <v>41222</v>
      </c>
      <c r="B11" s="90">
        <v>42</v>
      </c>
      <c r="C11" s="90">
        <v>0</v>
      </c>
      <c r="D11" s="90">
        <v>98</v>
      </c>
      <c r="E11" s="26">
        <v>0.12</v>
      </c>
      <c r="F11" s="26">
        <v>1</v>
      </c>
      <c r="G11" s="90">
        <v>300</v>
      </c>
      <c r="H11" s="26">
        <v>4034.38</v>
      </c>
      <c r="I11" t="s">
        <v>40</v>
      </c>
    </row>
    <row r="12" spans="1:9" ht="14.45" x14ac:dyDescent="0.3">
      <c r="A12" s="12">
        <v>41223</v>
      </c>
      <c r="B12" s="90">
        <v>25</v>
      </c>
      <c r="C12" s="90">
        <v>0</v>
      </c>
      <c r="D12" s="90">
        <v>87</v>
      </c>
      <c r="E12" s="26">
        <v>0.04</v>
      </c>
      <c r="F12" s="26">
        <v>0</v>
      </c>
      <c r="G12" s="90">
        <v>300</v>
      </c>
      <c r="H12" s="26">
        <v>4034.36</v>
      </c>
    </row>
    <row r="13" spans="1:9" ht="14.45" x14ac:dyDescent="0.3">
      <c r="A13" s="12">
        <v>41224</v>
      </c>
      <c r="B13" s="90">
        <v>25</v>
      </c>
      <c r="C13" s="90">
        <v>0</v>
      </c>
      <c r="D13" s="90">
        <v>71</v>
      </c>
      <c r="E13" s="26">
        <v>0</v>
      </c>
      <c r="F13" s="26">
        <v>0</v>
      </c>
      <c r="G13" s="90">
        <v>300</v>
      </c>
      <c r="H13" s="26">
        <v>4034.34</v>
      </c>
    </row>
    <row r="14" spans="1:9" ht="14.45" x14ac:dyDescent="0.3">
      <c r="A14" s="12">
        <v>41225</v>
      </c>
      <c r="B14" s="90">
        <v>18</v>
      </c>
      <c r="C14" s="90">
        <v>0</v>
      </c>
      <c r="D14" s="90">
        <v>59</v>
      </c>
      <c r="E14" s="26">
        <v>0.06</v>
      </c>
      <c r="F14" s="26">
        <v>0</v>
      </c>
      <c r="G14" s="90">
        <v>300</v>
      </c>
      <c r="H14" s="26">
        <v>4034.32</v>
      </c>
      <c r="I14" t="s">
        <v>41</v>
      </c>
    </row>
    <row r="15" spans="1:9" ht="14.45" x14ac:dyDescent="0.3">
      <c r="A15" s="12">
        <v>41226</v>
      </c>
      <c r="B15" s="90">
        <v>0</v>
      </c>
      <c r="C15" s="90">
        <v>0</v>
      </c>
      <c r="D15" s="90">
        <v>36</v>
      </c>
      <c r="E15" s="26">
        <v>0.01</v>
      </c>
      <c r="F15" s="26">
        <v>0</v>
      </c>
      <c r="G15" s="90">
        <v>114</v>
      </c>
      <c r="H15" s="26">
        <v>4034.3</v>
      </c>
      <c r="I15" t="s">
        <v>42</v>
      </c>
    </row>
    <row r="16" spans="1:9" ht="14.45" x14ac:dyDescent="0.3">
      <c r="A16" s="12">
        <v>41227</v>
      </c>
      <c r="B16" s="90">
        <v>0</v>
      </c>
      <c r="C16" s="90">
        <v>0</v>
      </c>
      <c r="D16" s="90">
        <v>13</v>
      </c>
      <c r="E16" s="26">
        <v>0.02</v>
      </c>
      <c r="F16" s="26">
        <v>0</v>
      </c>
      <c r="G16" s="90">
        <v>0</v>
      </c>
      <c r="H16" s="26">
        <v>4034.31</v>
      </c>
      <c r="I16" t="s">
        <v>43</v>
      </c>
    </row>
    <row r="17" spans="1:9" ht="14.45" x14ac:dyDescent="0.3">
      <c r="A17" s="12">
        <v>41228</v>
      </c>
      <c r="B17" s="90">
        <v>0</v>
      </c>
      <c r="C17" s="90">
        <v>0</v>
      </c>
      <c r="D17" s="90">
        <v>0</v>
      </c>
      <c r="E17" s="26">
        <v>0.01</v>
      </c>
      <c r="F17" s="26">
        <v>0</v>
      </c>
      <c r="G17" s="90">
        <v>0</v>
      </c>
      <c r="H17" s="26">
        <v>4034.32</v>
      </c>
    </row>
    <row r="18" spans="1:9" ht="14.45" x14ac:dyDescent="0.3">
      <c r="A18" s="12">
        <v>41229</v>
      </c>
      <c r="B18" s="90">
        <v>0</v>
      </c>
      <c r="C18" s="90">
        <v>0</v>
      </c>
      <c r="D18" s="90">
        <v>0</v>
      </c>
      <c r="E18" s="26" t="s">
        <v>34</v>
      </c>
      <c r="F18" s="26">
        <v>0</v>
      </c>
      <c r="G18" s="90">
        <v>0</v>
      </c>
      <c r="H18" s="26">
        <v>4034.33</v>
      </c>
    </row>
    <row r="19" spans="1:9" ht="14.45" x14ac:dyDescent="0.3">
      <c r="A19" s="12">
        <v>41230</v>
      </c>
      <c r="B19" s="90">
        <v>0</v>
      </c>
      <c r="C19" s="90">
        <v>0</v>
      </c>
      <c r="D19" s="90">
        <v>0</v>
      </c>
      <c r="E19" s="26">
        <v>0.15</v>
      </c>
      <c r="F19" s="26">
        <v>0</v>
      </c>
      <c r="G19" s="90">
        <v>0</v>
      </c>
      <c r="H19" s="26">
        <v>4034.34</v>
      </c>
    </row>
    <row r="20" spans="1:9" ht="14.45" x14ac:dyDescent="0.3">
      <c r="A20" s="12">
        <v>41231</v>
      </c>
      <c r="B20" s="90">
        <v>0</v>
      </c>
      <c r="C20" s="90">
        <v>0</v>
      </c>
      <c r="D20" s="90">
        <v>0</v>
      </c>
      <c r="E20" s="26">
        <v>0.23</v>
      </c>
      <c r="F20" s="26">
        <v>0</v>
      </c>
      <c r="G20" s="90">
        <v>0</v>
      </c>
      <c r="H20" s="26">
        <v>4034.35</v>
      </c>
    </row>
    <row r="21" spans="1:9" ht="14.45" x14ac:dyDescent="0.3">
      <c r="A21" s="12">
        <v>41232</v>
      </c>
      <c r="B21" s="90">
        <v>0</v>
      </c>
      <c r="C21" s="90">
        <v>12</v>
      </c>
      <c r="D21" s="90">
        <v>0</v>
      </c>
      <c r="E21" s="26">
        <v>0</v>
      </c>
      <c r="F21" s="26">
        <v>0</v>
      </c>
      <c r="G21" s="90">
        <v>0</v>
      </c>
      <c r="H21" s="26">
        <v>4034.36</v>
      </c>
    </row>
    <row r="22" spans="1:9" ht="14.45" x14ac:dyDescent="0.3">
      <c r="A22" s="12">
        <v>41233</v>
      </c>
      <c r="B22" s="90">
        <v>0</v>
      </c>
      <c r="C22" s="90">
        <v>20</v>
      </c>
      <c r="D22" s="90">
        <v>0</v>
      </c>
      <c r="E22" s="26">
        <v>0.02</v>
      </c>
      <c r="F22" s="26">
        <v>0</v>
      </c>
      <c r="G22" s="90">
        <v>0</v>
      </c>
      <c r="H22" s="26">
        <v>4034.38</v>
      </c>
    </row>
    <row r="23" spans="1:9" ht="14.45" x14ac:dyDescent="0.3">
      <c r="A23" s="12">
        <v>41234</v>
      </c>
      <c r="B23" s="90">
        <v>0</v>
      </c>
      <c r="C23" s="90">
        <v>20</v>
      </c>
      <c r="D23" s="90">
        <v>0</v>
      </c>
      <c r="E23" s="26">
        <v>0.12</v>
      </c>
      <c r="F23" s="26">
        <v>0</v>
      </c>
      <c r="G23" s="90">
        <v>0</v>
      </c>
      <c r="H23" s="26" t="s">
        <v>44</v>
      </c>
    </row>
    <row r="24" spans="1:9" ht="14.45" x14ac:dyDescent="0.3">
      <c r="A24" s="12">
        <v>41235</v>
      </c>
      <c r="B24" s="90">
        <v>0</v>
      </c>
      <c r="C24" s="90">
        <v>20</v>
      </c>
      <c r="D24" s="90">
        <v>0</v>
      </c>
      <c r="E24" s="26">
        <v>0</v>
      </c>
      <c r="F24" s="26">
        <v>0</v>
      </c>
      <c r="G24" s="90">
        <v>0</v>
      </c>
      <c r="H24" s="26">
        <v>4034.42</v>
      </c>
    </row>
    <row r="25" spans="1:9" ht="14.45" x14ac:dyDescent="0.3">
      <c r="A25" s="12">
        <v>41236</v>
      </c>
      <c r="B25" s="90">
        <v>0</v>
      </c>
      <c r="C25" s="90">
        <v>20</v>
      </c>
      <c r="D25" s="90">
        <v>0</v>
      </c>
      <c r="E25" s="26">
        <v>0</v>
      </c>
      <c r="F25" s="26">
        <v>0</v>
      </c>
      <c r="G25" s="90">
        <v>0</v>
      </c>
      <c r="H25" s="26">
        <v>4034.44</v>
      </c>
    </row>
    <row r="26" spans="1:9" ht="14.45" x14ac:dyDescent="0.3">
      <c r="A26" s="12">
        <v>41237</v>
      </c>
      <c r="B26" s="90">
        <v>0</v>
      </c>
      <c r="C26" s="90">
        <v>20</v>
      </c>
      <c r="D26" s="90">
        <v>0</v>
      </c>
      <c r="E26" s="26">
        <v>0.02</v>
      </c>
      <c r="F26" s="26">
        <v>0</v>
      </c>
      <c r="G26" s="90">
        <v>0</v>
      </c>
      <c r="H26" s="26">
        <v>4034.46</v>
      </c>
    </row>
    <row r="27" spans="1:9" ht="14.45" x14ac:dyDescent="0.3">
      <c r="A27" s="12">
        <v>41238</v>
      </c>
      <c r="B27" s="90">
        <v>0</v>
      </c>
      <c r="C27" s="90">
        <v>20</v>
      </c>
      <c r="D27" s="90">
        <v>0</v>
      </c>
      <c r="E27" s="26">
        <v>0</v>
      </c>
      <c r="F27" s="26">
        <v>0</v>
      </c>
      <c r="G27" s="90">
        <v>0</v>
      </c>
      <c r="H27" s="26">
        <v>4034.48</v>
      </c>
    </row>
    <row r="28" spans="1:9" ht="14.45" x14ac:dyDescent="0.3">
      <c r="A28" s="12">
        <v>41239</v>
      </c>
      <c r="B28" s="90">
        <v>0</v>
      </c>
      <c r="C28" s="90">
        <v>20</v>
      </c>
      <c r="D28" s="90">
        <v>0</v>
      </c>
      <c r="E28" s="26">
        <v>0</v>
      </c>
      <c r="F28" s="26">
        <v>0</v>
      </c>
      <c r="G28" s="90">
        <v>0</v>
      </c>
      <c r="H28" s="26">
        <v>4034.5</v>
      </c>
    </row>
    <row r="29" spans="1:9" ht="14.45" x14ac:dyDescent="0.3">
      <c r="A29" s="12">
        <v>41240</v>
      </c>
      <c r="B29" s="90">
        <v>0</v>
      </c>
      <c r="C29" s="90">
        <v>20</v>
      </c>
      <c r="D29" s="90">
        <v>0</v>
      </c>
      <c r="E29" s="26">
        <v>0</v>
      </c>
      <c r="F29" s="26">
        <v>0</v>
      </c>
      <c r="G29" s="90">
        <v>0</v>
      </c>
      <c r="H29" s="26">
        <v>4034.52</v>
      </c>
    </row>
    <row r="30" spans="1:9" ht="14.45" x14ac:dyDescent="0.3">
      <c r="A30" s="12">
        <v>41241</v>
      </c>
      <c r="B30" s="90">
        <v>0</v>
      </c>
      <c r="C30" s="90">
        <v>20</v>
      </c>
      <c r="D30" s="90">
        <v>0</v>
      </c>
      <c r="E30" s="26">
        <v>0</v>
      </c>
      <c r="F30" s="26">
        <v>0</v>
      </c>
      <c r="G30" s="90">
        <v>194</v>
      </c>
      <c r="H30" s="26">
        <v>4034.54</v>
      </c>
      <c r="I30" t="s">
        <v>45</v>
      </c>
    </row>
    <row r="31" spans="1:9" ht="14.45" x14ac:dyDescent="0.3">
      <c r="A31" s="12">
        <v>41242</v>
      </c>
      <c r="B31" s="90">
        <v>0</v>
      </c>
      <c r="C31" s="90">
        <v>20</v>
      </c>
      <c r="D31" s="90">
        <v>0</v>
      </c>
      <c r="E31" s="26">
        <v>0.02</v>
      </c>
      <c r="F31" s="26">
        <v>0</v>
      </c>
      <c r="G31" s="90">
        <v>319</v>
      </c>
      <c r="H31" s="26">
        <v>4034.54</v>
      </c>
    </row>
    <row r="32" spans="1:9" thickBot="1" x14ac:dyDescent="0.35">
      <c r="A32" s="12">
        <v>41243</v>
      </c>
      <c r="B32" s="90">
        <v>0</v>
      </c>
      <c r="C32" s="90">
        <v>20</v>
      </c>
      <c r="D32" s="90">
        <v>0</v>
      </c>
      <c r="E32" s="89">
        <v>0.82</v>
      </c>
      <c r="F32" s="89">
        <v>0</v>
      </c>
      <c r="G32" s="91">
        <v>319</v>
      </c>
      <c r="H32" s="26">
        <v>4034.55</v>
      </c>
    </row>
    <row r="33" spans="1:15" s="11" customFormat="1" thickTop="1" x14ac:dyDescent="0.3">
      <c r="A33" s="16" t="s">
        <v>8</v>
      </c>
      <c r="B33" s="17">
        <f t="shared" ref="B33:G33" si="0">SUM(B3:B32)</f>
        <v>1202</v>
      </c>
      <c r="C33" s="17">
        <f t="shared" si="0"/>
        <v>232</v>
      </c>
      <c r="D33" s="17">
        <f t="shared" si="0"/>
        <v>1697</v>
      </c>
      <c r="E33" s="18">
        <f t="shared" si="0"/>
        <v>1.73</v>
      </c>
      <c r="F33" s="18">
        <f t="shared" si="0"/>
        <v>1</v>
      </c>
      <c r="G33" s="17">
        <f t="shared" si="0"/>
        <v>4546</v>
      </c>
      <c r="H33" s="18"/>
      <c r="I33"/>
    </row>
    <row r="34" spans="1:15" s="11" customFormat="1" ht="14.45" x14ac:dyDescent="0.3">
      <c r="A34" s="19" t="s">
        <v>9</v>
      </c>
      <c r="B34" s="20">
        <f>SUM(B33+'Oct 2012'!B35)</f>
        <v>2409</v>
      </c>
      <c r="C34" s="20">
        <f>SUM(C33+'Oct 2012'!C35)</f>
        <v>1210</v>
      </c>
      <c r="D34" s="20">
        <f>SUM(D33+'Oct 2012'!D35)</f>
        <v>6025</v>
      </c>
      <c r="E34" s="21">
        <f>SUM(E33+'Oct 2012'!E35)</f>
        <v>2.27</v>
      </c>
      <c r="F34" s="21">
        <f>SUM(F33+'Oct 2012'!F35)</f>
        <v>1.75</v>
      </c>
      <c r="G34" s="20">
        <f>SUM(G33+'Oct 2012'!G35)</f>
        <v>12413</v>
      </c>
      <c r="H34" s="21"/>
    </row>
    <row r="35" spans="1:15" ht="14.45" x14ac:dyDescent="0.3">
      <c r="I35" s="11"/>
    </row>
    <row r="36" spans="1:15" ht="14.45" x14ac:dyDescent="0.3">
      <c r="A36" t="s">
        <v>10</v>
      </c>
      <c r="B36" s="23">
        <f>SUM(B3:B32)*1.9835</f>
        <v>2384.1669999999999</v>
      </c>
      <c r="C36" s="23">
        <f>SUM(C3:C32)*1.9835</f>
        <v>460.17200000000003</v>
      </c>
      <c r="D36" s="23">
        <f>SUM(D3:D32)*1.9835</f>
        <v>3365.9994999999999</v>
      </c>
      <c r="E36" s="23"/>
      <c r="F36" s="23"/>
      <c r="G36" s="23"/>
      <c r="I36" s="22"/>
    </row>
    <row r="37" spans="1:15" ht="14.45" x14ac:dyDescent="0.3">
      <c r="A37"/>
      <c r="B37"/>
      <c r="C37"/>
      <c r="D37"/>
      <c r="G37"/>
    </row>
    <row r="38" spans="1:15" ht="14.45" x14ac:dyDescent="0.3">
      <c r="A38" t="s">
        <v>24</v>
      </c>
      <c r="B38" s="23">
        <f>SUM('Oct 2012'!B39+B36)</f>
        <v>4778.2515000000003</v>
      </c>
      <c r="C38" s="23">
        <f>SUM('Oct 2012'!C39+C36)</f>
        <v>2400.0349999999999</v>
      </c>
      <c r="D38" s="23">
        <f>SUM('Oct 2012'!D39+D36)</f>
        <v>11950.5875</v>
      </c>
      <c r="E38" s="23"/>
      <c r="F38" s="23"/>
      <c r="G38" s="23"/>
      <c r="I38" s="22"/>
    </row>
    <row r="39" spans="1:15" ht="14.45" x14ac:dyDescent="0.3">
      <c r="A39"/>
      <c r="B39" s="23"/>
      <c r="C39" s="23"/>
      <c r="D39" s="24"/>
      <c r="E39" s="23"/>
      <c r="F39" s="23"/>
      <c r="G39" s="23"/>
      <c r="I39" s="22"/>
    </row>
    <row r="40" spans="1:15" ht="17.45" customHeight="1" x14ac:dyDescent="0.25">
      <c r="A40" s="118"/>
      <c r="B40" s="118"/>
      <c r="C40" s="118"/>
      <c r="D40" s="118"/>
      <c r="E40" s="118"/>
      <c r="F40" s="119"/>
      <c r="G40" s="120" t="s">
        <v>12</v>
      </c>
      <c r="H40" s="121"/>
      <c r="I40" s="30"/>
      <c r="J40" s="30"/>
      <c r="K40" s="30"/>
      <c r="L40" s="30"/>
      <c r="M40" s="30"/>
      <c r="N40" s="31"/>
      <c r="O40" s="30"/>
    </row>
    <row r="41" spans="1:15" ht="16.899999999999999" customHeight="1" x14ac:dyDescent="0.25">
      <c r="A41" s="29"/>
      <c r="B41" s="29"/>
      <c r="C41" s="29"/>
      <c r="D41" s="29"/>
      <c r="E41" s="29"/>
      <c r="F41" s="29"/>
      <c r="G41" s="120"/>
      <c r="H41" s="121"/>
      <c r="I41" s="30"/>
      <c r="J41" s="30"/>
      <c r="K41" s="30"/>
      <c r="L41" s="30"/>
      <c r="M41" s="30"/>
      <c r="N41" s="31"/>
      <c r="O41" s="30"/>
    </row>
    <row r="42" spans="1:15" ht="13.9" customHeight="1" x14ac:dyDescent="0.3">
      <c r="A42" s="123" t="s">
        <v>23</v>
      </c>
      <c r="B42" s="123"/>
      <c r="C42" s="123"/>
      <c r="D42" s="123"/>
      <c r="E42" s="123"/>
      <c r="F42" s="123"/>
      <c r="G42" s="123"/>
      <c r="H42" s="123"/>
      <c r="I42" s="123"/>
      <c r="J42" s="123"/>
      <c r="K42" s="32"/>
      <c r="L42" s="32"/>
      <c r="M42" s="32"/>
      <c r="N42" s="33"/>
      <c r="O42" s="34"/>
    </row>
    <row r="43" spans="1:15" ht="15.6" customHeight="1" x14ac:dyDescent="0.3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4"/>
      <c r="N43" s="33"/>
    </row>
    <row r="44" spans="1:15" ht="14.45" x14ac:dyDescent="0.3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4"/>
      <c r="N44" s="33"/>
    </row>
    <row r="45" spans="1:15" ht="14.4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ht="14.4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ht="14.4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ht="14.45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ht="13.15" customHeight="1" x14ac:dyDescent="0.25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4"/>
      <c r="N49" s="33"/>
      <c r="O49" s="34"/>
    </row>
    <row r="50" spans="1:15" ht="15.75" thickBot="1" x14ac:dyDescent="0.3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26.25" x14ac:dyDescent="0.25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  <c r="J51" s="57"/>
    </row>
    <row r="52" spans="1:15" ht="15.75" x14ac:dyDescent="0.25">
      <c r="A52" s="58"/>
      <c r="B52" s="59"/>
      <c r="C52" s="60"/>
      <c r="D52" s="61"/>
      <c r="E52" s="62"/>
      <c r="F52" s="63"/>
      <c r="G52" s="64"/>
      <c r="H52" s="65"/>
      <c r="I52" s="66"/>
      <c r="J52" s="66"/>
    </row>
    <row r="53" spans="1:15" x14ac:dyDescent="0.25">
      <c r="A53" s="67"/>
      <c r="B53" s="68"/>
      <c r="C53" s="69"/>
      <c r="D53" s="61"/>
      <c r="E53" s="70"/>
      <c r="F53" s="71"/>
      <c r="G53" s="64"/>
      <c r="H53" s="65"/>
    </row>
    <row r="54" spans="1:15" x14ac:dyDescent="0.25">
      <c r="A54" s="67"/>
      <c r="B54" s="68"/>
      <c r="C54" s="69"/>
      <c r="D54" s="61"/>
      <c r="E54" s="72"/>
      <c r="F54" s="71"/>
      <c r="G54" s="64"/>
      <c r="H54" s="65"/>
    </row>
    <row r="55" spans="1:15" x14ac:dyDescent="0.25">
      <c r="A55" s="67"/>
      <c r="B55" s="68"/>
      <c r="C55" s="69"/>
      <c r="D55" s="61"/>
      <c r="E55" s="72"/>
      <c r="F55" s="71"/>
      <c r="G55" s="64"/>
      <c r="H55" s="65"/>
    </row>
    <row r="56" spans="1:15" ht="15.75" thickBot="1" x14ac:dyDescent="0.3">
      <c r="A56" s="73"/>
      <c r="B56" s="74"/>
      <c r="C56" s="75"/>
      <c r="D56" s="76"/>
      <c r="E56" s="75"/>
      <c r="F56" s="77"/>
      <c r="G56" s="64"/>
      <c r="H56" s="65"/>
      <c r="I56" s="78"/>
      <c r="J56" s="78"/>
    </row>
    <row r="57" spans="1:15" s="84" customFormat="1" ht="30" customHeight="1" x14ac:dyDescent="0.25">
      <c r="A57" s="124" t="s">
        <v>21</v>
      </c>
      <c r="B57" s="125"/>
      <c r="C57" s="126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J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9"/>
  <sheetViews>
    <sheetView zoomScale="90" zoomScaleNormal="90" workbookViewId="0">
      <pane xSplit="1" ySplit="2" topLeftCell="B15" activePane="bottomRight" state="frozen"/>
      <selection pane="topRight" activeCell="B1" sqref="B1"/>
      <selection pane="bottomLeft" activeCell="A3" sqref="A3"/>
      <selection pane="bottomRight" activeCell="C37" sqref="C37"/>
    </sheetView>
  </sheetViews>
  <sheetFormatPr defaultRowHeight="15" x14ac:dyDescent="0.25"/>
  <cols>
    <col min="1" max="1" width="13.5703125" style="2" bestFit="1" customWidth="1"/>
    <col min="2" max="4" width="11.7109375" style="10" customWidth="1"/>
    <col min="5" max="6" width="11.7109375" style="8" customWidth="1"/>
    <col min="7" max="7" width="11.7109375" style="10" customWidth="1"/>
    <col min="8" max="8" width="11.7109375" style="4" customWidth="1"/>
    <col min="9" max="9" width="27.42578125" customWidth="1"/>
  </cols>
  <sheetData>
    <row r="1" spans="1:9" s="1" customFormat="1" ht="31.15" x14ac:dyDescent="0.3">
      <c r="A1" s="95" t="s">
        <v>0</v>
      </c>
      <c r="B1" s="96" t="s">
        <v>5</v>
      </c>
      <c r="C1" s="96" t="s">
        <v>1</v>
      </c>
      <c r="D1" s="96" t="s">
        <v>2</v>
      </c>
      <c r="E1" s="97" t="s">
        <v>6</v>
      </c>
      <c r="F1" s="97" t="s">
        <v>7</v>
      </c>
      <c r="G1" s="96" t="s">
        <v>3</v>
      </c>
      <c r="H1" s="98" t="s">
        <v>4</v>
      </c>
      <c r="I1" s="3" t="s">
        <v>11</v>
      </c>
    </row>
    <row r="2" spans="1:9" s="1" customFormat="1" ht="15.6" x14ac:dyDescent="0.3">
      <c r="A2" s="99"/>
      <c r="B2" s="96" t="s">
        <v>25</v>
      </c>
      <c r="C2" s="96" t="s">
        <v>25</v>
      </c>
      <c r="D2" s="96" t="s">
        <v>25</v>
      </c>
      <c r="E2" s="97"/>
      <c r="F2" s="97"/>
      <c r="G2" s="96" t="s">
        <v>27</v>
      </c>
      <c r="H2" s="98"/>
      <c r="I2" s="85"/>
    </row>
    <row r="3" spans="1:9" ht="15.6" x14ac:dyDescent="0.3">
      <c r="A3" s="106">
        <v>41183</v>
      </c>
      <c r="B3" s="100">
        <v>9</v>
      </c>
      <c r="C3" s="100">
        <v>35</v>
      </c>
      <c r="D3" s="100">
        <v>182</v>
      </c>
      <c r="E3" s="101">
        <v>0</v>
      </c>
      <c r="F3" s="101">
        <v>0</v>
      </c>
      <c r="G3" s="100">
        <v>0</v>
      </c>
      <c r="H3" s="101">
        <v>4034.9</v>
      </c>
      <c r="I3" t="s">
        <v>28</v>
      </c>
    </row>
    <row r="4" spans="1:9" ht="15.6" x14ac:dyDescent="0.3">
      <c r="A4" s="106">
        <v>41184</v>
      </c>
      <c r="B4" s="100">
        <v>0</v>
      </c>
      <c r="C4" s="100">
        <v>0</v>
      </c>
      <c r="D4" s="100">
        <v>189</v>
      </c>
      <c r="E4" s="101">
        <v>0</v>
      </c>
      <c r="F4" s="101">
        <v>0</v>
      </c>
      <c r="G4" s="100">
        <v>0</v>
      </c>
      <c r="H4" s="101">
        <v>4034.9</v>
      </c>
    </row>
    <row r="5" spans="1:9" ht="15.6" x14ac:dyDescent="0.3">
      <c r="A5" s="106">
        <v>41185</v>
      </c>
      <c r="B5" s="100">
        <v>0</v>
      </c>
      <c r="C5" s="100">
        <v>0</v>
      </c>
      <c r="D5" s="100">
        <v>171</v>
      </c>
      <c r="E5" s="101">
        <v>0</v>
      </c>
      <c r="F5" s="101">
        <v>0</v>
      </c>
      <c r="G5" s="100">
        <v>63</v>
      </c>
      <c r="H5" s="101">
        <v>4034.9</v>
      </c>
    </row>
    <row r="6" spans="1:9" ht="15.6" x14ac:dyDescent="0.3">
      <c r="A6" s="106">
        <v>41186</v>
      </c>
      <c r="B6" s="100">
        <v>0</v>
      </c>
      <c r="C6" s="100">
        <v>29</v>
      </c>
      <c r="D6" s="100">
        <v>156</v>
      </c>
      <c r="E6" s="101">
        <v>0</v>
      </c>
      <c r="F6" s="101">
        <v>0</v>
      </c>
      <c r="G6" s="100">
        <v>160</v>
      </c>
      <c r="H6" s="101">
        <v>4034.9</v>
      </c>
    </row>
    <row r="7" spans="1:9" ht="15.6" x14ac:dyDescent="0.3">
      <c r="A7" s="106">
        <v>41187</v>
      </c>
      <c r="B7" s="100">
        <v>0</v>
      </c>
      <c r="C7" s="100">
        <v>47</v>
      </c>
      <c r="D7" s="100">
        <v>157</v>
      </c>
      <c r="E7" s="101">
        <v>0</v>
      </c>
      <c r="F7" s="101">
        <v>0</v>
      </c>
      <c r="G7" s="100">
        <v>160</v>
      </c>
      <c r="H7" s="101">
        <v>4034.9</v>
      </c>
    </row>
    <row r="8" spans="1:9" ht="15.6" x14ac:dyDescent="0.3">
      <c r="A8" s="106">
        <v>41188</v>
      </c>
      <c r="B8" s="100">
        <v>0</v>
      </c>
      <c r="C8" s="100">
        <v>54</v>
      </c>
      <c r="D8" s="100">
        <v>144</v>
      </c>
      <c r="E8" s="101">
        <v>0</v>
      </c>
      <c r="F8" s="101">
        <v>0</v>
      </c>
      <c r="G8" s="100">
        <v>160</v>
      </c>
      <c r="H8" s="101">
        <v>4034.9</v>
      </c>
    </row>
    <row r="9" spans="1:9" ht="15.6" x14ac:dyDescent="0.3">
      <c r="A9" s="106">
        <v>41189</v>
      </c>
      <c r="B9" s="100">
        <v>0</v>
      </c>
      <c r="C9" s="100">
        <v>81</v>
      </c>
      <c r="D9" s="100">
        <v>128</v>
      </c>
      <c r="E9" s="101">
        <v>0</v>
      </c>
      <c r="F9" s="101">
        <v>0</v>
      </c>
      <c r="G9" s="100">
        <v>158</v>
      </c>
      <c r="H9" s="101">
        <v>4034.9</v>
      </c>
    </row>
    <row r="10" spans="1:9" ht="15.6" x14ac:dyDescent="0.3">
      <c r="A10" s="106">
        <v>41190</v>
      </c>
      <c r="B10" s="100">
        <v>0</v>
      </c>
      <c r="C10" s="100">
        <v>102</v>
      </c>
      <c r="D10" s="100">
        <v>119</v>
      </c>
      <c r="E10" s="101">
        <v>0</v>
      </c>
      <c r="F10" s="101">
        <v>0</v>
      </c>
      <c r="G10" s="100">
        <v>243</v>
      </c>
      <c r="H10" s="101">
        <v>4034.9</v>
      </c>
      <c r="I10" t="s">
        <v>29</v>
      </c>
    </row>
    <row r="11" spans="1:9" ht="15.6" x14ac:dyDescent="0.3">
      <c r="A11" s="106">
        <v>41191</v>
      </c>
      <c r="B11" s="100">
        <v>0</v>
      </c>
      <c r="C11" s="100">
        <v>75</v>
      </c>
      <c r="D11" s="100">
        <v>119</v>
      </c>
      <c r="E11" s="101">
        <v>0</v>
      </c>
      <c r="F11" s="101">
        <v>0</v>
      </c>
      <c r="G11" s="100">
        <v>301</v>
      </c>
      <c r="H11" s="101">
        <v>4034.9</v>
      </c>
    </row>
    <row r="12" spans="1:9" ht="15.6" x14ac:dyDescent="0.3">
      <c r="A12" s="106">
        <v>41192</v>
      </c>
      <c r="B12" s="100">
        <v>0</v>
      </c>
      <c r="C12" s="100">
        <v>70</v>
      </c>
      <c r="D12" s="100">
        <v>122</v>
      </c>
      <c r="E12" s="101">
        <v>0</v>
      </c>
      <c r="F12" s="101">
        <v>0</v>
      </c>
      <c r="G12" s="100">
        <v>301</v>
      </c>
      <c r="H12" s="101">
        <v>4034.88</v>
      </c>
    </row>
    <row r="13" spans="1:9" ht="15.6" x14ac:dyDescent="0.3">
      <c r="A13" s="106">
        <v>41193</v>
      </c>
      <c r="B13" s="100">
        <v>0</v>
      </c>
      <c r="C13" s="100">
        <v>65</v>
      </c>
      <c r="D13" s="100">
        <v>127</v>
      </c>
      <c r="E13" s="101">
        <v>0</v>
      </c>
      <c r="F13" s="101">
        <v>0</v>
      </c>
      <c r="G13" s="100">
        <v>301</v>
      </c>
      <c r="H13" s="101">
        <v>4034.87</v>
      </c>
    </row>
    <row r="14" spans="1:9" ht="15.6" x14ac:dyDescent="0.3">
      <c r="A14" s="106">
        <v>41194</v>
      </c>
      <c r="B14" s="100">
        <v>0</v>
      </c>
      <c r="C14" s="100">
        <v>63</v>
      </c>
      <c r="D14" s="100">
        <v>109</v>
      </c>
      <c r="E14" s="101">
        <v>0</v>
      </c>
      <c r="F14" s="101">
        <v>0</v>
      </c>
      <c r="G14" s="100">
        <v>301</v>
      </c>
      <c r="H14" s="101">
        <v>4034.85</v>
      </c>
    </row>
    <row r="15" spans="1:9" ht="15.6" x14ac:dyDescent="0.3">
      <c r="A15" s="106">
        <v>41195</v>
      </c>
      <c r="B15" s="100">
        <v>0</v>
      </c>
      <c r="C15" s="100">
        <v>75</v>
      </c>
      <c r="D15" s="100">
        <v>96</v>
      </c>
      <c r="E15" s="101">
        <v>0.02</v>
      </c>
      <c r="F15" s="101">
        <v>0</v>
      </c>
      <c r="G15" s="100">
        <v>301</v>
      </c>
      <c r="H15" s="101">
        <v>4034.84</v>
      </c>
    </row>
    <row r="16" spans="1:9" ht="15.6" x14ac:dyDescent="0.3">
      <c r="A16" s="106">
        <v>41196</v>
      </c>
      <c r="B16" s="100">
        <v>0</v>
      </c>
      <c r="C16" s="100">
        <v>95</v>
      </c>
      <c r="D16" s="100">
        <v>103</v>
      </c>
      <c r="E16" s="101">
        <v>0</v>
      </c>
      <c r="F16" s="101">
        <v>0</v>
      </c>
      <c r="G16" s="100">
        <v>301</v>
      </c>
      <c r="H16" s="101">
        <v>4034.83</v>
      </c>
    </row>
    <row r="17" spans="1:9" ht="15.6" x14ac:dyDescent="0.3">
      <c r="A17" s="106">
        <v>41197</v>
      </c>
      <c r="B17" s="100">
        <v>0</v>
      </c>
      <c r="C17" s="100">
        <v>84</v>
      </c>
      <c r="D17" s="100">
        <v>111</v>
      </c>
      <c r="E17" s="101">
        <v>0</v>
      </c>
      <c r="F17" s="101">
        <v>0</v>
      </c>
      <c r="G17" s="100">
        <v>301</v>
      </c>
      <c r="H17" s="101">
        <v>4034.82</v>
      </c>
    </row>
    <row r="18" spans="1:9" ht="15.6" x14ac:dyDescent="0.3">
      <c r="A18" s="106">
        <v>41198</v>
      </c>
      <c r="B18" s="100">
        <v>0</v>
      </c>
      <c r="C18" s="100">
        <v>55</v>
      </c>
      <c r="D18" s="100">
        <v>126</v>
      </c>
      <c r="E18" s="101">
        <v>0.06</v>
      </c>
      <c r="F18" s="101">
        <v>0</v>
      </c>
      <c r="G18" s="100">
        <v>301</v>
      </c>
      <c r="H18" s="101">
        <v>4034.81</v>
      </c>
    </row>
    <row r="19" spans="1:9" ht="15.6" x14ac:dyDescent="0.3">
      <c r="A19" s="106">
        <v>41199</v>
      </c>
      <c r="B19" s="100">
        <v>0</v>
      </c>
      <c r="C19" s="100">
        <v>35</v>
      </c>
      <c r="D19" s="100">
        <v>136</v>
      </c>
      <c r="E19" s="101">
        <v>0</v>
      </c>
      <c r="F19" s="101">
        <v>0</v>
      </c>
      <c r="G19" s="100">
        <v>301</v>
      </c>
      <c r="H19" s="101">
        <v>4034.8</v>
      </c>
    </row>
    <row r="20" spans="1:9" ht="15.6" x14ac:dyDescent="0.3">
      <c r="A20" s="106">
        <v>41200</v>
      </c>
      <c r="B20" s="100">
        <v>0</v>
      </c>
      <c r="C20" s="100">
        <v>13</v>
      </c>
      <c r="D20" s="100">
        <v>150</v>
      </c>
      <c r="E20" s="101">
        <v>0</v>
      </c>
      <c r="F20" s="101">
        <v>0</v>
      </c>
      <c r="G20" s="100">
        <v>301</v>
      </c>
      <c r="H20" s="101">
        <v>4034.79</v>
      </c>
    </row>
    <row r="21" spans="1:9" ht="15.6" x14ac:dyDescent="0.3">
      <c r="A21" s="106">
        <v>41201</v>
      </c>
      <c r="B21" s="100">
        <v>17</v>
      </c>
      <c r="C21" s="100">
        <v>0</v>
      </c>
      <c r="D21" s="100">
        <v>162</v>
      </c>
      <c r="E21" s="101">
        <v>0</v>
      </c>
      <c r="F21" s="101">
        <v>0</v>
      </c>
      <c r="G21" s="100">
        <v>301</v>
      </c>
      <c r="H21" s="101">
        <v>4034.78</v>
      </c>
      <c r="I21" t="s">
        <v>30</v>
      </c>
    </row>
    <row r="22" spans="1:9" ht="15.6" x14ac:dyDescent="0.3">
      <c r="A22" s="106">
        <v>41202</v>
      </c>
      <c r="B22" s="100">
        <v>73</v>
      </c>
      <c r="C22" s="100">
        <v>0</v>
      </c>
      <c r="D22" s="100">
        <v>169</v>
      </c>
      <c r="E22" s="101">
        <v>0.02</v>
      </c>
      <c r="F22" s="101">
        <v>0</v>
      </c>
      <c r="G22" s="100">
        <v>301</v>
      </c>
      <c r="H22" s="101">
        <v>4034.77</v>
      </c>
      <c r="I22" t="s">
        <v>31</v>
      </c>
    </row>
    <row r="23" spans="1:9" ht="15.6" x14ac:dyDescent="0.3">
      <c r="A23" s="106">
        <v>41203</v>
      </c>
      <c r="B23" s="100">
        <v>131</v>
      </c>
      <c r="C23" s="100">
        <v>0</v>
      </c>
      <c r="D23" s="100">
        <v>152</v>
      </c>
      <c r="E23" s="101">
        <v>0</v>
      </c>
      <c r="F23" s="101">
        <v>0</v>
      </c>
      <c r="G23" s="100">
        <v>301</v>
      </c>
      <c r="H23" s="101">
        <v>4034.76</v>
      </c>
      <c r="I23" t="s">
        <v>32</v>
      </c>
    </row>
    <row r="24" spans="1:9" ht="15.6" x14ac:dyDescent="0.3">
      <c r="A24" s="106">
        <v>41204</v>
      </c>
      <c r="B24" s="100">
        <v>150</v>
      </c>
      <c r="C24" s="100">
        <v>0</v>
      </c>
      <c r="D24" s="100">
        <v>138</v>
      </c>
      <c r="E24" s="101">
        <v>0.02</v>
      </c>
      <c r="F24" s="101">
        <v>0</v>
      </c>
      <c r="G24" s="100">
        <v>301</v>
      </c>
      <c r="H24" s="101">
        <v>4034.72</v>
      </c>
    </row>
    <row r="25" spans="1:9" ht="15.6" x14ac:dyDescent="0.3">
      <c r="A25" s="106">
        <v>41205</v>
      </c>
      <c r="B25" s="100">
        <v>150</v>
      </c>
      <c r="C25" s="100">
        <v>0</v>
      </c>
      <c r="D25" s="100">
        <v>139</v>
      </c>
      <c r="E25" s="101">
        <v>0.16</v>
      </c>
      <c r="F25" s="101">
        <v>0.25</v>
      </c>
      <c r="G25" s="100">
        <v>301</v>
      </c>
      <c r="H25" s="101">
        <v>4034.68</v>
      </c>
    </row>
    <row r="26" spans="1:9" ht="15.6" x14ac:dyDescent="0.3">
      <c r="A26" s="106">
        <v>41206</v>
      </c>
      <c r="B26" s="100">
        <v>83</v>
      </c>
      <c r="C26" s="100">
        <v>0</v>
      </c>
      <c r="D26" s="100">
        <v>149</v>
      </c>
      <c r="E26" s="101">
        <v>0.16</v>
      </c>
      <c r="F26" s="101">
        <v>0.5</v>
      </c>
      <c r="G26" s="100">
        <v>301</v>
      </c>
      <c r="H26" s="101">
        <v>4034.65</v>
      </c>
      <c r="I26" t="s">
        <v>33</v>
      </c>
    </row>
    <row r="27" spans="1:9" ht="15.6" x14ac:dyDescent="0.3">
      <c r="A27" s="106">
        <v>41207</v>
      </c>
      <c r="B27" s="100">
        <v>50</v>
      </c>
      <c r="C27" s="100">
        <v>0</v>
      </c>
      <c r="D27" s="100">
        <v>116</v>
      </c>
      <c r="E27" s="101">
        <v>7.0000000000000007E-2</v>
      </c>
      <c r="F27" s="101" t="s">
        <v>34</v>
      </c>
      <c r="G27" s="100">
        <v>301</v>
      </c>
      <c r="H27" s="101">
        <v>4034.62</v>
      </c>
    </row>
    <row r="28" spans="1:9" ht="15.6" x14ac:dyDescent="0.3">
      <c r="A28" s="106">
        <v>41208</v>
      </c>
      <c r="B28" s="100">
        <v>50</v>
      </c>
      <c r="C28" s="100">
        <v>0</v>
      </c>
      <c r="D28" s="100">
        <v>123</v>
      </c>
      <c r="E28" s="101">
        <v>0.01</v>
      </c>
      <c r="F28" s="101">
        <v>0</v>
      </c>
      <c r="G28" s="100">
        <v>301</v>
      </c>
      <c r="H28" s="101">
        <v>4034.6</v>
      </c>
    </row>
    <row r="29" spans="1:9" ht="15.6" x14ac:dyDescent="0.3">
      <c r="A29" s="106">
        <v>41209</v>
      </c>
      <c r="B29" s="100">
        <v>67</v>
      </c>
      <c r="C29" s="100">
        <v>0</v>
      </c>
      <c r="D29" s="100">
        <v>129</v>
      </c>
      <c r="E29" s="101">
        <v>0</v>
      </c>
      <c r="F29" s="101">
        <v>0</v>
      </c>
      <c r="G29" s="100">
        <v>301</v>
      </c>
      <c r="H29" s="101">
        <v>4034.58</v>
      </c>
      <c r="I29" t="s">
        <v>35</v>
      </c>
    </row>
    <row r="30" spans="1:9" ht="15.6" x14ac:dyDescent="0.3">
      <c r="A30" s="106">
        <v>41210</v>
      </c>
      <c r="B30" s="100">
        <v>92</v>
      </c>
      <c r="C30" s="100">
        <v>0</v>
      </c>
      <c r="D30" s="100">
        <v>136</v>
      </c>
      <c r="E30" s="101">
        <v>0.01</v>
      </c>
      <c r="F30" s="101">
        <v>0</v>
      </c>
      <c r="G30" s="100">
        <v>301</v>
      </c>
      <c r="H30" s="101">
        <v>4034.56</v>
      </c>
      <c r="I30" t="s">
        <v>36</v>
      </c>
    </row>
    <row r="31" spans="1:9" ht="15.6" x14ac:dyDescent="0.3">
      <c r="A31" s="106">
        <v>41211</v>
      </c>
      <c r="B31" s="100">
        <v>100</v>
      </c>
      <c r="C31" s="100">
        <v>0</v>
      </c>
      <c r="D31" s="100">
        <v>150</v>
      </c>
      <c r="E31" s="101">
        <v>0.01</v>
      </c>
      <c r="F31" s="101">
        <v>0</v>
      </c>
      <c r="G31" s="100">
        <v>301</v>
      </c>
      <c r="H31" s="101">
        <v>4034.55</v>
      </c>
    </row>
    <row r="32" spans="1:9" ht="15.6" x14ac:dyDescent="0.3">
      <c r="A32" s="106">
        <v>41212</v>
      </c>
      <c r="B32" s="100">
        <v>100</v>
      </c>
      <c r="C32" s="100">
        <v>0</v>
      </c>
      <c r="D32" s="100">
        <v>160</v>
      </c>
      <c r="E32" s="101">
        <v>0</v>
      </c>
      <c r="F32" s="101">
        <v>0</v>
      </c>
      <c r="G32" s="100">
        <v>301</v>
      </c>
      <c r="H32" s="101">
        <v>4034.54</v>
      </c>
    </row>
    <row r="33" spans="1:14" ht="16.149999999999999" thickBot="1" x14ac:dyDescent="0.35">
      <c r="A33" s="106">
        <v>41213</v>
      </c>
      <c r="B33" s="100">
        <v>135</v>
      </c>
      <c r="C33" s="100">
        <v>0</v>
      </c>
      <c r="D33" s="100">
        <v>160</v>
      </c>
      <c r="E33" s="101" t="s">
        <v>34</v>
      </c>
      <c r="F33" s="101">
        <v>0</v>
      </c>
      <c r="G33" s="100">
        <v>301</v>
      </c>
      <c r="H33" s="101">
        <v>4034.53</v>
      </c>
      <c r="I33" t="s">
        <v>37</v>
      </c>
    </row>
    <row r="34" spans="1:14" ht="16.149999999999999" thickTop="1" x14ac:dyDescent="0.3">
      <c r="A34" s="102" t="s">
        <v>8</v>
      </c>
      <c r="B34" s="100">
        <f t="shared" ref="B34:G34" si="0">SUM(B3:B33)</f>
        <v>1207</v>
      </c>
      <c r="C34" s="100">
        <f t="shared" si="0"/>
        <v>978</v>
      </c>
      <c r="D34" s="100">
        <f t="shared" si="0"/>
        <v>4328</v>
      </c>
      <c r="E34" s="100">
        <f t="shared" si="0"/>
        <v>0.54</v>
      </c>
      <c r="F34" s="100">
        <f t="shared" si="0"/>
        <v>0.75</v>
      </c>
      <c r="G34" s="100">
        <f t="shared" si="0"/>
        <v>7867</v>
      </c>
      <c r="H34" s="100"/>
      <c r="J34" s="11"/>
    </row>
    <row r="35" spans="1:14" s="11" customFormat="1" ht="15.6" x14ac:dyDescent="0.3">
      <c r="A35" s="103" t="s">
        <v>9</v>
      </c>
      <c r="B35" s="104">
        <f>SUM(B34+'Oct 2012'!B36)</f>
        <v>1207</v>
      </c>
      <c r="C35" s="104">
        <f>SUM(C34+'Oct 2012'!C36)</f>
        <v>978</v>
      </c>
      <c r="D35" s="104">
        <f>SUM(D34+'Oct 2012'!D36)</f>
        <v>4328</v>
      </c>
      <c r="E35" s="105">
        <f>SUM(E34+'Oct 2012'!E36)</f>
        <v>0.54</v>
      </c>
      <c r="F35" s="105">
        <f>SUM(F34+'Oct 2012'!F36)</f>
        <v>0.75</v>
      </c>
      <c r="G35" s="104">
        <f>SUM(G34+'Oct 2012'!G36)</f>
        <v>7867</v>
      </c>
      <c r="H35" s="105"/>
    </row>
    <row r="36" spans="1:14" s="11" customFormat="1" ht="14.45" x14ac:dyDescent="0.3">
      <c r="A36" s="2"/>
      <c r="B36" s="6"/>
      <c r="C36" s="6"/>
      <c r="D36" s="6"/>
      <c r="E36"/>
      <c r="F36"/>
      <c r="G36" s="6"/>
      <c r="H36"/>
      <c r="J36"/>
    </row>
    <row r="37" spans="1:14" ht="14.45" x14ac:dyDescent="0.3">
      <c r="A37" t="s">
        <v>10</v>
      </c>
      <c r="B37" s="23">
        <f>SUM(B3:B33)*1.9835</f>
        <v>2394.0844999999999</v>
      </c>
      <c r="C37" s="23">
        <f>SUM(C3:C33)*1.9835</f>
        <v>1939.8630000000001</v>
      </c>
      <c r="D37" s="23">
        <f>SUM(D3:D33)*1.9835</f>
        <v>8584.5879999999997</v>
      </c>
      <c r="E37" s="23"/>
      <c r="F37" s="23"/>
      <c r="G37" s="23"/>
      <c r="H37"/>
      <c r="I37" s="22"/>
    </row>
    <row r="38" spans="1:14" ht="14.45" x14ac:dyDescent="0.3">
      <c r="A38"/>
      <c r="B38"/>
      <c r="C38"/>
      <c r="D38"/>
      <c r="E38"/>
      <c r="F38"/>
      <c r="G38"/>
      <c r="H38"/>
    </row>
    <row r="39" spans="1:14" ht="14.45" x14ac:dyDescent="0.3">
      <c r="A39" t="s">
        <v>24</v>
      </c>
      <c r="B39" s="23">
        <f>SUM('Oct 2012'!B40+B37)</f>
        <v>2394.0844999999999</v>
      </c>
      <c r="C39" s="23">
        <f>SUM('Oct 2012'!C40+C37)</f>
        <v>1939.8630000000001</v>
      </c>
      <c r="D39" s="23">
        <f>SUM('Oct 2012'!D40+D37)</f>
        <v>8584.5879999999997</v>
      </c>
      <c r="E39" s="23"/>
      <c r="F39" s="23"/>
      <c r="G39" s="23"/>
      <c r="H39"/>
      <c r="I39" s="22"/>
    </row>
    <row r="40" spans="1:14" ht="14.45" x14ac:dyDescent="0.3">
      <c r="A40"/>
      <c r="B40" s="23"/>
      <c r="C40" s="23"/>
      <c r="D40" s="24"/>
      <c r="E40" s="23"/>
      <c r="F40" s="23"/>
      <c r="G40" s="23"/>
      <c r="H40"/>
      <c r="I40" s="22"/>
    </row>
    <row r="41" spans="1:14" ht="15" customHeight="1" x14ac:dyDescent="0.25">
      <c r="A41" s="118"/>
      <c r="B41" s="118"/>
      <c r="C41" s="118"/>
      <c r="D41" s="118"/>
      <c r="E41" s="118"/>
      <c r="F41" s="119"/>
      <c r="G41" s="120" t="s">
        <v>12</v>
      </c>
      <c r="H41" s="121"/>
      <c r="I41" s="30"/>
      <c r="J41" s="30"/>
    </row>
    <row r="42" spans="1:14" ht="17.45" customHeight="1" x14ac:dyDescent="0.25">
      <c r="A42" s="29"/>
      <c r="B42" s="29"/>
      <c r="C42" s="29"/>
      <c r="D42" s="29"/>
      <c r="E42" s="29"/>
      <c r="F42" s="29"/>
      <c r="G42" s="120"/>
      <c r="H42" s="121"/>
      <c r="I42" s="30"/>
      <c r="J42" s="30"/>
      <c r="K42" s="30"/>
      <c r="L42" s="30"/>
      <c r="M42" s="31"/>
      <c r="N42" s="30"/>
    </row>
    <row r="43" spans="1:14" ht="16.899999999999999" customHeight="1" x14ac:dyDescent="0.3">
      <c r="A43" s="123" t="s">
        <v>23</v>
      </c>
      <c r="B43" s="123"/>
      <c r="C43" s="123"/>
      <c r="D43" s="123"/>
      <c r="E43" s="123"/>
      <c r="F43" s="123"/>
      <c r="G43" s="123"/>
      <c r="H43" s="123"/>
      <c r="I43" s="123"/>
      <c r="J43" s="123"/>
      <c r="K43" s="30"/>
      <c r="L43" s="30"/>
      <c r="M43" s="31"/>
      <c r="N43" s="30"/>
    </row>
    <row r="44" spans="1:14" ht="13.9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2"/>
      <c r="L44" s="32"/>
      <c r="M44" s="33"/>
      <c r="N44" s="34"/>
    </row>
    <row r="45" spans="1:14" ht="15.6" customHeight="1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ht="14.4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ht="14.4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ht="14.45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ht="14.45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3"/>
    </row>
    <row r="50" spans="1:14" ht="14.45" x14ac:dyDescent="0.3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3"/>
    </row>
    <row r="51" spans="1:14" ht="13.15" customHeight="1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3"/>
      <c r="N51" s="34"/>
    </row>
    <row r="52" spans="1:14" ht="26.45" x14ac:dyDescent="0.3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  <c r="K52" s="34"/>
      <c r="L52" s="34"/>
      <c r="M52" s="33"/>
      <c r="N52" s="34"/>
    </row>
    <row r="53" spans="1:14" ht="15.6" x14ac:dyDescent="0.35">
      <c r="A53" s="58"/>
      <c r="B53" s="59"/>
      <c r="C53" s="60"/>
      <c r="D53" s="61"/>
      <c r="E53" s="62"/>
      <c r="F53" s="63"/>
      <c r="G53" s="64"/>
      <c r="H53" s="65"/>
      <c r="I53" s="66"/>
      <c r="J53" s="66"/>
    </row>
    <row r="54" spans="1:14" x14ac:dyDescent="0.25">
      <c r="A54" s="67"/>
      <c r="B54" s="68"/>
      <c r="C54" s="69"/>
      <c r="D54" s="61"/>
      <c r="E54" s="70"/>
      <c r="F54" s="71"/>
      <c r="G54" s="64"/>
      <c r="H54" s="65"/>
    </row>
    <row r="55" spans="1:14" x14ac:dyDescent="0.25">
      <c r="A55" s="67"/>
      <c r="B55" s="68"/>
      <c r="C55" s="69"/>
      <c r="D55" s="61"/>
      <c r="E55" s="72"/>
      <c r="F55" s="71"/>
      <c r="G55" s="64"/>
      <c r="H55" s="65"/>
    </row>
    <row r="56" spans="1:14" x14ac:dyDescent="0.25">
      <c r="A56" s="67"/>
      <c r="B56" s="68"/>
      <c r="C56" s="69"/>
      <c r="D56" s="61"/>
      <c r="E56" s="72"/>
      <c r="F56" s="71"/>
      <c r="G56" s="64"/>
      <c r="H56" s="65"/>
    </row>
    <row r="57" spans="1:14" ht="15.75" thickBot="1" x14ac:dyDescent="0.3">
      <c r="A57" s="73"/>
      <c r="B57" s="74"/>
      <c r="C57" s="75"/>
      <c r="D57" s="76"/>
      <c r="E57" s="75"/>
      <c r="F57" s="77"/>
      <c r="G57" s="64"/>
      <c r="H57" s="65"/>
      <c r="I57" s="78"/>
      <c r="J57" s="78"/>
    </row>
    <row r="58" spans="1:14" ht="26.25" thickBot="1" x14ac:dyDescent="0.3">
      <c r="A58" s="124" t="s">
        <v>21</v>
      </c>
      <c r="B58" s="125"/>
      <c r="C58" s="126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  <c r="I58" s="84"/>
      <c r="J58" s="84"/>
    </row>
    <row r="59" spans="1:14" s="84" customFormat="1" ht="30" customHeight="1" x14ac:dyDescent="0.25">
      <c r="A59" s="124" t="s">
        <v>21</v>
      </c>
      <c r="B59" s="125"/>
      <c r="C59" s="126"/>
      <c r="D59" s="79">
        <f>SUM(D54:D58)</f>
        <v>0</v>
      </c>
      <c r="E59" s="80" t="s">
        <v>22</v>
      </c>
      <c r="F59" s="81">
        <f>SUM(F54:F58)</f>
        <v>0</v>
      </c>
      <c r="G59" s="82"/>
      <c r="H59" s="83"/>
    </row>
  </sheetData>
  <mergeCells count="5">
    <mergeCell ref="A59:C59"/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Sep 2013</vt:lpstr>
      <vt:lpstr>Aug 2013</vt:lpstr>
      <vt:lpstr>Jul 2013</vt:lpstr>
      <vt:lpstr>Jun 2013</vt:lpstr>
      <vt:lpstr>May 2013</vt:lpstr>
      <vt:lpstr>Apr 2013</vt:lpstr>
      <vt:lpstr>Mar 2013</vt:lpstr>
      <vt:lpstr>Feb 2013</vt:lpstr>
      <vt:lpstr>Jan 2013</vt:lpstr>
      <vt:lpstr>Dec 2012</vt:lpstr>
      <vt:lpstr>Nov 2012</vt:lpstr>
      <vt:lpstr>Oct 2012</vt:lpstr>
      <vt:lpstr>'Apr 2013'!Print_Area</vt:lpstr>
      <vt:lpstr>'Aug 2013'!Print_Area</vt:lpstr>
      <vt:lpstr>'Feb 2013'!Print_Area</vt:lpstr>
      <vt:lpstr>'Jan 2013'!Print_Area</vt:lpstr>
      <vt:lpstr>'Jul 2013'!Print_Area</vt:lpstr>
      <vt:lpstr>'Jun 2013'!Print_Area</vt:lpstr>
      <vt:lpstr>'Mar 2013'!Print_Area</vt:lpstr>
      <vt:lpstr>'Nov 2012'!Print_Area</vt:lpstr>
      <vt:lpstr>'Oct 2012'!Print_Area</vt:lpstr>
      <vt:lpstr>'Sep 2013'!Print_Area</vt:lpstr>
    </vt:vector>
  </TitlesOfParts>
  <Company>Bureau of Reclamation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Birri</dc:creator>
  <cp:lastModifiedBy>Justin Roberts</cp:lastModifiedBy>
  <cp:lastPrinted>2012-06-11T14:16:22Z</cp:lastPrinted>
  <dcterms:created xsi:type="dcterms:W3CDTF">2010-05-21T17:05:57Z</dcterms:created>
  <dcterms:modified xsi:type="dcterms:W3CDTF">2013-08-12T18:30:38Z</dcterms:modified>
</cp:coreProperties>
</file>