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385" yWindow="-15" windowWidth="14430" windowHeight="12840" tabRatio="868"/>
  </bookViews>
  <sheets>
    <sheet name="Sep 2019" sheetId="12" r:id="rId1"/>
    <sheet name="Aug 2019" sheetId="11" r:id="rId2"/>
    <sheet name="Jul 2019" sheetId="10" r:id="rId3"/>
    <sheet name="Jun 2019" sheetId="9" r:id="rId4"/>
    <sheet name="May 2019" sheetId="8" r:id="rId5"/>
    <sheet name="Apr 2019" sheetId="7" r:id="rId6"/>
    <sheet name="Mar 2019" sheetId="6" r:id="rId7"/>
    <sheet name="Feb 2019" sheetId="5" r:id="rId8"/>
    <sheet name="Jan 2019" sheetId="4" r:id="rId9"/>
    <sheet name="Dec 2018" sheetId="3" r:id="rId10"/>
    <sheet name="Nov 2018" sheetId="2" r:id="rId11"/>
    <sheet name="Oct 2018" sheetId="1" r:id="rId12"/>
  </sheets>
  <definedNames>
    <definedName name="_xlnm.Print_Area" localSheetId="5">'Apr 2019'!$A$1:$H$34</definedName>
    <definedName name="_xlnm.Print_Area" localSheetId="1">'Aug 2019'!$A$1:$H$39</definedName>
    <definedName name="_xlnm.Print_Area" localSheetId="7">'Feb 2019'!$A$1:$H$33</definedName>
    <definedName name="_xlnm.Print_Area" localSheetId="8">'Jan 2019'!$A$1:$H$35</definedName>
    <definedName name="_xlnm.Print_Area" localSheetId="2">'Jul 2019'!$A$1:$H$39</definedName>
    <definedName name="_xlnm.Print_Area" localSheetId="3">'Jun 2019'!$A$1:$H$38</definedName>
    <definedName name="_xlnm.Print_Area" localSheetId="6">'Mar 2019'!$A$1:$H$35</definedName>
    <definedName name="_xlnm.Print_Area" localSheetId="10">'Nov 2018'!$A$1:$H$38</definedName>
    <definedName name="_xlnm.Print_Area" localSheetId="11">'Oct 2018'!$A$1:$H$40</definedName>
    <definedName name="_xlnm.Print_Area" localSheetId="0">'Sep 2019'!$A$1:$H$38</definedName>
  </definedNames>
  <calcPr calcId="145621"/>
</workbook>
</file>

<file path=xl/calcChain.xml><?xml version="1.0" encoding="utf-8"?>
<calcChain xmlns="http://schemas.openxmlformats.org/spreadsheetml/2006/main">
  <c r="G33" i="12" l="1"/>
  <c r="F33" i="12"/>
  <c r="E33" i="12"/>
  <c r="D33" i="12"/>
  <c r="C33" i="12"/>
  <c r="B33" i="12"/>
  <c r="D37" i="11"/>
  <c r="C37" i="11"/>
  <c r="B37" i="11"/>
  <c r="G33" i="9"/>
  <c r="F33" i="9"/>
  <c r="E33" i="9"/>
  <c r="D33" i="9"/>
  <c r="C33" i="9"/>
  <c r="G33" i="2"/>
  <c r="G34" i="1"/>
  <c r="G35" i="1" s="1"/>
  <c r="C37" i="1" l="1"/>
  <c r="D37" i="1"/>
  <c r="D39" i="1" s="1"/>
  <c r="B37" i="1"/>
  <c r="B39" i="1" s="1"/>
  <c r="G32" i="5" l="1"/>
  <c r="B33" i="7"/>
  <c r="B36" i="7" s="1"/>
  <c r="C33" i="7"/>
  <c r="C36" i="7" s="1"/>
  <c r="D33" i="7"/>
  <c r="D36" i="7" s="1"/>
  <c r="E33" i="7"/>
  <c r="F33" i="7"/>
  <c r="G33" i="7"/>
  <c r="F44" i="7"/>
  <c r="G44" i="7"/>
  <c r="F45" i="7"/>
  <c r="G45" i="7"/>
  <c r="F46" i="7"/>
  <c r="H46" i="7" s="1"/>
  <c r="G46" i="7"/>
  <c r="F47" i="7"/>
  <c r="G47" i="7"/>
  <c r="F48" i="7"/>
  <c r="G48" i="7"/>
  <c r="F52" i="7"/>
  <c r="F53" i="7"/>
  <c r="F54" i="7"/>
  <c r="F55" i="7"/>
  <c r="F56" i="7"/>
  <c r="D57" i="7"/>
  <c r="B34" i="11"/>
  <c r="C34" i="11"/>
  <c r="D34" i="11"/>
  <c r="E34" i="11"/>
  <c r="F34" i="11"/>
  <c r="G34" i="11"/>
  <c r="F45" i="11"/>
  <c r="G45" i="11"/>
  <c r="F46" i="11"/>
  <c r="G46" i="11"/>
  <c r="F47" i="11"/>
  <c r="G47" i="11"/>
  <c r="F48" i="11"/>
  <c r="G48" i="11"/>
  <c r="F49" i="11"/>
  <c r="G49" i="11"/>
  <c r="F53" i="11"/>
  <c r="F54" i="11"/>
  <c r="F55" i="11"/>
  <c r="F56" i="11"/>
  <c r="F57" i="11"/>
  <c r="D58" i="11"/>
  <c r="B34" i="3"/>
  <c r="C34" i="3"/>
  <c r="D34" i="3"/>
  <c r="E34" i="3"/>
  <c r="F34" i="3"/>
  <c r="G34" i="3"/>
  <c r="B37" i="3"/>
  <c r="C37" i="3"/>
  <c r="D37" i="3"/>
  <c r="F45" i="3"/>
  <c r="G45" i="3"/>
  <c r="F46" i="3"/>
  <c r="G46" i="3"/>
  <c r="H46" i="3" s="1"/>
  <c r="F47" i="3"/>
  <c r="G47" i="3"/>
  <c r="H47" i="3" s="1"/>
  <c r="F48" i="3"/>
  <c r="G48" i="3"/>
  <c r="H48" i="3" s="1"/>
  <c r="F49" i="3"/>
  <c r="G49" i="3"/>
  <c r="D58" i="3"/>
  <c r="F58" i="3"/>
  <c r="B32" i="5"/>
  <c r="C32" i="5"/>
  <c r="D32" i="5"/>
  <c r="E32" i="5"/>
  <c r="F32" i="5"/>
  <c r="B35" i="5"/>
  <c r="C35" i="5"/>
  <c r="D35" i="5"/>
  <c r="F43" i="5"/>
  <c r="G43" i="5"/>
  <c r="F44" i="5"/>
  <c r="G44" i="5"/>
  <c r="F45" i="5"/>
  <c r="G45" i="5"/>
  <c r="F46" i="5"/>
  <c r="G46" i="5"/>
  <c r="H46" i="5" s="1"/>
  <c r="F47" i="5"/>
  <c r="G47" i="5"/>
  <c r="H47" i="5" s="1"/>
  <c r="F51" i="5"/>
  <c r="F52" i="5"/>
  <c r="F56" i="5" s="1"/>
  <c r="F53" i="5"/>
  <c r="F54" i="5"/>
  <c r="F55" i="5"/>
  <c r="D56" i="5"/>
  <c r="B34" i="4"/>
  <c r="C34" i="4"/>
  <c r="D34" i="4"/>
  <c r="E34" i="4"/>
  <c r="F34" i="4"/>
  <c r="G34" i="4"/>
  <c r="B37" i="4"/>
  <c r="C37" i="4"/>
  <c r="D37" i="4"/>
  <c r="F45" i="4"/>
  <c r="G45" i="4"/>
  <c r="F46" i="4"/>
  <c r="G46" i="4"/>
  <c r="H46" i="4" s="1"/>
  <c r="F47" i="4"/>
  <c r="G47" i="4"/>
  <c r="F48" i="4"/>
  <c r="G48" i="4"/>
  <c r="H48" i="4" s="1"/>
  <c r="F49" i="4"/>
  <c r="G49" i="4"/>
  <c r="F53" i="4"/>
  <c r="F54" i="4"/>
  <c r="F55" i="4"/>
  <c r="F56" i="4"/>
  <c r="F57" i="4"/>
  <c r="D58" i="4"/>
  <c r="B34" i="10"/>
  <c r="C34" i="10"/>
  <c r="D34" i="10"/>
  <c r="E34" i="10"/>
  <c r="F34" i="10"/>
  <c r="G34" i="10"/>
  <c r="B37" i="10"/>
  <c r="C37" i="10"/>
  <c r="D37" i="10"/>
  <c r="F45" i="10"/>
  <c r="G45" i="10"/>
  <c r="F46" i="10"/>
  <c r="G46" i="10"/>
  <c r="F47" i="10"/>
  <c r="G47" i="10"/>
  <c r="F48" i="10"/>
  <c r="H48" i="10" s="1"/>
  <c r="G48" i="10"/>
  <c r="F49" i="10"/>
  <c r="G49" i="10"/>
  <c r="F53" i="10"/>
  <c r="F54" i="10"/>
  <c r="F55" i="10"/>
  <c r="F56" i="10"/>
  <c r="F57" i="10"/>
  <c r="D58" i="10"/>
  <c r="B33" i="9"/>
  <c r="B36" i="9"/>
  <c r="C36" i="9"/>
  <c r="D36" i="9"/>
  <c r="F44" i="9"/>
  <c r="G44" i="9"/>
  <c r="F45" i="9"/>
  <c r="G45" i="9"/>
  <c r="F46" i="9"/>
  <c r="H46" i="9" s="1"/>
  <c r="G46" i="9"/>
  <c r="F47" i="9"/>
  <c r="G47" i="9"/>
  <c r="F48" i="9"/>
  <c r="G48" i="9"/>
  <c r="H48" i="9"/>
  <c r="F52" i="9"/>
  <c r="F53" i="9"/>
  <c r="F54" i="9"/>
  <c r="F55" i="9"/>
  <c r="F56" i="9"/>
  <c r="D57" i="9"/>
  <c r="B34" i="6"/>
  <c r="C34" i="6"/>
  <c r="D34" i="6"/>
  <c r="E34" i="6"/>
  <c r="F34" i="6"/>
  <c r="G34" i="6"/>
  <c r="B37" i="6"/>
  <c r="C37" i="6"/>
  <c r="D37" i="6"/>
  <c r="F45" i="6"/>
  <c r="G45" i="6"/>
  <c r="F46" i="6"/>
  <c r="H46" i="6" s="1"/>
  <c r="G46" i="6"/>
  <c r="F47" i="6"/>
  <c r="G47" i="6"/>
  <c r="F48" i="6"/>
  <c r="G48" i="6"/>
  <c r="H48" i="6"/>
  <c r="F49" i="6"/>
  <c r="G49" i="6"/>
  <c r="F53" i="6"/>
  <c r="F54" i="6"/>
  <c r="F55" i="6"/>
  <c r="F56" i="6"/>
  <c r="F57" i="6"/>
  <c r="D58" i="6"/>
  <c r="B34" i="8"/>
  <c r="C34" i="8"/>
  <c r="D34" i="8"/>
  <c r="E34" i="8"/>
  <c r="F34" i="8"/>
  <c r="G34" i="8"/>
  <c r="B37" i="8"/>
  <c r="C37" i="8"/>
  <c r="D37" i="8"/>
  <c r="F45" i="8"/>
  <c r="H45" i="8" s="1"/>
  <c r="G45" i="8"/>
  <c r="F46" i="8"/>
  <c r="G46" i="8"/>
  <c r="F47" i="8"/>
  <c r="G47" i="8"/>
  <c r="H47" i="8"/>
  <c r="F48" i="8"/>
  <c r="G48" i="8"/>
  <c r="F49" i="8"/>
  <c r="G49" i="8"/>
  <c r="F53" i="8"/>
  <c r="F54" i="8"/>
  <c r="F55" i="8"/>
  <c r="F56" i="8"/>
  <c r="F57" i="8"/>
  <c r="D58" i="8"/>
  <c r="B33" i="2"/>
  <c r="C33" i="2"/>
  <c r="D33" i="2"/>
  <c r="E33" i="2"/>
  <c r="F33" i="2"/>
  <c r="G34" i="2"/>
  <c r="B36" i="2"/>
  <c r="C36" i="2"/>
  <c r="D36" i="2"/>
  <c r="D38" i="2" s="1"/>
  <c r="F44" i="2"/>
  <c r="G44" i="2"/>
  <c r="F45" i="2"/>
  <c r="G45" i="2"/>
  <c r="F46" i="2"/>
  <c r="G46" i="2"/>
  <c r="F47" i="2"/>
  <c r="G47" i="2"/>
  <c r="H47" i="2"/>
  <c r="F48" i="2"/>
  <c r="G48" i="2"/>
  <c r="D57" i="2"/>
  <c r="F57" i="2"/>
  <c r="B34" i="1"/>
  <c r="B35" i="1" s="1"/>
  <c r="C34" i="1"/>
  <c r="C35" i="1" s="1"/>
  <c r="D35" i="1"/>
  <c r="E34" i="1"/>
  <c r="E35" i="1" s="1"/>
  <c r="F34" i="1"/>
  <c r="F35" i="1" s="1"/>
  <c r="C39" i="1"/>
  <c r="F45" i="1"/>
  <c r="G45" i="1"/>
  <c r="F46" i="1"/>
  <c r="G46" i="1"/>
  <c r="H46" i="1" s="1"/>
  <c r="F47" i="1"/>
  <c r="G47" i="1"/>
  <c r="F48" i="1"/>
  <c r="G48" i="1"/>
  <c r="F49" i="1"/>
  <c r="G49" i="1"/>
  <c r="D58" i="1"/>
  <c r="D59" i="1" s="1"/>
  <c r="F58" i="1"/>
  <c r="F59" i="1" s="1"/>
  <c r="B36" i="12"/>
  <c r="C36" i="12"/>
  <c r="D36" i="12"/>
  <c r="F44" i="12"/>
  <c r="G44" i="12"/>
  <c r="H44" i="12" s="1"/>
  <c r="F45" i="12"/>
  <c r="G45" i="12"/>
  <c r="H45" i="12" s="1"/>
  <c r="F46" i="12"/>
  <c r="G46" i="12"/>
  <c r="H46" i="12" s="1"/>
  <c r="F47" i="12"/>
  <c r="G47" i="12"/>
  <c r="F48" i="12"/>
  <c r="G48" i="12"/>
  <c r="H48" i="12" s="1"/>
  <c r="F52" i="12"/>
  <c r="F53" i="12"/>
  <c r="F54" i="12"/>
  <c r="F55" i="12"/>
  <c r="F56" i="12"/>
  <c r="D57" i="12"/>
  <c r="H44" i="9" l="1"/>
  <c r="H49" i="10"/>
  <c r="H47" i="10"/>
  <c r="H45" i="10"/>
  <c r="H49" i="3"/>
  <c r="H45" i="3"/>
  <c r="F57" i="7"/>
  <c r="H47" i="7"/>
  <c r="H45" i="7"/>
  <c r="F58" i="10"/>
  <c r="H47" i="12"/>
  <c r="H49" i="1"/>
  <c r="H47" i="1"/>
  <c r="H46" i="2"/>
  <c r="H44" i="2"/>
  <c r="H46" i="8"/>
  <c r="H47" i="6"/>
  <c r="H45" i="6"/>
  <c r="H47" i="9"/>
  <c r="H45" i="9"/>
  <c r="H46" i="10"/>
  <c r="H49" i="4"/>
  <c r="H47" i="4"/>
  <c r="H45" i="4"/>
  <c r="H48" i="7"/>
  <c r="H44" i="7"/>
  <c r="F58" i="8"/>
  <c r="F57" i="12"/>
  <c r="H45" i="1"/>
  <c r="H48" i="2"/>
  <c r="H45" i="2"/>
  <c r="H48" i="8"/>
  <c r="H49" i="6"/>
  <c r="F57" i="9"/>
  <c r="H48" i="1"/>
  <c r="F58" i="4"/>
  <c r="H44" i="5"/>
  <c r="D39" i="3"/>
  <c r="D39" i="4" s="1"/>
  <c r="D37" i="5" s="1"/>
  <c r="D39" i="6" s="1"/>
  <c r="D38" i="7" s="1"/>
  <c r="D39" i="8" s="1"/>
  <c r="D38" i="9" s="1"/>
  <c r="D39" i="10" s="1"/>
  <c r="D39" i="11" s="1"/>
  <c r="D38" i="12" s="1"/>
  <c r="H49" i="8"/>
  <c r="F58" i="6"/>
  <c r="H45" i="5"/>
  <c r="H43" i="5"/>
  <c r="H46" i="11"/>
  <c r="H49" i="11"/>
  <c r="H47" i="11"/>
  <c r="H45" i="11"/>
  <c r="H48" i="11"/>
  <c r="F58" i="11"/>
  <c r="B34" i="2"/>
  <c r="B35" i="3" s="1"/>
  <c r="B35" i="4" s="1"/>
  <c r="B33" i="5" s="1"/>
  <c r="B35" i="6" s="1"/>
  <c r="B34" i="7" s="1"/>
  <c r="B35" i="8" s="1"/>
  <c r="B34" i="9" s="1"/>
  <c r="B35" i="10" s="1"/>
  <c r="B35" i="11" s="1"/>
  <c r="B34" i="12" s="1"/>
  <c r="B38" i="2"/>
  <c r="B39" i="3" s="1"/>
  <c r="B39" i="4" s="1"/>
  <c r="B37" i="5" s="1"/>
  <c r="B39" i="6" s="1"/>
  <c r="B38" i="7" s="1"/>
  <c r="B39" i="8" s="1"/>
  <c r="B38" i="9" s="1"/>
  <c r="B39" i="10" s="1"/>
  <c r="B39" i="11" s="1"/>
  <c r="B38" i="12" s="1"/>
  <c r="C38" i="2"/>
  <c r="C39" i="3" s="1"/>
  <c r="C39" i="4" s="1"/>
  <c r="C37" i="5" s="1"/>
  <c r="C39" i="6" s="1"/>
  <c r="C38" i="7" s="1"/>
  <c r="C39" i="8" s="1"/>
  <c r="C38" i="9" s="1"/>
  <c r="C39" i="10" s="1"/>
  <c r="C39" i="11" s="1"/>
  <c r="C38" i="12" s="1"/>
  <c r="C34" i="2"/>
  <c r="C35" i="3" s="1"/>
  <c r="C35" i="4" s="1"/>
  <c r="C33" i="5" s="1"/>
  <c r="C35" i="6" s="1"/>
  <c r="C34" i="7" s="1"/>
  <c r="C35" i="8" s="1"/>
  <c r="C34" i="9" s="1"/>
  <c r="C35" i="10" s="1"/>
  <c r="C35" i="11" s="1"/>
  <c r="C34" i="12" s="1"/>
  <c r="F34" i="2"/>
  <c r="F35" i="3" s="1"/>
  <c r="F35" i="4" s="1"/>
  <c r="F33" i="5" s="1"/>
  <c r="F35" i="6" s="1"/>
  <c r="F34" i="7" s="1"/>
  <c r="F35" i="8" s="1"/>
  <c r="F34" i="9" s="1"/>
  <c r="F35" i="10" s="1"/>
  <c r="F35" i="11" s="1"/>
  <c r="F34" i="12" s="1"/>
  <c r="G35" i="3"/>
  <c r="G35" i="4" s="1"/>
  <c r="G33" i="5" s="1"/>
  <c r="G35" i="6" s="1"/>
  <c r="G34" i="7" s="1"/>
  <c r="G35" i="8" s="1"/>
  <c r="G34" i="9" s="1"/>
  <c r="G35" i="10" s="1"/>
  <c r="G35" i="11" s="1"/>
  <c r="G34" i="12" s="1"/>
  <c r="E34" i="2"/>
  <c r="E35" i="3" s="1"/>
  <c r="E35" i="4" s="1"/>
  <c r="E33" i="5" s="1"/>
  <c r="E35" i="6" s="1"/>
  <c r="E34" i="7" s="1"/>
  <c r="E35" i="8" s="1"/>
  <c r="E34" i="9" s="1"/>
  <c r="E35" i="10" s="1"/>
  <c r="E35" i="11" s="1"/>
  <c r="E34" i="12" s="1"/>
  <c r="D34" i="2"/>
  <c r="D35" i="3" s="1"/>
  <c r="D35" i="4" s="1"/>
  <c r="D33" i="5" s="1"/>
  <c r="D35" i="6" s="1"/>
  <c r="D34" i="7" s="1"/>
  <c r="D35" i="8" s="1"/>
  <c r="D34" i="9" s="1"/>
  <c r="D35" i="10" s="1"/>
  <c r="D35" i="11" s="1"/>
  <c r="D34" i="12" s="1"/>
</calcChain>
</file>

<file path=xl/sharedStrings.xml><?xml version="1.0" encoding="utf-8"?>
<sst xmlns="http://schemas.openxmlformats.org/spreadsheetml/2006/main" count="497" uniqueCount="144">
  <si>
    <t>DATE</t>
  </si>
  <si>
    <t>ANDERSON-ROSE</t>
  </si>
  <si>
    <t>J CANAL</t>
  </si>
  <si>
    <t>D PLANT</t>
  </si>
  <si>
    <t>TULE LAKE ELEV.</t>
  </si>
  <si>
    <t>STATION 48</t>
  </si>
  <si>
    <t>TULE LAKE PRECIP</t>
  </si>
  <si>
    <t>TULE LAKE SNOW</t>
  </si>
  <si>
    <t>Monthly Total</t>
  </si>
  <si>
    <t>WY Total</t>
  </si>
  <si>
    <t>Acre Feet</t>
  </si>
  <si>
    <t>CHANGES @ STATION 48</t>
  </si>
  <si>
    <t>*  COMPUTATIONAL PURPOSES ONLY!  Do Not Enter Data in the Red Columns</t>
  </si>
  <si>
    <t>Time</t>
  </si>
  <si>
    <t>Current CFS</t>
  </si>
  <si>
    <t>Hours Run</t>
  </si>
  <si>
    <t>+/- cfs</t>
  </si>
  <si>
    <t>Sta 48</t>
  </si>
  <si>
    <t>Use for more than 1 change in a day.</t>
  </si>
  <si>
    <t>**Station 48:</t>
  </si>
  <si>
    <t>Sub-total cfs</t>
  </si>
  <si>
    <t>Total Hours Run</t>
  </si>
  <si>
    <t>Total/Day cfs</t>
  </si>
  <si>
    <t>*This is computation purposes only for Station 48</t>
  </si>
  <si>
    <t>WY AF Total</t>
  </si>
  <si>
    <t>(in CFS)</t>
  </si>
  <si>
    <t>(in AF)</t>
  </si>
  <si>
    <t xml:space="preserve"> </t>
  </si>
  <si>
    <t>* 1200 25/0</t>
  </si>
  <si>
    <t>* 0900 0/50</t>
  </si>
  <si>
    <t>* 1300 50/0</t>
  </si>
  <si>
    <t>* 0800 0/25</t>
  </si>
  <si>
    <t>* 1130 25/0</t>
  </si>
  <si>
    <t>* 1200 0/25</t>
  </si>
  <si>
    <t>* 1100 25/50</t>
  </si>
  <si>
    <t>* 13:30 50/25</t>
  </si>
  <si>
    <t>* 9:30 25/50</t>
  </si>
  <si>
    <t>* 0800 25/38</t>
  </si>
  <si>
    <t>* 0900 38/22</t>
  </si>
  <si>
    <t>* 1200 22/0</t>
  </si>
  <si>
    <t>T</t>
  </si>
  <si>
    <t>t</t>
  </si>
  <si>
    <t>*Start 1 unit D PLANT 9:00 AM</t>
  </si>
  <si>
    <t>* 1300 0/25</t>
  </si>
  <si>
    <t>* 1000 25/0</t>
  </si>
  <si>
    <t>* 1330  0/50</t>
  </si>
  <si>
    <t>*1500 50/150</t>
  </si>
  <si>
    <t>*0700 150/100 1500 100/150</t>
  </si>
  <si>
    <t>* 15:00 150/200</t>
  </si>
  <si>
    <t>* 1030 200/300 * 1700 300/350</t>
  </si>
  <si>
    <t>** 07:30 400/350 15:00 350/300</t>
  </si>
  <si>
    <t>* 15:00 300/200</t>
  </si>
  <si>
    <t>* 0900 200/150</t>
  </si>
  <si>
    <t>* 0930 150/100</t>
  </si>
  <si>
    <t>*0700 100/50 *1430 50/18</t>
  </si>
  <si>
    <t>* 0700 18/50</t>
  </si>
  <si>
    <t>*1400 350/400</t>
  </si>
  <si>
    <t>* 0500 50/150 * 1400 150/100</t>
  </si>
  <si>
    <t>* 0800 100/50 * 0000 50/18</t>
  </si>
  <si>
    <t>* 17:00 18/0</t>
  </si>
  <si>
    <t>* 15:00 0/50</t>
  </si>
  <si>
    <t>* 14:30 50/18</t>
  </si>
  <si>
    <t>* 07:15 18/0</t>
  </si>
  <si>
    <t>* 1200 0/50</t>
  </si>
  <si>
    <t xml:space="preserve">* 1400 50/100 </t>
  </si>
  <si>
    <t>* correction 48; should be 71 instead of 56</t>
  </si>
  <si>
    <t>* 1430 100/50</t>
  </si>
  <si>
    <t>* 15:00 50/100</t>
  </si>
  <si>
    <t>* 0830 100/150  * 1630 150/200</t>
  </si>
  <si>
    <t>* 0930 200/300</t>
  </si>
  <si>
    <t>* 1800 300/350</t>
  </si>
  <si>
    <t>* 1730 350/300</t>
  </si>
  <si>
    <t>* 1000 300/350</t>
  </si>
  <si>
    <t>* 0900 350/400</t>
  </si>
  <si>
    <t>* 0900 400/500</t>
  </si>
  <si>
    <t>* 0700 500/650 * 2000 650/600 * 2200 600/550</t>
  </si>
  <si>
    <t>* 0600 550/450  * 1600 450/500</t>
  </si>
  <si>
    <t>* 15:00 500/550</t>
  </si>
  <si>
    <t>* 09:00 550/650 * 17:30 650/600</t>
  </si>
  <si>
    <t>* 07:30 600/550 * 15:00 550/500</t>
  </si>
  <si>
    <t>* 07:00 500/400</t>
  </si>
  <si>
    <t>* 08:00 400/500 * 15:00 500/550</t>
  </si>
  <si>
    <t>* 2200 550/450</t>
  </si>
  <si>
    <t>* 1000 450/550 * 1600 550/450</t>
  </si>
  <si>
    <t>* 1500 450/350</t>
  </si>
  <si>
    <t>* 2130 350/250</t>
  </si>
  <si>
    <t>* 0830 250/350 * 1500 350/300</t>
  </si>
  <si>
    <t>* 0930 300/400 * 1530 400/300 * 1800 300/250</t>
  </si>
  <si>
    <t>* 10:00 250/350 * 15:30 350/300</t>
  </si>
  <si>
    <t>* 10:00 300/250 * 14:00 250/150</t>
  </si>
  <si>
    <t>* 07:00 150/200</t>
  </si>
  <si>
    <t>* 1100 200/250 * 1700 250/300</t>
  </si>
  <si>
    <t>* 1730 300/250</t>
  </si>
  <si>
    <t>* 1500 250/200</t>
  </si>
  <si>
    <t>* 19:00 200/150</t>
  </si>
  <si>
    <t>* 0900 150/200</t>
  </si>
  <si>
    <t>* 1500 200/300</t>
  </si>
  <si>
    <t>* 11:00 300/350</t>
  </si>
  <si>
    <t>* 10:00 350/400 * 16:30 400/350</t>
  </si>
  <si>
    <t>* 07:00 350/300</t>
  </si>
  <si>
    <t>* 15:00 300/250</t>
  </si>
  <si>
    <t>* 1500 250/400</t>
  </si>
  <si>
    <t>* 0000 400/450 * 1730 450/375</t>
  </si>
  <si>
    <t>* 0800 375/450</t>
  </si>
  <si>
    <t>* 0900 450/400 * 1700 400/350</t>
  </si>
  <si>
    <t>* 22:00 350/250</t>
  </si>
  <si>
    <t>* 0730 250/300</t>
  </si>
  <si>
    <t>* 1030 300/200 * 1500 200/250</t>
  </si>
  <si>
    <t>* 1330 250/350 * 1700 350/400</t>
  </si>
  <si>
    <t>* 0900 400/350 * 19:30 350/450</t>
  </si>
  <si>
    <t>* 15:30 450/350</t>
  </si>
  <si>
    <t>* 08:30 350/450 * 18:00 450/350</t>
  </si>
  <si>
    <t>* 16:00 350/300</t>
  </si>
  <si>
    <t xml:space="preserve">* correction 48 should be 333 </t>
  </si>
  <si>
    <t>* 14:30 300/250 corrected</t>
  </si>
  <si>
    <t>* 1700 250/200</t>
  </si>
  <si>
    <t>* 0830 200/300 * 1100 300/400 * 1700 400/300</t>
  </si>
  <si>
    <t>* 0700 300/250 * 1530 250/300</t>
  </si>
  <si>
    <t>* 0700 300/250</t>
  </si>
  <si>
    <t>* 0700 100/150 *1500 150/100 *1600 100/50</t>
  </si>
  <si>
    <t>* 0700 250/200 * 1000 200/150 * 1600 150/100 * corrected from 185</t>
  </si>
  <si>
    <t>* 0930 50/100 *1500 100/150</t>
  </si>
  <si>
    <t>* 09:00 150/200 * 16:00 200/250 * 20:30 250/300</t>
  </si>
  <si>
    <t>* 11:00 300/200 * 18:00 200/150</t>
  </si>
  <si>
    <t>* 12:00 150/250 * 15:00 250/200</t>
  </si>
  <si>
    <t>* 14:30 200/100</t>
  </si>
  <si>
    <t>* 0930 100/200 * 1700 200/150</t>
  </si>
  <si>
    <t>* 1030 150/250 * 2100 250/300</t>
  </si>
  <si>
    <t>* 0700 250/200</t>
  </si>
  <si>
    <t>* 21:00 200/250</t>
  </si>
  <si>
    <t>* 1730 250/200</t>
  </si>
  <si>
    <t>* 19:00 200/250</t>
  </si>
  <si>
    <t>* 20:00 250/300</t>
  </si>
  <si>
    <t>* 08:30 300/200</t>
  </si>
  <si>
    <t>* 1600 150/100</t>
  </si>
  <si>
    <t>* 1600 100/50</t>
  </si>
  <si>
    <t>* 0900 50/100</t>
  </si>
  <si>
    <t>* 0700 100/50</t>
  </si>
  <si>
    <t>* 1600 50/25</t>
  </si>
  <si>
    <t>* 1030 25/75</t>
  </si>
  <si>
    <t>* 1000 75/125 * 1700 125/100</t>
  </si>
  <si>
    <t>* Station 48 corrected from 50 to 81</t>
  </si>
  <si>
    <t>* 07:00 100/50 * 14:30 50/18</t>
  </si>
  <si>
    <t>* 09:00 18/0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</si>
</sst>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0.0"/>
    <numFmt numFmtId="166" formatCode="0_);[Red]\(0\)"/>
    <numFmt numFmtId="167" formatCode="h:mm;@"/>
  </numFmts>
  <fonts count="3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0"/>
      <color indexed="10"/>
      <name val="MS Sans Serif"/>
      <family val="2"/>
    </font>
    <font>
      <b/>
      <sz val="8"/>
      <color indexed="10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b/>
      <sz val="10"/>
      <color indexed="12"/>
      <name val="MS Sans Serif"/>
      <family val="2"/>
    </font>
    <font>
      <b/>
      <sz val="10"/>
      <color indexed="58"/>
      <name val="MS Sans Serif"/>
      <family val="2"/>
    </font>
    <font>
      <b/>
      <sz val="10"/>
      <color indexed="8"/>
      <name val="MS Sans Serif"/>
      <family val="2"/>
    </font>
    <font>
      <sz val="10"/>
      <color indexed="10"/>
      <name val="MS Sans Serif"/>
      <family val="2"/>
    </font>
    <font>
      <sz val="10"/>
      <name val="MS Sans Serif"/>
      <family val="2"/>
    </font>
    <font>
      <b/>
      <sz val="12"/>
      <color indexed="12"/>
      <name val="MS Sans Serif"/>
      <family val="2"/>
    </font>
    <font>
      <sz val="10"/>
      <color indexed="12"/>
      <name val="MS Sans Serif"/>
      <family val="2"/>
    </font>
    <font>
      <sz val="10"/>
      <color indexed="58"/>
      <name val="MS Sans Serif"/>
      <family val="2"/>
    </font>
    <font>
      <sz val="12"/>
      <color indexed="12"/>
      <name val="MS Sans Serif"/>
      <family val="2"/>
    </font>
    <font>
      <b/>
      <sz val="10"/>
      <color indexed="12"/>
      <name val="MS Sans Serif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4"/>
      <color indexed="8"/>
      <name val="Calibri"/>
      <family val="2"/>
    </font>
    <font>
      <b/>
      <sz val="14"/>
      <color indexed="8"/>
      <name val="Calibri"/>
      <family val="2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13"/>
        <bgColor indexed="64"/>
      </patternFill>
    </fill>
  </fills>
  <borders count="3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2" fillId="0" borderId="0"/>
    <xf numFmtId="0" fontId="5" fillId="0" borderId="0"/>
    <xf numFmtId="0" fontId="2" fillId="0" borderId="0"/>
  </cellStyleXfs>
  <cellXfs count="164">
    <xf numFmtId="0" fontId="0" fillId="0" borderId="0" xfId="0"/>
    <xf numFmtId="0" fontId="6" fillId="0" borderId="0" xfId="0" applyFont="1" applyAlignment="1">
      <alignment wrapText="1"/>
    </xf>
    <xf numFmtId="14" fontId="0" fillId="0" borderId="0" xfId="0" applyNumberFormat="1"/>
    <xf numFmtId="4" fontId="3" fillId="2" borderId="1" xfId="1" applyNumberFormat="1" applyFont="1" applyFill="1" applyBorder="1" applyAlignment="1">
      <alignment horizontal="center" wrapText="1"/>
    </xf>
    <xf numFmtId="4" fontId="0" fillId="0" borderId="0" xfId="0" applyNumberFormat="1"/>
    <xf numFmtId="3" fontId="3" fillId="2" borderId="1" xfId="1" applyNumberFormat="1" applyFont="1" applyFill="1" applyBorder="1" applyAlignment="1">
      <alignment horizontal="center" wrapText="1"/>
    </xf>
    <xf numFmtId="3" fontId="0" fillId="0" borderId="0" xfId="0" applyNumberFormat="1"/>
    <xf numFmtId="2" fontId="3" fillId="2" borderId="1" xfId="1" applyNumberFormat="1" applyFont="1" applyFill="1" applyBorder="1" applyAlignment="1">
      <alignment horizontal="center" wrapText="1"/>
    </xf>
    <xf numFmtId="2" fontId="0" fillId="0" borderId="0" xfId="0" applyNumberFormat="1"/>
    <xf numFmtId="1" fontId="3" fillId="2" borderId="1" xfId="1" applyNumberFormat="1" applyFont="1" applyFill="1" applyBorder="1" applyAlignment="1">
      <alignment horizontal="center" wrapText="1"/>
    </xf>
    <xf numFmtId="1" fontId="0" fillId="0" borderId="0" xfId="0" applyNumberFormat="1"/>
    <xf numFmtId="0" fontId="6" fillId="0" borderId="0" xfId="0" applyFont="1"/>
    <xf numFmtId="14" fontId="4" fillId="0" borderId="1" xfId="2" applyNumberFormat="1" applyFont="1" applyFill="1" applyBorder="1" applyAlignment="1">
      <alignment horizontal="right" wrapText="1"/>
    </xf>
    <xf numFmtId="1" fontId="4" fillId="0" borderId="1" xfId="2" applyNumberFormat="1" applyFont="1" applyFill="1" applyBorder="1" applyAlignment="1">
      <alignment horizontal="right" wrapText="1"/>
    </xf>
    <xf numFmtId="2" fontId="4" fillId="0" borderId="1" xfId="2" applyNumberFormat="1" applyFont="1" applyFill="1" applyBorder="1" applyAlignment="1">
      <alignment horizontal="right" wrapText="1"/>
    </xf>
    <xf numFmtId="4" fontId="4" fillId="0" borderId="1" xfId="2" applyNumberFormat="1" applyFont="1" applyFill="1" applyBorder="1" applyAlignment="1">
      <alignment horizontal="right" wrapText="1"/>
    </xf>
    <xf numFmtId="14" fontId="6" fillId="0" borderId="2" xfId="0" applyNumberFormat="1" applyFont="1" applyBorder="1"/>
    <xf numFmtId="3" fontId="6" fillId="0" borderId="2" xfId="0" applyNumberFormat="1" applyFont="1" applyBorder="1"/>
    <xf numFmtId="4" fontId="6" fillId="0" borderId="2" xfId="0" applyNumberFormat="1" applyFont="1" applyBorder="1"/>
    <xf numFmtId="14" fontId="6" fillId="0" borderId="1" xfId="0" applyNumberFormat="1" applyFont="1" applyBorder="1"/>
    <xf numFmtId="3" fontId="6" fillId="0" borderId="1" xfId="0" applyNumberFormat="1" applyFont="1" applyBorder="1"/>
    <xf numFmtId="4" fontId="6" fillId="0" borderId="1" xfId="0" applyNumberFormat="1" applyFont="1" applyBorder="1"/>
    <xf numFmtId="165" fontId="0" fillId="0" borderId="0" xfId="0" applyNumberFormat="1"/>
    <xf numFmtId="165" fontId="0" fillId="0" borderId="0" xfId="0" applyNumberFormat="1" applyAlignment="1">
      <alignment horizontal="center"/>
    </xf>
    <xf numFmtId="165" fontId="0" fillId="0" borderId="0" xfId="0" applyNumberFormat="1" applyFill="1" applyAlignment="1">
      <alignment horizontal="center"/>
    </xf>
    <xf numFmtId="1" fontId="1" fillId="0" borderId="1" xfId="3" applyNumberFormat="1" applyFont="1" applyFill="1" applyBorder="1" applyAlignment="1">
      <alignment horizontal="right" wrapText="1"/>
    </xf>
    <xf numFmtId="2" fontId="1" fillId="0" borderId="1" xfId="3" applyNumberFormat="1" applyFont="1" applyFill="1" applyBorder="1" applyAlignment="1">
      <alignment horizontal="right" wrapText="1"/>
    </xf>
    <xf numFmtId="4" fontId="1" fillId="0" borderId="1" xfId="3" applyNumberFormat="1" applyFont="1" applyFill="1" applyBorder="1" applyAlignment="1">
      <alignment horizontal="right" wrapText="1"/>
    </xf>
    <xf numFmtId="14" fontId="1" fillId="0" borderId="1" xfId="3" applyNumberFormat="1" applyFont="1" applyFill="1" applyBorder="1" applyAlignment="1">
      <alignment horizontal="right" wrapText="1"/>
    </xf>
    <xf numFmtId="0" fontId="7" fillId="0" borderId="0" xfId="0" applyFont="1" applyBorder="1" applyAlignment="1">
      <alignment horizontal="center"/>
    </xf>
    <xf numFmtId="0" fontId="9" fillId="0" borderId="0" xfId="2" applyFont="1" applyBorder="1" applyProtection="1"/>
    <xf numFmtId="166" fontId="9" fillId="0" borderId="0" xfId="2" applyNumberFormat="1" applyFont="1" applyBorder="1" applyProtection="1"/>
    <xf numFmtId="0" fontId="10" fillId="0" borderId="0" xfId="0" applyFont="1" applyBorder="1"/>
    <xf numFmtId="166" fontId="10" fillId="0" borderId="0" xfId="0" applyNumberFormat="1" applyFont="1"/>
    <xf numFmtId="0" fontId="10" fillId="0" borderId="0" xfId="0" applyFont="1"/>
    <xf numFmtId="14" fontId="10" fillId="0" borderId="3" xfId="0" applyNumberFormat="1" applyFont="1" applyBorder="1" applyAlignment="1">
      <alignment horizontal="right"/>
    </xf>
    <xf numFmtId="167" fontId="10" fillId="0" borderId="4" xfId="0" applyNumberFormat="1" applyFont="1" applyFill="1" applyBorder="1" applyAlignment="1">
      <alignment horizontal="right"/>
    </xf>
    <xf numFmtId="0" fontId="10" fillId="0" borderId="4" xfId="0" applyFont="1" applyBorder="1"/>
    <xf numFmtId="38" fontId="10" fillId="0" borderId="5" xfId="0" applyNumberFormat="1" applyFont="1" applyFill="1" applyBorder="1" applyAlignment="1">
      <alignment horizontal="right"/>
    </xf>
    <xf numFmtId="0" fontId="14" fillId="0" borderId="3" xfId="0" applyFont="1" applyBorder="1"/>
    <xf numFmtId="1" fontId="14" fillId="0" borderId="4" xfId="0" applyNumberFormat="1" applyFont="1" applyBorder="1"/>
    <xf numFmtId="1" fontId="14" fillId="0" borderId="6" xfId="0" applyNumberFormat="1" applyFont="1" applyBorder="1"/>
    <xf numFmtId="14" fontId="11" fillId="0" borderId="3" xfId="0" applyNumberFormat="1" applyFont="1" applyBorder="1" applyAlignment="1">
      <alignment horizontal="left"/>
    </xf>
    <xf numFmtId="38" fontId="10" fillId="0" borderId="6" xfId="0" applyNumberFormat="1" applyFont="1" applyFill="1" applyBorder="1" applyAlignment="1">
      <alignment horizontal="right"/>
    </xf>
    <xf numFmtId="14" fontId="15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" fontId="10" fillId="0" borderId="0" xfId="0" applyNumberFormat="1" applyFont="1" applyAlignment="1">
      <alignment horizontal="center"/>
    </xf>
    <xf numFmtId="1" fontId="10" fillId="0" borderId="0" xfId="0" quotePrefix="1" applyNumberFormat="1" applyFont="1" applyAlignment="1">
      <alignment horizontal="center"/>
    </xf>
    <xf numFmtId="14" fontId="11" fillId="0" borderId="8" xfId="0" applyNumberFormat="1" applyFont="1" applyBorder="1" applyAlignment="1">
      <alignment horizontal="center" wrapText="1"/>
    </xf>
    <xf numFmtId="167" fontId="11" fillId="0" borderId="9" xfId="0" applyNumberFormat="1" applyFont="1" applyFill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1" fillId="0" borderId="9" xfId="0" quotePrefix="1" applyFont="1" applyFill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166" fontId="12" fillId="0" borderId="11" xfId="0" applyNumberFormat="1" applyFont="1" applyBorder="1" applyAlignment="1">
      <alignment horizontal="center" wrapText="1"/>
    </xf>
    <xf numFmtId="0" fontId="12" fillId="0" borderId="0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14" fontId="15" fillId="0" borderId="12" xfId="0" applyNumberFormat="1" applyFont="1" applyBorder="1" applyAlignment="1">
      <alignment horizontal="right"/>
    </xf>
    <xf numFmtId="167" fontId="15" fillId="0" borderId="4" xfId="0" applyNumberFormat="1" applyFont="1" applyFill="1" applyBorder="1" applyAlignment="1">
      <alignment horizontal="right"/>
    </xf>
    <xf numFmtId="0" fontId="15" fillId="0" borderId="4" xfId="0" applyFont="1" applyBorder="1"/>
    <xf numFmtId="0" fontId="17" fillId="0" borderId="4" xfId="0" applyFont="1" applyBorder="1"/>
    <xf numFmtId="38" fontId="15" fillId="0" borderId="4" xfId="0" applyNumberFormat="1" applyFont="1" applyFill="1" applyBorder="1" applyAlignment="1">
      <alignment horizontal="right"/>
    </xf>
    <xf numFmtId="164" fontId="17" fillId="0" borderId="13" xfId="0" applyNumberFormat="1" applyFont="1" applyBorder="1"/>
    <xf numFmtId="166" fontId="18" fillId="0" borderId="11" xfId="0" applyNumberFormat="1" applyFont="1" applyBorder="1"/>
    <xf numFmtId="164" fontId="18" fillId="0" borderId="0" xfId="0" applyNumberFormat="1" applyFont="1" applyBorder="1"/>
    <xf numFmtId="0" fontId="19" fillId="0" borderId="0" xfId="0" applyFont="1"/>
    <xf numFmtId="14" fontId="15" fillId="0" borderId="3" xfId="0" applyNumberFormat="1" applyFont="1" applyBorder="1"/>
    <xf numFmtId="20" fontId="15" fillId="0" borderId="4" xfId="0" applyNumberFormat="1" applyFont="1" applyBorder="1"/>
    <xf numFmtId="1" fontId="15" fillId="0" borderId="4" xfId="0" applyNumberFormat="1" applyFont="1" applyBorder="1"/>
    <xf numFmtId="38" fontId="15" fillId="0" borderId="4" xfId="0" applyNumberFormat="1" applyFont="1" applyBorder="1"/>
    <xf numFmtId="164" fontId="17" fillId="0" borderId="6" xfId="0" applyNumberFormat="1" applyFont="1" applyBorder="1"/>
    <xf numFmtId="38" fontId="15" fillId="0" borderId="14" xfId="0" applyNumberFormat="1" applyFont="1" applyBorder="1"/>
    <xf numFmtId="0" fontId="15" fillId="0" borderId="15" xfId="0" applyFont="1" applyBorder="1"/>
    <xf numFmtId="20" fontId="15" fillId="0" borderId="16" xfId="0" applyNumberFormat="1" applyFont="1" applyBorder="1"/>
    <xf numFmtId="1" fontId="15" fillId="0" borderId="16" xfId="0" applyNumberFormat="1" applyFont="1" applyBorder="1"/>
    <xf numFmtId="0" fontId="17" fillId="0" borderId="16" xfId="0" applyFont="1" applyBorder="1"/>
    <xf numFmtId="164" fontId="17" fillId="0" borderId="17" xfId="0" applyNumberFormat="1" applyFont="1" applyBorder="1"/>
    <xf numFmtId="0" fontId="0" fillId="0" borderId="0" xfId="0" applyBorder="1"/>
    <xf numFmtId="1" fontId="20" fillId="0" borderId="9" xfId="0" applyNumberFormat="1" applyFont="1" applyBorder="1" applyAlignment="1">
      <alignment horizontal="center" vertical="center" wrapText="1"/>
    </xf>
    <xf numFmtId="1" fontId="13" fillId="0" borderId="4" xfId="0" applyNumberFormat="1" applyFont="1" applyBorder="1" applyAlignment="1">
      <alignment horizontal="center" vertical="center" wrapText="1"/>
    </xf>
    <xf numFmtId="164" fontId="17" fillId="3" borderId="18" xfId="0" applyNumberFormat="1" applyFont="1" applyFill="1" applyBorder="1" applyAlignment="1">
      <alignment vertical="center"/>
    </xf>
    <xf numFmtId="166" fontId="18" fillId="0" borderId="11" xfId="0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" fontId="3" fillId="2" borderId="0" xfId="1" applyNumberFormat="1" applyFont="1" applyFill="1" applyBorder="1" applyAlignment="1">
      <alignment horizontal="center" wrapText="1"/>
    </xf>
    <xf numFmtId="14" fontId="3" fillId="2" borderId="19" xfId="1" applyNumberFormat="1" applyFont="1" applyFill="1" applyBorder="1" applyAlignment="1">
      <alignment wrapText="1"/>
    </xf>
    <xf numFmtId="14" fontId="3" fillId="2" borderId="20" xfId="1" applyNumberFormat="1" applyFont="1" applyFill="1" applyBorder="1" applyAlignment="1">
      <alignment horizontal="center" wrapText="1"/>
    </xf>
    <xf numFmtId="2" fontId="1" fillId="0" borderId="21" xfId="3" applyNumberFormat="1" applyFont="1" applyFill="1" applyBorder="1" applyAlignment="1">
      <alignment horizontal="right" wrapText="1"/>
    </xf>
    <xf numFmtId="3" fontId="1" fillId="0" borderId="1" xfId="3" applyNumberFormat="1" applyFont="1" applyFill="1" applyBorder="1" applyAlignment="1">
      <alignment horizontal="right" wrapText="1"/>
    </xf>
    <xf numFmtId="3" fontId="1" fillId="0" borderId="21" xfId="3" applyNumberFormat="1" applyFont="1" applyFill="1" applyBorder="1" applyAlignment="1">
      <alignment horizontal="right" wrapText="1"/>
    </xf>
    <xf numFmtId="1" fontId="21" fillId="0" borderId="1" xfId="3" applyNumberFormat="1" applyFont="1" applyFill="1" applyBorder="1" applyAlignment="1">
      <alignment horizontal="right" wrapText="1"/>
    </xf>
    <xf numFmtId="4" fontId="21" fillId="0" borderId="1" xfId="3" applyNumberFormat="1" applyFont="1" applyFill="1" applyBorder="1" applyAlignment="1">
      <alignment horizontal="right" wrapText="1"/>
    </xf>
    <xf numFmtId="1" fontId="1" fillId="0" borderId="1" xfId="2" applyNumberFormat="1" applyFont="1" applyFill="1" applyBorder="1" applyAlignment="1">
      <alignment horizontal="right" wrapText="1"/>
    </xf>
    <xf numFmtId="2" fontId="1" fillId="0" borderId="1" xfId="2" applyNumberFormat="1" applyFont="1" applyFill="1" applyBorder="1" applyAlignment="1">
      <alignment horizontal="right" wrapText="1"/>
    </xf>
    <xf numFmtId="0" fontId="22" fillId="0" borderId="0" xfId="0" applyFont="1"/>
    <xf numFmtId="20" fontId="22" fillId="0" borderId="0" xfId="0" applyNumberFormat="1" applyFont="1"/>
    <xf numFmtId="0" fontId="23" fillId="0" borderId="0" xfId="0" applyFont="1"/>
    <xf numFmtId="18" fontId="22" fillId="0" borderId="0" xfId="0" applyNumberFormat="1" applyFont="1"/>
    <xf numFmtId="13" fontId="22" fillId="0" borderId="0" xfId="0" applyNumberFormat="1" applyFont="1"/>
    <xf numFmtId="0" fontId="22" fillId="0" borderId="0" xfId="0" applyFont="1"/>
    <xf numFmtId="0" fontId="22" fillId="0" borderId="0" xfId="0" applyFont="1"/>
    <xf numFmtId="13" fontId="22" fillId="0" borderId="0" xfId="0" applyNumberFormat="1" applyFont="1"/>
    <xf numFmtId="0" fontId="22" fillId="0" borderId="0" xfId="0" applyFont="1"/>
    <xf numFmtId="0" fontId="22" fillId="0" borderId="0" xfId="0" applyFont="1"/>
    <xf numFmtId="0" fontId="22" fillId="0" borderId="0" xfId="0" applyFont="1"/>
    <xf numFmtId="2" fontId="1" fillId="0" borderId="1" xfId="3" applyNumberFormat="1" applyFont="1" applyFill="1" applyBorder="1" applyAlignment="1">
      <alignment horizontal="right" wrapText="1"/>
    </xf>
    <xf numFmtId="4" fontId="1" fillId="0" borderId="1" xfId="3" applyNumberFormat="1" applyFont="1" applyFill="1" applyBorder="1" applyAlignment="1">
      <alignment horizontal="right" wrapText="1"/>
    </xf>
    <xf numFmtId="0" fontId="22" fillId="0" borderId="0" xfId="0" applyFont="1"/>
    <xf numFmtId="3" fontId="24" fillId="0" borderId="1" xfId="3" applyNumberFormat="1" applyFont="1" applyFill="1" applyBorder="1" applyAlignment="1">
      <alignment horizontal="right" wrapText="1"/>
    </xf>
    <xf numFmtId="14" fontId="25" fillId="2" borderId="20" xfId="1" applyNumberFormat="1" applyFont="1" applyFill="1" applyBorder="1" applyAlignment="1">
      <alignment horizontal="center" wrapText="1"/>
    </xf>
    <xf numFmtId="3" fontId="25" fillId="2" borderId="1" xfId="1" applyNumberFormat="1" applyFont="1" applyFill="1" applyBorder="1" applyAlignment="1">
      <alignment horizontal="center" wrapText="1"/>
    </xf>
    <xf numFmtId="2" fontId="25" fillId="2" borderId="1" xfId="1" applyNumberFormat="1" applyFont="1" applyFill="1" applyBorder="1" applyAlignment="1">
      <alignment horizontal="center" wrapText="1"/>
    </xf>
    <xf numFmtId="4" fontId="25" fillId="2" borderId="1" xfId="1" applyNumberFormat="1" applyFont="1" applyFill="1" applyBorder="1" applyAlignment="1">
      <alignment horizontal="center" wrapText="1"/>
    </xf>
    <xf numFmtId="14" fontId="25" fillId="2" borderId="19" xfId="1" applyNumberFormat="1" applyFont="1" applyFill="1" applyBorder="1" applyAlignment="1">
      <alignment wrapText="1"/>
    </xf>
    <xf numFmtId="4" fontId="25" fillId="2" borderId="0" xfId="1" applyNumberFormat="1" applyFont="1" applyFill="1" applyBorder="1" applyAlignment="1">
      <alignment horizontal="center" wrapText="1"/>
    </xf>
    <xf numFmtId="14" fontId="24" fillId="0" borderId="1" xfId="3" applyNumberFormat="1" applyFont="1" applyFill="1" applyBorder="1" applyAlignment="1">
      <alignment horizontal="right" wrapText="1"/>
    </xf>
    <xf numFmtId="2" fontId="24" fillId="0" borderId="1" xfId="3" applyNumberFormat="1" applyFont="1" applyFill="1" applyBorder="1" applyAlignment="1">
      <alignment horizontal="right" wrapText="1"/>
    </xf>
    <xf numFmtId="0" fontId="26" fillId="0" borderId="0" xfId="0" applyFont="1"/>
    <xf numFmtId="20" fontId="26" fillId="0" borderId="0" xfId="0" applyNumberFormat="1" applyFont="1"/>
    <xf numFmtId="14" fontId="25" fillId="0" borderId="2" xfId="0" applyNumberFormat="1" applyFont="1" applyBorder="1"/>
    <xf numFmtId="0" fontId="27" fillId="0" borderId="0" xfId="0" applyFont="1"/>
    <xf numFmtId="14" fontId="25" fillId="0" borderId="1" xfId="0" applyNumberFormat="1" applyFont="1" applyBorder="1"/>
    <xf numFmtId="3" fontId="25" fillId="0" borderId="1" xfId="0" applyNumberFormat="1" applyFont="1" applyBorder="1"/>
    <xf numFmtId="4" fontId="25" fillId="0" borderId="1" xfId="0" applyNumberFormat="1" applyFont="1" applyBorder="1"/>
    <xf numFmtId="0" fontId="25" fillId="0" borderId="0" xfId="0" applyFont="1"/>
    <xf numFmtId="14" fontId="27" fillId="0" borderId="0" xfId="0" applyNumberFormat="1" applyFont="1"/>
    <xf numFmtId="3" fontId="27" fillId="0" borderId="0" xfId="0" applyNumberFormat="1" applyFont="1"/>
    <xf numFmtId="165" fontId="27" fillId="0" borderId="0" xfId="0" applyNumberFormat="1" applyFont="1" applyAlignment="1">
      <alignment horizontal="center"/>
    </xf>
    <xf numFmtId="165" fontId="27" fillId="0" borderId="0" xfId="0" applyNumberFormat="1" applyFont="1"/>
    <xf numFmtId="14" fontId="28" fillId="0" borderId="1" xfId="2" applyNumberFormat="1" applyFont="1" applyFill="1" applyBorder="1" applyAlignment="1">
      <alignment horizontal="right" wrapText="1"/>
    </xf>
    <xf numFmtId="1" fontId="28" fillId="0" borderId="1" xfId="3" applyNumberFormat="1" applyFont="1" applyFill="1" applyBorder="1" applyAlignment="1">
      <alignment horizontal="right" wrapText="1"/>
    </xf>
    <xf numFmtId="2" fontId="28" fillId="0" borderId="1" xfId="3" applyNumberFormat="1" applyFont="1" applyFill="1" applyBorder="1" applyAlignment="1">
      <alignment horizontal="right" wrapText="1"/>
    </xf>
    <xf numFmtId="4" fontId="28" fillId="0" borderId="1" xfId="3" applyNumberFormat="1" applyFont="1" applyFill="1" applyBorder="1" applyAlignment="1">
      <alignment horizontal="right" wrapText="1"/>
    </xf>
    <xf numFmtId="0" fontId="29" fillId="0" borderId="0" xfId="0" applyFont="1"/>
    <xf numFmtId="2" fontId="28" fillId="0" borderId="1" xfId="2" applyNumberFormat="1" applyFont="1" applyFill="1" applyBorder="1" applyAlignment="1">
      <alignment horizontal="right" wrapText="1"/>
    </xf>
    <xf numFmtId="1" fontId="28" fillId="0" borderId="29" xfId="3" applyNumberFormat="1" applyFont="1" applyFill="1" applyBorder="1" applyAlignment="1">
      <alignment horizontal="right" wrapText="1"/>
    </xf>
    <xf numFmtId="1" fontId="28" fillId="0" borderId="30" xfId="3" applyNumberFormat="1" applyFont="1" applyFill="1" applyBorder="1" applyAlignment="1">
      <alignment horizontal="right" wrapText="1"/>
    </xf>
    <xf numFmtId="2" fontId="28" fillId="0" borderId="28" xfId="3" applyNumberFormat="1" applyFont="1" applyFill="1" applyBorder="1" applyAlignment="1">
      <alignment horizontal="right" wrapText="1"/>
    </xf>
    <xf numFmtId="4" fontId="28" fillId="0" borderId="1" xfId="2" applyNumberFormat="1" applyFont="1" applyFill="1" applyBorder="1" applyAlignment="1">
      <alignment horizontal="right" wrapText="1"/>
    </xf>
    <xf numFmtId="1" fontId="28" fillId="0" borderId="1" xfId="2" applyNumberFormat="1" applyFont="1" applyFill="1" applyBorder="1" applyAlignment="1">
      <alignment horizontal="right" wrapText="1"/>
    </xf>
    <xf numFmtId="14" fontId="30" fillId="0" borderId="2" xfId="0" applyNumberFormat="1" applyFont="1" applyBorder="1"/>
    <xf numFmtId="3" fontId="30" fillId="0" borderId="2" xfId="0" applyNumberFormat="1" applyFont="1" applyBorder="1"/>
    <xf numFmtId="4" fontId="30" fillId="0" borderId="2" xfId="0" applyNumberFormat="1" applyFont="1" applyBorder="1"/>
    <xf numFmtId="0" fontId="30" fillId="0" borderId="0" xfId="0" applyFont="1"/>
    <xf numFmtId="14" fontId="30" fillId="0" borderId="1" xfId="0" applyNumberFormat="1" applyFont="1" applyBorder="1"/>
    <xf numFmtId="3" fontId="30" fillId="0" borderId="1" xfId="0" applyNumberFormat="1" applyFont="1" applyBorder="1"/>
    <xf numFmtId="4" fontId="30" fillId="0" borderId="1" xfId="0" applyNumberFormat="1" applyFont="1" applyBorder="1"/>
    <xf numFmtId="1" fontId="28" fillId="0" borderId="31" xfId="3" applyNumberFormat="1" applyFont="1" applyFill="1" applyBorder="1" applyAlignment="1">
      <alignment horizontal="right" wrapText="1"/>
    </xf>
    <xf numFmtId="1" fontId="28" fillId="0" borderId="32" xfId="3" applyNumberFormat="1" applyFont="1" applyFill="1" applyBorder="1" applyAlignment="1">
      <alignment horizontal="right" wrapText="1"/>
    </xf>
    <xf numFmtId="1" fontId="28" fillId="0" borderId="19" xfId="2" applyNumberFormat="1" applyFont="1" applyFill="1" applyBorder="1" applyAlignment="1">
      <alignment horizontal="right" wrapText="1"/>
    </xf>
    <xf numFmtId="1" fontId="28" fillId="0" borderId="4" xfId="3" applyNumberFormat="1" applyFont="1" applyFill="1" applyBorder="1" applyAlignment="1">
      <alignment horizontal="right" wrapText="1"/>
    </xf>
    <xf numFmtId="4" fontId="1" fillId="0" borderId="1" xfId="2" applyNumberFormat="1" applyFont="1" applyFill="1" applyBorder="1" applyAlignment="1">
      <alignment horizontal="right" wrapText="1"/>
    </xf>
    <xf numFmtId="1" fontId="31" fillId="0" borderId="1" xfId="3" applyNumberFormat="1" applyFont="1" applyFill="1" applyBorder="1" applyAlignment="1">
      <alignment horizontal="right" wrapText="1"/>
    </xf>
    <xf numFmtId="1" fontId="1" fillId="0" borderId="28" xfId="3" applyNumberFormat="1" applyFont="1" applyFill="1" applyBorder="1" applyAlignment="1">
      <alignment horizontal="right" wrapText="1"/>
    </xf>
    <xf numFmtId="0" fontId="7" fillId="0" borderId="0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8" fillId="0" borderId="23" xfId="2" applyFont="1" applyBorder="1" applyAlignment="1" applyProtection="1">
      <alignment horizontal="center" wrapText="1"/>
    </xf>
    <xf numFmtId="0" fontId="8" fillId="0" borderId="22" xfId="2" applyFont="1" applyBorder="1" applyAlignment="1" applyProtection="1">
      <alignment horizontal="center" wrapText="1"/>
    </xf>
    <xf numFmtId="14" fontId="7" fillId="0" borderId="24" xfId="0" applyNumberFormat="1" applyFont="1" applyBorder="1" applyAlignment="1">
      <alignment horizontal="center"/>
    </xf>
    <xf numFmtId="14" fontId="7" fillId="0" borderId="0" xfId="0" applyNumberFormat="1" applyFont="1" applyBorder="1" applyAlignment="1">
      <alignment horizontal="center"/>
    </xf>
    <xf numFmtId="1" fontId="13" fillId="0" borderId="25" xfId="0" applyNumberFormat="1" applyFont="1" applyBorder="1" applyAlignment="1">
      <alignment horizontal="right" vertical="center" wrapText="1"/>
    </xf>
    <xf numFmtId="1" fontId="13" fillId="0" borderId="26" xfId="0" applyNumberFormat="1" applyFont="1" applyBorder="1" applyAlignment="1">
      <alignment horizontal="right" vertical="center" wrapText="1"/>
    </xf>
    <xf numFmtId="1" fontId="13" fillId="0" borderId="27" xfId="0" applyNumberFormat="1" applyFont="1" applyBorder="1" applyAlignment="1">
      <alignment horizontal="right" vertical="center" wrapText="1"/>
    </xf>
  </cellXfs>
  <cellStyles count="4">
    <cellStyle name="Normal" xfId="0" builtinId="0"/>
    <cellStyle name="Normal_Sheet1" xfId="1"/>
    <cellStyle name="Normal_Sheet1_1" xfId="2"/>
    <cellStyle name="Normal_Sheet1_1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7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27" sqref="I27"/>
    </sheetView>
  </sheetViews>
  <sheetFormatPr defaultRowHeight="15" x14ac:dyDescent="0.25"/>
  <cols>
    <col min="1" max="1" width="13.5703125" bestFit="1" customWidth="1"/>
    <col min="2" max="8" width="11.7109375" customWidth="1"/>
    <col min="9" max="9" width="26.28515625" bestFit="1" customWidth="1"/>
  </cols>
  <sheetData>
    <row r="1" spans="1:10" s="1" customFormat="1" ht="30" x14ac:dyDescent="0.25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10" s="1" customFormat="1" x14ac:dyDescent="0.25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10" x14ac:dyDescent="0.25">
      <c r="A3" s="28">
        <v>43709</v>
      </c>
      <c r="B3" s="25">
        <v>235</v>
      </c>
      <c r="C3" s="25">
        <v>5</v>
      </c>
      <c r="D3" s="25">
        <v>414</v>
      </c>
      <c r="E3" s="26">
        <v>0</v>
      </c>
      <c r="F3" s="26">
        <v>0</v>
      </c>
      <c r="G3" s="154">
        <v>0</v>
      </c>
      <c r="H3" s="27">
        <v>4034.6</v>
      </c>
      <c r="I3" s="95" t="s">
        <v>133</v>
      </c>
    </row>
    <row r="4" spans="1:10" x14ac:dyDescent="0.25">
      <c r="A4" s="28">
        <v>43710</v>
      </c>
      <c r="B4" s="25">
        <v>169</v>
      </c>
      <c r="C4" s="25">
        <v>18</v>
      </c>
      <c r="D4" s="25">
        <v>373</v>
      </c>
      <c r="E4" s="106">
        <v>0</v>
      </c>
      <c r="F4" s="106">
        <v>0</v>
      </c>
      <c r="G4" s="154">
        <v>0</v>
      </c>
      <c r="H4" s="27">
        <v>4034.6</v>
      </c>
      <c r="I4" s="95" t="s">
        <v>52</v>
      </c>
    </row>
    <row r="5" spans="1:10" x14ac:dyDescent="0.25">
      <c r="A5" s="28">
        <v>43711</v>
      </c>
      <c r="B5" s="25">
        <v>133</v>
      </c>
      <c r="C5" s="25">
        <v>0</v>
      </c>
      <c r="D5" s="25">
        <v>334</v>
      </c>
      <c r="E5" s="106">
        <v>0</v>
      </c>
      <c r="F5" s="106">
        <v>0</v>
      </c>
      <c r="G5" s="154">
        <v>0</v>
      </c>
      <c r="H5" s="27">
        <v>4034.6</v>
      </c>
      <c r="I5" s="95" t="s">
        <v>134</v>
      </c>
    </row>
    <row r="6" spans="1:10" x14ac:dyDescent="0.25">
      <c r="A6" s="28">
        <v>43712</v>
      </c>
      <c r="B6" s="25">
        <v>83</v>
      </c>
      <c r="C6" s="25">
        <v>0</v>
      </c>
      <c r="D6" s="25">
        <v>297</v>
      </c>
      <c r="E6" s="106">
        <v>0</v>
      </c>
      <c r="F6" s="106">
        <v>0</v>
      </c>
      <c r="G6" s="154">
        <v>0</v>
      </c>
      <c r="H6" s="27">
        <v>4034.62</v>
      </c>
      <c r="I6" s="95" t="s">
        <v>135</v>
      </c>
    </row>
    <row r="7" spans="1:10" x14ac:dyDescent="0.25">
      <c r="A7" s="28">
        <v>43713</v>
      </c>
      <c r="B7" s="25">
        <v>50</v>
      </c>
      <c r="C7" s="25">
        <v>0</v>
      </c>
      <c r="D7" s="25">
        <v>277</v>
      </c>
      <c r="E7" s="26">
        <v>0.1</v>
      </c>
      <c r="F7" s="106">
        <v>0</v>
      </c>
      <c r="G7" s="154">
        <v>0</v>
      </c>
      <c r="H7" s="27">
        <v>4034.62</v>
      </c>
      <c r="I7" s="95"/>
    </row>
    <row r="8" spans="1:10" x14ac:dyDescent="0.25">
      <c r="A8" s="28">
        <v>43714</v>
      </c>
      <c r="B8" s="25">
        <v>81</v>
      </c>
      <c r="C8" s="25">
        <v>0</v>
      </c>
      <c r="D8" s="25">
        <v>267</v>
      </c>
      <c r="E8" s="26">
        <v>0</v>
      </c>
      <c r="F8" s="106">
        <v>0</v>
      </c>
      <c r="G8" s="154">
        <v>0</v>
      </c>
      <c r="H8" s="27">
        <v>4034.62</v>
      </c>
      <c r="I8" s="100" t="s">
        <v>136</v>
      </c>
      <c r="J8" t="s">
        <v>141</v>
      </c>
    </row>
    <row r="9" spans="1:10" x14ac:dyDescent="0.25">
      <c r="A9" s="28">
        <v>43715</v>
      </c>
      <c r="B9" s="25">
        <v>65</v>
      </c>
      <c r="C9" s="25">
        <v>0</v>
      </c>
      <c r="D9" s="25">
        <v>252</v>
      </c>
      <c r="E9" s="106">
        <v>0</v>
      </c>
      <c r="F9" s="106">
        <v>0</v>
      </c>
      <c r="G9" s="154">
        <v>0</v>
      </c>
      <c r="H9" s="27">
        <v>4034.64</v>
      </c>
      <c r="I9" s="101" t="s">
        <v>137</v>
      </c>
    </row>
    <row r="10" spans="1:10" x14ac:dyDescent="0.25">
      <c r="A10" s="28">
        <v>43716</v>
      </c>
      <c r="B10" s="25">
        <v>42</v>
      </c>
      <c r="C10" s="25">
        <v>0</v>
      </c>
      <c r="D10" s="25">
        <v>213</v>
      </c>
      <c r="E10" s="106">
        <v>0</v>
      </c>
      <c r="F10" s="106">
        <v>0</v>
      </c>
      <c r="G10" s="154">
        <v>0</v>
      </c>
      <c r="H10" s="27">
        <v>4034.64</v>
      </c>
      <c r="I10" s="95" t="s">
        <v>138</v>
      </c>
    </row>
    <row r="11" spans="1:10" x14ac:dyDescent="0.25">
      <c r="A11" s="28">
        <v>43717</v>
      </c>
      <c r="B11" s="25">
        <v>25</v>
      </c>
      <c r="C11" s="25">
        <v>0</v>
      </c>
      <c r="D11" s="25">
        <v>230</v>
      </c>
      <c r="E11" s="26">
        <v>0</v>
      </c>
      <c r="F11" s="26">
        <v>0</v>
      </c>
      <c r="G11" s="25">
        <v>0</v>
      </c>
      <c r="H11" s="27">
        <v>4034.64</v>
      </c>
      <c r="I11" s="102"/>
    </row>
    <row r="12" spans="1:10" x14ac:dyDescent="0.25">
      <c r="A12" s="28">
        <v>43718</v>
      </c>
      <c r="B12" s="25">
        <v>53</v>
      </c>
      <c r="C12" s="25">
        <v>0</v>
      </c>
      <c r="D12" s="25">
        <v>234</v>
      </c>
      <c r="E12" s="106">
        <v>0</v>
      </c>
      <c r="F12" s="106">
        <v>0</v>
      </c>
      <c r="G12" s="25">
        <v>0</v>
      </c>
      <c r="H12" s="107">
        <v>4034.64</v>
      </c>
      <c r="I12" s="103" t="s">
        <v>139</v>
      </c>
    </row>
    <row r="13" spans="1:10" x14ac:dyDescent="0.25">
      <c r="A13" s="28">
        <v>43719</v>
      </c>
      <c r="B13" s="25">
        <v>75</v>
      </c>
      <c r="C13" s="25">
        <v>0</v>
      </c>
      <c r="D13" s="25">
        <v>233</v>
      </c>
      <c r="E13" s="106">
        <v>0</v>
      </c>
      <c r="F13" s="106">
        <v>0</v>
      </c>
      <c r="G13" s="25">
        <v>0</v>
      </c>
      <c r="H13" s="107">
        <v>4034.64</v>
      </c>
      <c r="I13" s="104"/>
    </row>
    <row r="14" spans="1:10" x14ac:dyDescent="0.25">
      <c r="A14" s="28">
        <v>43720</v>
      </c>
      <c r="B14" s="25">
        <v>97</v>
      </c>
      <c r="C14" s="25">
        <v>0</v>
      </c>
      <c r="D14" s="25">
        <v>229</v>
      </c>
      <c r="E14" s="106">
        <v>0</v>
      </c>
      <c r="F14" s="106">
        <v>0</v>
      </c>
      <c r="G14" s="25">
        <v>0</v>
      </c>
      <c r="H14" s="107">
        <v>4034.64</v>
      </c>
      <c r="I14" s="105" t="s">
        <v>140</v>
      </c>
    </row>
    <row r="15" spans="1:10" x14ac:dyDescent="0.25">
      <c r="A15" s="28">
        <v>43721</v>
      </c>
      <c r="B15" s="25">
        <v>100</v>
      </c>
      <c r="C15" s="25">
        <v>0</v>
      </c>
      <c r="D15" s="25">
        <v>237</v>
      </c>
      <c r="E15" s="106">
        <v>0</v>
      </c>
      <c r="F15" s="106">
        <v>0</v>
      </c>
      <c r="G15" s="25">
        <v>0</v>
      </c>
      <c r="H15" s="107">
        <v>4034.64</v>
      </c>
      <c r="I15" s="95"/>
    </row>
    <row r="16" spans="1:10" x14ac:dyDescent="0.25">
      <c r="A16" s="28">
        <v>43722</v>
      </c>
      <c r="B16" s="25">
        <v>52</v>
      </c>
      <c r="C16" s="25">
        <v>22</v>
      </c>
      <c r="D16" s="25">
        <v>238</v>
      </c>
      <c r="E16" s="106">
        <v>0</v>
      </c>
      <c r="F16" s="106">
        <v>0</v>
      </c>
      <c r="G16" s="25">
        <v>0</v>
      </c>
      <c r="H16" s="107">
        <v>4034.64</v>
      </c>
      <c r="I16" s="108" t="s">
        <v>142</v>
      </c>
    </row>
    <row r="17" spans="1:9" x14ac:dyDescent="0.25">
      <c r="A17" s="28">
        <v>43723</v>
      </c>
      <c r="B17" s="25">
        <v>18</v>
      </c>
      <c r="C17" s="25">
        <v>14</v>
      </c>
      <c r="D17" s="25">
        <v>190</v>
      </c>
      <c r="E17" s="106">
        <v>0</v>
      </c>
      <c r="F17" s="106">
        <v>0</v>
      </c>
      <c r="G17" s="25">
        <v>0</v>
      </c>
      <c r="H17" s="107">
        <v>4034.64</v>
      </c>
      <c r="I17" s="95"/>
    </row>
    <row r="18" spans="1:9" x14ac:dyDescent="0.25">
      <c r="A18" s="28">
        <v>43724</v>
      </c>
      <c r="B18" s="25">
        <v>7</v>
      </c>
      <c r="C18" s="25">
        <v>52</v>
      </c>
      <c r="D18" s="25">
        <v>174</v>
      </c>
      <c r="E18" s="106">
        <v>0.53</v>
      </c>
      <c r="F18" s="106">
        <v>0</v>
      </c>
      <c r="G18" s="25">
        <v>0</v>
      </c>
      <c r="H18" s="107">
        <v>4034.75</v>
      </c>
      <c r="I18" s="95" t="s">
        <v>143</v>
      </c>
    </row>
    <row r="19" spans="1:9" x14ac:dyDescent="0.25">
      <c r="A19" s="28">
        <v>43725</v>
      </c>
      <c r="B19" s="25">
        <v>0</v>
      </c>
      <c r="C19" s="25">
        <v>74</v>
      </c>
      <c r="D19" s="25">
        <v>141</v>
      </c>
      <c r="E19" s="106">
        <v>0.02</v>
      </c>
      <c r="F19" s="106">
        <v>0</v>
      </c>
      <c r="G19" s="25">
        <v>0</v>
      </c>
      <c r="H19" s="107">
        <v>4034.8</v>
      </c>
      <c r="I19" s="95"/>
    </row>
    <row r="20" spans="1:9" x14ac:dyDescent="0.25">
      <c r="A20" s="28">
        <v>43726</v>
      </c>
      <c r="B20" s="25">
        <v>0</v>
      </c>
      <c r="C20" s="25">
        <v>140</v>
      </c>
      <c r="D20" s="25">
        <v>98</v>
      </c>
      <c r="E20" s="106">
        <v>0.32</v>
      </c>
      <c r="F20" s="106">
        <v>0</v>
      </c>
      <c r="G20" s="25">
        <v>0</v>
      </c>
      <c r="H20" s="107">
        <v>4034.83</v>
      </c>
      <c r="I20" s="95"/>
    </row>
    <row r="21" spans="1:9" x14ac:dyDescent="0.25">
      <c r="A21" s="28">
        <v>43727</v>
      </c>
      <c r="B21" s="25">
        <v>0</v>
      </c>
      <c r="C21" s="25">
        <v>120</v>
      </c>
      <c r="D21" s="25">
        <v>81</v>
      </c>
      <c r="E21" s="106">
        <v>0.19</v>
      </c>
      <c r="F21" s="106">
        <v>0</v>
      </c>
      <c r="G21" s="25">
        <v>97</v>
      </c>
      <c r="H21" s="107">
        <v>4034.86</v>
      </c>
      <c r="I21" s="95"/>
    </row>
    <row r="22" spans="1:9" x14ac:dyDescent="0.25">
      <c r="A22" s="28">
        <v>43728</v>
      </c>
      <c r="B22" s="25">
        <v>0</v>
      </c>
      <c r="C22" s="25">
        <v>119</v>
      </c>
      <c r="D22" s="25">
        <v>79</v>
      </c>
      <c r="E22" s="106">
        <v>0</v>
      </c>
      <c r="F22" s="106">
        <v>0</v>
      </c>
      <c r="G22" s="25">
        <v>160</v>
      </c>
      <c r="H22" s="107">
        <v>4034.88</v>
      </c>
      <c r="I22" s="95"/>
    </row>
    <row r="23" spans="1:9" x14ac:dyDescent="0.25">
      <c r="A23" s="28">
        <v>43729</v>
      </c>
      <c r="B23" s="25">
        <v>0</v>
      </c>
      <c r="C23" s="25">
        <v>146</v>
      </c>
      <c r="D23" s="25">
        <v>88</v>
      </c>
      <c r="E23" s="106">
        <v>0</v>
      </c>
      <c r="F23" s="106">
        <v>0</v>
      </c>
      <c r="G23" s="25">
        <v>160</v>
      </c>
      <c r="H23" s="107">
        <v>4034.9</v>
      </c>
      <c r="I23" s="95"/>
    </row>
    <row r="24" spans="1:9" x14ac:dyDescent="0.25">
      <c r="A24" s="28">
        <v>43730</v>
      </c>
      <c r="B24" s="25">
        <v>0</v>
      </c>
      <c r="C24" s="25">
        <v>117</v>
      </c>
      <c r="D24" s="25">
        <v>80</v>
      </c>
      <c r="E24" s="106" t="s">
        <v>40</v>
      </c>
      <c r="F24" s="106">
        <v>0</v>
      </c>
      <c r="G24" s="25">
        <v>160</v>
      </c>
      <c r="H24" s="107">
        <v>4034.9</v>
      </c>
      <c r="I24" s="95"/>
    </row>
    <row r="25" spans="1:9" x14ac:dyDescent="0.25">
      <c r="A25" s="28">
        <v>43731</v>
      </c>
      <c r="B25" s="25">
        <v>0</v>
      </c>
      <c r="C25" s="25">
        <v>140</v>
      </c>
      <c r="D25" s="25">
        <v>77</v>
      </c>
      <c r="E25" s="106">
        <v>0</v>
      </c>
      <c r="F25" s="106">
        <v>0</v>
      </c>
      <c r="G25" s="25">
        <v>160</v>
      </c>
      <c r="H25" s="107">
        <v>4034.9</v>
      </c>
      <c r="I25" s="95"/>
    </row>
    <row r="26" spans="1:9" x14ac:dyDescent="0.25">
      <c r="A26" s="28">
        <v>43732</v>
      </c>
      <c r="B26" s="25">
        <v>0</v>
      </c>
      <c r="C26" s="25">
        <v>99</v>
      </c>
      <c r="D26" s="25">
        <v>79</v>
      </c>
      <c r="E26" s="26">
        <v>0</v>
      </c>
      <c r="F26" s="26">
        <v>0</v>
      </c>
      <c r="G26" s="25">
        <v>160</v>
      </c>
      <c r="H26" s="27">
        <v>4034.92</v>
      </c>
      <c r="I26" s="95"/>
    </row>
    <row r="27" spans="1:9" x14ac:dyDescent="0.25">
      <c r="A27" s="28">
        <v>43733</v>
      </c>
      <c r="B27" s="25">
        <v>0</v>
      </c>
      <c r="C27" s="25">
        <v>91</v>
      </c>
      <c r="D27" s="25">
        <v>75</v>
      </c>
      <c r="E27" s="26">
        <v>0</v>
      </c>
      <c r="F27" s="26">
        <v>0</v>
      </c>
      <c r="G27" s="25">
        <v>160</v>
      </c>
      <c r="H27" s="27">
        <v>4034.92</v>
      </c>
      <c r="I27" s="95"/>
    </row>
    <row r="28" spans="1:9" x14ac:dyDescent="0.25">
      <c r="A28" s="28">
        <v>43734</v>
      </c>
      <c r="B28" s="25">
        <v>0</v>
      </c>
      <c r="C28" s="25">
        <v>77</v>
      </c>
      <c r="D28" s="25">
        <v>80</v>
      </c>
      <c r="E28" s="26">
        <v>0</v>
      </c>
      <c r="F28" s="26">
        <v>0</v>
      </c>
      <c r="G28" s="25">
        <v>160</v>
      </c>
      <c r="H28" s="27">
        <v>4034.92</v>
      </c>
      <c r="I28" s="95"/>
    </row>
    <row r="29" spans="1:9" x14ac:dyDescent="0.25">
      <c r="A29" s="28">
        <v>43735</v>
      </c>
      <c r="B29" s="13">
        <v>0</v>
      </c>
      <c r="C29" s="13">
        <v>71</v>
      </c>
      <c r="D29" s="13">
        <v>77</v>
      </c>
      <c r="E29" s="14">
        <v>0</v>
      </c>
      <c r="F29" s="14">
        <v>0</v>
      </c>
      <c r="G29" s="13">
        <v>160</v>
      </c>
      <c r="H29" s="15">
        <v>4034.9</v>
      </c>
      <c r="I29" s="95"/>
    </row>
    <row r="30" spans="1:9" x14ac:dyDescent="0.25">
      <c r="A30" s="28">
        <v>43736</v>
      </c>
      <c r="B30" s="13">
        <v>0</v>
      </c>
      <c r="C30" s="13">
        <v>62</v>
      </c>
      <c r="D30" s="13">
        <v>69</v>
      </c>
      <c r="E30" s="14">
        <v>0.01</v>
      </c>
      <c r="F30" s="14">
        <v>0</v>
      </c>
      <c r="G30" s="13">
        <v>160</v>
      </c>
      <c r="H30" s="15">
        <v>4034.9</v>
      </c>
      <c r="I30" s="95"/>
    </row>
    <row r="31" spans="1:9" x14ac:dyDescent="0.25">
      <c r="A31" s="28">
        <v>43737</v>
      </c>
      <c r="B31" s="13">
        <v>0</v>
      </c>
      <c r="C31" s="13">
        <v>68</v>
      </c>
      <c r="D31" s="13">
        <v>56</v>
      </c>
      <c r="E31" s="14">
        <v>0.01</v>
      </c>
      <c r="F31" s="14">
        <v>0</v>
      </c>
      <c r="G31" s="13">
        <v>160</v>
      </c>
      <c r="H31" s="15">
        <v>4034.9</v>
      </c>
      <c r="I31" s="95"/>
    </row>
    <row r="32" spans="1:9" ht="15.75" thickBot="1" x14ac:dyDescent="0.3">
      <c r="A32" s="28">
        <v>43738</v>
      </c>
      <c r="B32" s="93">
        <v>0</v>
      </c>
      <c r="C32" s="13">
        <v>74</v>
      </c>
      <c r="D32" s="13">
        <v>51</v>
      </c>
      <c r="E32" s="14">
        <v>0.11</v>
      </c>
      <c r="F32" s="14">
        <v>0</v>
      </c>
      <c r="G32" s="13">
        <v>160</v>
      </c>
      <c r="H32" s="15">
        <v>4034.9</v>
      </c>
      <c r="I32" s="95"/>
    </row>
    <row r="33" spans="1:14" s="11" customFormat="1" ht="15.75" thickTop="1" x14ac:dyDescent="0.25">
      <c r="A33" s="16" t="s">
        <v>8</v>
      </c>
      <c r="B33" s="17">
        <f t="shared" ref="B33:F33" si="0">SUM(B3:B32)</f>
        <v>1285</v>
      </c>
      <c r="C33" s="17">
        <f t="shared" si="0"/>
        <v>1509</v>
      </c>
      <c r="D33" s="17">
        <f t="shared" si="0"/>
        <v>5323</v>
      </c>
      <c r="E33" s="18">
        <f t="shared" si="0"/>
        <v>1.29</v>
      </c>
      <c r="F33" s="18">
        <f t="shared" si="0"/>
        <v>0</v>
      </c>
      <c r="G33" s="17">
        <f>SUM(G4:G32)</f>
        <v>1857</v>
      </c>
      <c r="H33" s="18"/>
    </row>
    <row r="34" spans="1:14" s="11" customFormat="1" x14ac:dyDescent="0.25">
      <c r="A34" s="19" t="s">
        <v>9</v>
      </c>
      <c r="B34" s="20">
        <f>SUM(B33+'Aug 2019'!B35)</f>
        <v>30925</v>
      </c>
      <c r="C34" s="20">
        <f>SUM(C33+'Aug 2019'!C35)</f>
        <v>7662</v>
      </c>
      <c r="D34" s="20">
        <f>SUM(D33+'Aug 2019'!D35)</f>
        <v>55339</v>
      </c>
      <c r="E34" s="21">
        <f>SUM(E33+'Aug 2019'!E35)</f>
        <v>13.475999999999999</v>
      </c>
      <c r="F34" s="21">
        <f>SUM(F33+'Aug 2019'!F35)</f>
        <v>23.87</v>
      </c>
      <c r="G34" s="20">
        <f>SUM(G33+'Aug 2019'!G35)</f>
        <v>30109</v>
      </c>
      <c r="H34" s="21"/>
    </row>
    <row r="36" spans="1:14" x14ac:dyDescent="0.25">
      <c r="A36" t="s">
        <v>10</v>
      </c>
      <c r="B36" s="23">
        <f>SUM(B3:B32)*1.9835</f>
        <v>2548.7975000000001</v>
      </c>
      <c r="C36" s="23">
        <f>SUM(C3:C32)*1.9835</f>
        <v>2993.1015000000002</v>
      </c>
      <c r="D36" s="23">
        <f>SUM(D3:D32)*1.9835</f>
        <v>10558.1705</v>
      </c>
      <c r="E36" s="23"/>
      <c r="F36" s="23"/>
      <c r="G36" s="23"/>
    </row>
    <row r="37" spans="1:14" x14ac:dyDescent="0.25">
      <c r="B37" s="23"/>
      <c r="C37" s="23"/>
      <c r="D37" s="24"/>
      <c r="E37" s="23"/>
      <c r="F37" s="23"/>
      <c r="G37" s="23"/>
    </row>
    <row r="38" spans="1:14" x14ac:dyDescent="0.25">
      <c r="A38" t="s">
        <v>24</v>
      </c>
      <c r="B38" s="23">
        <f>SUM(B36+'Aug 2019'!B39)</f>
        <v>61532.137000000002</v>
      </c>
      <c r="C38" s="23">
        <f>SUM(C36+'Aug 2019'!C39)</f>
        <v>16552.307499999999</v>
      </c>
      <c r="D38" s="23">
        <f>SUM(D36+'Aug 2019'!D39)</f>
        <v>118002.38200000001</v>
      </c>
      <c r="E38" s="23"/>
      <c r="F38" s="23"/>
      <c r="G38" s="23"/>
    </row>
    <row r="40" spans="1:14" ht="17.45" customHeight="1" x14ac:dyDescent="0.25">
      <c r="A40" s="155"/>
      <c r="B40" s="155"/>
      <c r="C40" s="155"/>
      <c r="D40" s="155"/>
      <c r="E40" s="155"/>
      <c r="F40" s="156"/>
      <c r="G40" s="157" t="s">
        <v>12</v>
      </c>
      <c r="H40" s="158"/>
      <c r="I40" s="30"/>
      <c r="J40" s="30"/>
      <c r="K40" s="30"/>
      <c r="L40" s="30"/>
      <c r="M40" s="31"/>
      <c r="N40" s="30"/>
    </row>
    <row r="41" spans="1:14" ht="16.899999999999999" customHeight="1" x14ac:dyDescent="0.25">
      <c r="A41" s="29"/>
      <c r="B41" s="29"/>
      <c r="C41" s="29"/>
      <c r="D41" s="29"/>
      <c r="E41" s="29"/>
      <c r="F41" s="29"/>
      <c r="G41" s="157"/>
      <c r="H41" s="158"/>
      <c r="I41" s="30"/>
      <c r="J41" s="30"/>
      <c r="K41" s="30"/>
      <c r="L41" s="30"/>
      <c r="M41" s="31"/>
      <c r="N41" s="30"/>
    </row>
    <row r="42" spans="1:14" ht="13.9" customHeight="1" thickBot="1" x14ac:dyDescent="0.3">
      <c r="A42" s="159" t="s">
        <v>23</v>
      </c>
      <c r="B42" s="159"/>
      <c r="C42" s="159"/>
      <c r="D42" s="159"/>
      <c r="E42" s="159"/>
      <c r="F42" s="159"/>
      <c r="G42" s="159"/>
      <c r="H42" s="159"/>
      <c r="I42" s="160"/>
      <c r="J42" s="32"/>
      <c r="K42" s="32"/>
      <c r="L42" s="32"/>
      <c r="M42" s="33"/>
      <c r="N42" s="34"/>
    </row>
    <row r="43" spans="1:14" ht="15.6" customHeight="1" x14ac:dyDescent="0.25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3"/>
    </row>
    <row r="44" spans="1:14" x14ac:dyDescent="0.25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3"/>
    </row>
    <row r="45" spans="1:14" x14ac:dyDescent="0.2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2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2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2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ht="13.15" customHeight="1" x14ac:dyDescent="0.25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3"/>
      <c r="N49" s="34"/>
    </row>
    <row r="50" spans="1:14" ht="15.75" thickBot="1" x14ac:dyDescent="0.3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3"/>
      <c r="N50" s="34"/>
    </row>
    <row r="51" spans="1:14" ht="26.25" x14ac:dyDescent="0.25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</row>
    <row r="52" spans="1:14" ht="15.75" x14ac:dyDescent="0.25">
      <c r="A52" s="58"/>
      <c r="B52" s="59"/>
      <c r="C52" s="60"/>
      <c r="D52" s="61"/>
      <c r="E52" s="62"/>
      <c r="F52" s="63">
        <f>SUM(C52/24*D52)</f>
        <v>0</v>
      </c>
      <c r="G52" s="64"/>
      <c r="H52" s="65"/>
      <c r="I52" s="66"/>
    </row>
    <row r="53" spans="1:14" x14ac:dyDescent="0.25">
      <c r="A53" s="67"/>
      <c r="B53" s="68"/>
      <c r="C53" s="69"/>
      <c r="D53" s="61"/>
      <c r="E53" s="70"/>
      <c r="F53" s="71">
        <f>SUM(C53/24*D53)</f>
        <v>0</v>
      </c>
      <c r="G53" s="64"/>
      <c r="H53" s="65"/>
    </row>
    <row r="54" spans="1:14" x14ac:dyDescent="0.25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4" x14ac:dyDescent="0.2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ht="15.75" thickBot="1" x14ac:dyDescent="0.3">
      <c r="A56" s="73"/>
      <c r="B56" s="74"/>
      <c r="C56" s="75"/>
      <c r="D56" s="76"/>
      <c r="E56" s="75"/>
      <c r="F56" s="77">
        <f>SUM(C56/24*D56)</f>
        <v>0</v>
      </c>
      <c r="G56" s="64"/>
      <c r="H56" s="65"/>
      <c r="I56" s="78"/>
    </row>
    <row r="57" spans="1:14" s="84" customFormat="1" ht="30" customHeight="1" x14ac:dyDescent="0.25">
      <c r="A57" s="161" t="s">
        <v>21</v>
      </c>
      <c r="B57" s="162"/>
      <c r="C57" s="163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I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8"/>
  <sheetViews>
    <sheetView zoomScale="112" zoomScaleNormal="112" workbookViewId="0">
      <pane xSplit="1" ySplit="2" topLeftCell="B9" activePane="bottomRight" state="frozen"/>
      <selection pane="topRight" activeCell="B1" sqref="B1"/>
      <selection pane="bottomLeft" activeCell="A3" sqref="A3"/>
      <selection pane="bottomRight" activeCell="A41" sqref="A41:F41"/>
    </sheetView>
  </sheetViews>
  <sheetFormatPr defaultRowHeight="15" outlineLevelRow="2" x14ac:dyDescent="0.25"/>
  <cols>
    <col min="1" max="1" width="13.5703125" bestFit="1" customWidth="1"/>
    <col min="2" max="8" width="11.7109375" customWidth="1"/>
    <col min="9" max="9" width="27.28515625" customWidth="1"/>
  </cols>
  <sheetData>
    <row r="1" spans="1:10" s="1" customFormat="1" ht="30" x14ac:dyDescent="0.25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10" s="1" customFormat="1" x14ac:dyDescent="0.25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10" outlineLevel="1" x14ac:dyDescent="0.25">
      <c r="A3" s="12">
        <v>43678</v>
      </c>
      <c r="B3" s="25">
        <v>415</v>
      </c>
      <c r="C3" s="25">
        <v>0</v>
      </c>
      <c r="D3" s="25">
        <v>453</v>
      </c>
      <c r="E3" s="26">
        <v>0</v>
      </c>
      <c r="F3" s="26">
        <v>0</v>
      </c>
      <c r="G3" s="25">
        <v>0</v>
      </c>
      <c r="H3" s="27">
        <v>4034.56</v>
      </c>
      <c r="I3" s="95" t="s">
        <v>110</v>
      </c>
    </row>
    <row r="4" spans="1:10" outlineLevel="2" x14ac:dyDescent="0.25">
      <c r="A4" s="12">
        <v>43679</v>
      </c>
      <c r="B4" s="25">
        <v>390</v>
      </c>
      <c r="C4" s="25">
        <v>0</v>
      </c>
      <c r="D4" s="25">
        <v>456</v>
      </c>
      <c r="E4" s="26">
        <v>0</v>
      </c>
      <c r="F4" s="26">
        <v>0</v>
      </c>
      <c r="G4" s="25">
        <v>0</v>
      </c>
      <c r="H4" s="27">
        <v>4034.56</v>
      </c>
      <c r="I4" s="95" t="s">
        <v>111</v>
      </c>
    </row>
    <row r="5" spans="1:10" outlineLevel="2" x14ac:dyDescent="0.25">
      <c r="A5" s="12">
        <v>43680</v>
      </c>
      <c r="B5" s="25">
        <v>333</v>
      </c>
      <c r="C5" s="25">
        <v>0</v>
      </c>
      <c r="D5" s="25">
        <v>456</v>
      </c>
      <c r="E5" s="26">
        <v>0</v>
      </c>
      <c r="F5" s="26">
        <v>0</v>
      </c>
      <c r="G5" s="25">
        <v>0</v>
      </c>
      <c r="H5" s="27">
        <v>4034.55</v>
      </c>
      <c r="I5" s="95" t="s">
        <v>112</v>
      </c>
      <c r="J5" t="s">
        <v>113</v>
      </c>
    </row>
    <row r="6" spans="1:10" outlineLevel="2" x14ac:dyDescent="0.25">
      <c r="A6" s="12">
        <v>43681</v>
      </c>
      <c r="B6" s="25">
        <v>280</v>
      </c>
      <c r="C6" s="25">
        <v>0</v>
      </c>
      <c r="D6" s="25">
        <v>391</v>
      </c>
      <c r="E6" s="26">
        <v>0</v>
      </c>
      <c r="F6" s="26">
        <v>0</v>
      </c>
      <c r="G6" s="25">
        <v>0</v>
      </c>
      <c r="H6" s="27">
        <v>4034.55</v>
      </c>
      <c r="I6" s="95" t="s">
        <v>114</v>
      </c>
    </row>
    <row r="7" spans="1:10" outlineLevel="2" x14ac:dyDescent="0.25">
      <c r="A7" s="12">
        <v>43682</v>
      </c>
      <c r="B7" s="25">
        <v>235</v>
      </c>
      <c r="C7" s="25">
        <v>0</v>
      </c>
      <c r="D7" s="25">
        <v>409</v>
      </c>
      <c r="E7" s="106">
        <v>0</v>
      </c>
      <c r="F7" s="106">
        <v>0</v>
      </c>
      <c r="G7" s="25">
        <v>0</v>
      </c>
      <c r="H7" s="27">
        <v>4034.53</v>
      </c>
      <c r="I7" s="95" t="s">
        <v>115</v>
      </c>
    </row>
    <row r="8" spans="1:10" outlineLevel="2" x14ac:dyDescent="0.25">
      <c r="A8" s="12">
        <v>43683</v>
      </c>
      <c r="B8" s="25">
        <v>290</v>
      </c>
      <c r="C8" s="25">
        <v>0</v>
      </c>
      <c r="D8" s="25">
        <v>386</v>
      </c>
      <c r="E8" s="106">
        <v>0</v>
      </c>
      <c r="F8" s="106">
        <v>0</v>
      </c>
      <c r="G8" s="25">
        <v>0</v>
      </c>
      <c r="H8" s="27">
        <v>4034.52</v>
      </c>
      <c r="I8" s="95" t="s">
        <v>116</v>
      </c>
    </row>
    <row r="9" spans="1:10" outlineLevel="2" x14ac:dyDescent="0.25">
      <c r="A9" s="12">
        <v>43684</v>
      </c>
      <c r="B9" s="25">
        <v>282</v>
      </c>
      <c r="C9" s="25">
        <v>0</v>
      </c>
      <c r="D9" s="25">
        <v>405</v>
      </c>
      <c r="E9" s="106">
        <v>0</v>
      </c>
      <c r="F9" s="106">
        <v>0</v>
      </c>
      <c r="G9" s="25">
        <v>0</v>
      </c>
      <c r="H9" s="27">
        <v>4034.52</v>
      </c>
      <c r="I9" s="95" t="s">
        <v>117</v>
      </c>
    </row>
    <row r="10" spans="1:10" outlineLevel="2" x14ac:dyDescent="0.25">
      <c r="A10" s="12">
        <v>43685</v>
      </c>
      <c r="B10" s="25">
        <v>265</v>
      </c>
      <c r="C10" s="25">
        <v>0</v>
      </c>
      <c r="D10" s="25">
        <v>406</v>
      </c>
      <c r="E10" s="106">
        <v>0</v>
      </c>
      <c r="F10" s="106">
        <v>0</v>
      </c>
      <c r="G10" s="25">
        <v>0</v>
      </c>
      <c r="H10" s="27">
        <v>4034.5</v>
      </c>
      <c r="I10" s="95" t="s">
        <v>118</v>
      </c>
    </row>
    <row r="11" spans="1:10" outlineLevel="2" x14ac:dyDescent="0.25">
      <c r="A11" s="12">
        <v>43686</v>
      </c>
      <c r="B11" s="25">
        <v>250</v>
      </c>
      <c r="C11" s="25">
        <v>0</v>
      </c>
      <c r="D11" s="25">
        <v>418</v>
      </c>
      <c r="E11" s="106">
        <v>0</v>
      </c>
      <c r="F11" s="106">
        <v>0</v>
      </c>
      <c r="G11" s="25">
        <v>0</v>
      </c>
      <c r="H11" s="27">
        <v>4034.5</v>
      </c>
      <c r="I11" s="95"/>
    </row>
    <row r="12" spans="1:10" outlineLevel="2" x14ac:dyDescent="0.25">
      <c r="A12" s="12">
        <v>43687</v>
      </c>
      <c r="B12" s="25">
        <v>169</v>
      </c>
      <c r="C12" s="25">
        <v>44</v>
      </c>
      <c r="D12" s="25">
        <v>373</v>
      </c>
      <c r="E12" s="26">
        <v>0.49</v>
      </c>
      <c r="F12" s="106">
        <v>0</v>
      </c>
      <c r="G12" s="25">
        <v>0</v>
      </c>
      <c r="H12" s="27">
        <v>4034.52</v>
      </c>
      <c r="I12" s="95" t="s">
        <v>120</v>
      </c>
    </row>
    <row r="13" spans="1:10" outlineLevel="2" x14ac:dyDescent="0.25">
      <c r="A13" s="12">
        <v>43688</v>
      </c>
      <c r="B13" s="25">
        <v>100</v>
      </c>
      <c r="C13" s="25">
        <v>37</v>
      </c>
      <c r="D13" s="25">
        <v>312</v>
      </c>
      <c r="E13" s="26">
        <v>0.04</v>
      </c>
      <c r="F13" s="106">
        <v>0</v>
      </c>
      <c r="G13" s="25">
        <v>0</v>
      </c>
      <c r="H13" s="27">
        <v>4034.54</v>
      </c>
      <c r="I13" s="102" t="s">
        <v>119</v>
      </c>
    </row>
    <row r="14" spans="1:10" outlineLevel="2" x14ac:dyDescent="0.25">
      <c r="A14" s="12">
        <v>43689</v>
      </c>
      <c r="B14" s="25">
        <v>50</v>
      </c>
      <c r="C14" s="25">
        <v>8</v>
      </c>
      <c r="D14" s="25">
        <v>244</v>
      </c>
      <c r="E14" s="26">
        <v>0</v>
      </c>
      <c r="F14" s="26">
        <v>0</v>
      </c>
      <c r="G14" s="25">
        <v>0</v>
      </c>
      <c r="H14" s="27">
        <v>4034.54</v>
      </c>
      <c r="I14" s="95"/>
    </row>
    <row r="15" spans="1:10" outlineLevel="2" x14ac:dyDescent="0.25">
      <c r="A15" s="12">
        <v>43690</v>
      </c>
      <c r="B15" s="25">
        <v>50</v>
      </c>
      <c r="C15" s="25">
        <v>0</v>
      </c>
      <c r="D15" s="25">
        <v>194</v>
      </c>
      <c r="E15" s="26">
        <v>0</v>
      </c>
      <c r="F15" s="26">
        <v>0</v>
      </c>
      <c r="G15" s="25">
        <v>0</v>
      </c>
      <c r="H15" s="27">
        <v>4034.55</v>
      </c>
      <c r="I15" s="95"/>
    </row>
    <row r="16" spans="1:10" outlineLevel="2" x14ac:dyDescent="0.25">
      <c r="A16" s="12">
        <v>43691</v>
      </c>
      <c r="B16" s="25">
        <v>99</v>
      </c>
      <c r="C16" s="25">
        <v>0</v>
      </c>
      <c r="D16" s="25">
        <v>220</v>
      </c>
      <c r="E16" s="26">
        <v>0</v>
      </c>
      <c r="F16" s="26">
        <v>0</v>
      </c>
      <c r="G16" s="25">
        <v>0</v>
      </c>
      <c r="H16" s="27">
        <v>4034.56</v>
      </c>
      <c r="I16" s="95" t="s">
        <v>121</v>
      </c>
    </row>
    <row r="17" spans="1:10" outlineLevel="2" x14ac:dyDescent="0.25">
      <c r="A17" s="12">
        <v>43692</v>
      </c>
      <c r="B17" s="25">
        <v>205</v>
      </c>
      <c r="C17" s="25">
        <v>0</v>
      </c>
      <c r="D17" s="25">
        <v>254</v>
      </c>
      <c r="E17" s="26">
        <v>0</v>
      </c>
      <c r="F17" s="26">
        <v>0</v>
      </c>
      <c r="G17" s="25">
        <v>0</v>
      </c>
      <c r="H17" s="27">
        <v>4034.56</v>
      </c>
      <c r="I17" s="95" t="s">
        <v>122</v>
      </c>
    </row>
    <row r="18" spans="1:10" outlineLevel="2" x14ac:dyDescent="0.25">
      <c r="A18" s="12">
        <v>43693</v>
      </c>
      <c r="B18" s="25">
        <v>233</v>
      </c>
      <c r="C18" s="25">
        <v>0</v>
      </c>
      <c r="D18" s="25">
        <v>328</v>
      </c>
      <c r="E18" s="26">
        <v>0</v>
      </c>
      <c r="F18" s="26">
        <v>0</v>
      </c>
      <c r="G18" s="25">
        <v>0</v>
      </c>
      <c r="H18" s="27">
        <v>4034.58</v>
      </c>
      <c r="I18" s="95" t="s">
        <v>123</v>
      </c>
    </row>
    <row r="19" spans="1:10" outlineLevel="2" x14ac:dyDescent="0.25">
      <c r="A19" s="12">
        <v>43694</v>
      </c>
      <c r="B19" s="25">
        <v>181</v>
      </c>
      <c r="C19" s="25">
        <v>0</v>
      </c>
      <c r="D19" s="25">
        <v>342</v>
      </c>
      <c r="E19" s="26">
        <v>0</v>
      </c>
      <c r="F19" s="26">
        <v>0</v>
      </c>
      <c r="G19" s="25">
        <v>0</v>
      </c>
      <c r="H19" s="27">
        <v>4034.58</v>
      </c>
      <c r="I19" s="95" t="s">
        <v>124</v>
      </c>
    </row>
    <row r="20" spans="1:10" outlineLevel="2" x14ac:dyDescent="0.25">
      <c r="A20" s="12">
        <v>43695</v>
      </c>
      <c r="B20" s="25">
        <v>160</v>
      </c>
      <c r="C20" s="25">
        <v>18</v>
      </c>
      <c r="D20" s="25">
        <v>336</v>
      </c>
      <c r="E20" s="26">
        <v>0</v>
      </c>
      <c r="F20" s="26">
        <v>0</v>
      </c>
      <c r="G20" s="25">
        <v>0</v>
      </c>
      <c r="H20" s="27">
        <v>4034.6</v>
      </c>
      <c r="I20" s="95" t="s">
        <v>125</v>
      </c>
      <c r="J20" s="10"/>
    </row>
    <row r="21" spans="1:10" outlineLevel="2" x14ac:dyDescent="0.25">
      <c r="A21" s="12">
        <v>43696</v>
      </c>
      <c r="B21" s="25">
        <v>146</v>
      </c>
      <c r="C21" s="25">
        <v>0</v>
      </c>
      <c r="D21" s="25">
        <v>322</v>
      </c>
      <c r="E21" s="106">
        <v>0</v>
      </c>
      <c r="F21" s="106">
        <v>0</v>
      </c>
      <c r="G21" s="25">
        <v>0</v>
      </c>
      <c r="H21" s="107">
        <v>4034.6</v>
      </c>
      <c r="I21" s="95" t="s">
        <v>126</v>
      </c>
      <c r="J21" s="10"/>
    </row>
    <row r="22" spans="1:10" outlineLevel="2" x14ac:dyDescent="0.25">
      <c r="A22" s="12">
        <v>43697</v>
      </c>
      <c r="B22" s="25">
        <v>213</v>
      </c>
      <c r="C22" s="25">
        <v>0</v>
      </c>
      <c r="D22" s="25">
        <v>337</v>
      </c>
      <c r="E22" s="106">
        <v>0</v>
      </c>
      <c r="F22" s="106">
        <v>0</v>
      </c>
      <c r="G22" s="25">
        <v>0</v>
      </c>
      <c r="H22" s="107">
        <v>4034.6</v>
      </c>
      <c r="I22" s="95" t="s">
        <v>127</v>
      </c>
      <c r="J22" s="10"/>
    </row>
    <row r="23" spans="1:10" outlineLevel="2" x14ac:dyDescent="0.25">
      <c r="A23" s="12">
        <v>43698</v>
      </c>
      <c r="B23" s="25">
        <v>286</v>
      </c>
      <c r="C23" s="25">
        <v>0</v>
      </c>
      <c r="D23" s="25">
        <v>350</v>
      </c>
      <c r="E23" s="106">
        <v>0</v>
      </c>
      <c r="F23" s="106">
        <v>0</v>
      </c>
      <c r="G23" s="25">
        <v>0</v>
      </c>
      <c r="H23" s="107">
        <v>4034.6</v>
      </c>
      <c r="I23" s="95" t="s">
        <v>92</v>
      </c>
      <c r="J23" s="10"/>
    </row>
    <row r="24" spans="1:10" outlineLevel="2" x14ac:dyDescent="0.25">
      <c r="A24" s="12">
        <v>43699</v>
      </c>
      <c r="B24" s="25">
        <v>215</v>
      </c>
      <c r="C24" s="25">
        <v>7</v>
      </c>
      <c r="D24" s="25">
        <v>371</v>
      </c>
      <c r="E24" s="106">
        <v>0</v>
      </c>
      <c r="F24" s="106">
        <v>0</v>
      </c>
      <c r="G24" s="25">
        <v>0</v>
      </c>
      <c r="H24" s="107">
        <v>4034.6</v>
      </c>
      <c r="I24" s="95" t="s">
        <v>128</v>
      </c>
      <c r="J24" s="10"/>
    </row>
    <row r="25" spans="1:10" outlineLevel="2" x14ac:dyDescent="0.25">
      <c r="A25" s="12">
        <v>43700</v>
      </c>
      <c r="B25" s="25">
        <v>200</v>
      </c>
      <c r="C25" s="25">
        <v>1</v>
      </c>
      <c r="D25" s="25">
        <v>382</v>
      </c>
      <c r="E25" s="106">
        <v>0</v>
      </c>
      <c r="F25" s="106">
        <v>0</v>
      </c>
      <c r="G25" s="25">
        <v>0</v>
      </c>
      <c r="H25" s="107">
        <v>4034.6</v>
      </c>
      <c r="I25" s="95"/>
      <c r="J25" s="10"/>
    </row>
    <row r="26" spans="1:10" outlineLevel="2" x14ac:dyDescent="0.25">
      <c r="A26" s="12">
        <v>43701</v>
      </c>
      <c r="B26" s="25">
        <v>206</v>
      </c>
      <c r="C26" s="25">
        <v>0</v>
      </c>
      <c r="D26" s="25">
        <v>401</v>
      </c>
      <c r="E26" s="106">
        <v>0</v>
      </c>
      <c r="F26" s="106">
        <v>0</v>
      </c>
      <c r="G26" s="25">
        <v>0</v>
      </c>
      <c r="H26" s="107">
        <v>4034.6</v>
      </c>
      <c r="I26" s="95" t="s">
        <v>129</v>
      </c>
    </row>
    <row r="27" spans="1:10" outlineLevel="2" x14ac:dyDescent="0.25">
      <c r="A27" s="12">
        <v>43702</v>
      </c>
      <c r="B27" s="25">
        <v>250</v>
      </c>
      <c r="C27" s="25">
        <v>0</v>
      </c>
      <c r="D27" s="25">
        <v>377</v>
      </c>
      <c r="E27" s="106">
        <v>0</v>
      </c>
      <c r="F27" s="106">
        <v>0</v>
      </c>
      <c r="G27" s="25">
        <v>0</v>
      </c>
      <c r="H27" s="107">
        <v>4034.6</v>
      </c>
      <c r="I27" s="99"/>
    </row>
    <row r="28" spans="1:10" outlineLevel="2" x14ac:dyDescent="0.25">
      <c r="A28" s="12">
        <v>43703</v>
      </c>
      <c r="B28" s="25">
        <v>250</v>
      </c>
      <c r="C28" s="25">
        <v>9</v>
      </c>
      <c r="D28" s="25">
        <v>408</v>
      </c>
      <c r="E28" s="106">
        <v>0</v>
      </c>
      <c r="F28" s="106">
        <v>0</v>
      </c>
      <c r="G28" s="25">
        <v>0</v>
      </c>
      <c r="H28" s="107">
        <v>4034.6</v>
      </c>
      <c r="I28" s="95"/>
    </row>
    <row r="29" spans="1:10" outlineLevel="2" x14ac:dyDescent="0.25">
      <c r="A29" s="12">
        <v>43704</v>
      </c>
      <c r="B29" s="25">
        <v>250</v>
      </c>
      <c r="C29" s="25">
        <v>22</v>
      </c>
      <c r="D29" s="25">
        <v>445</v>
      </c>
      <c r="E29" s="106">
        <v>0</v>
      </c>
      <c r="F29" s="106">
        <v>0</v>
      </c>
      <c r="G29" s="25">
        <v>0</v>
      </c>
      <c r="H29" s="107">
        <v>4034.6</v>
      </c>
      <c r="I29" s="95"/>
    </row>
    <row r="30" spans="1:10" outlineLevel="2" x14ac:dyDescent="0.25">
      <c r="A30" s="12">
        <v>43705</v>
      </c>
      <c r="B30" s="25">
        <v>236</v>
      </c>
      <c r="C30" s="25">
        <v>0</v>
      </c>
      <c r="D30" s="25">
        <v>467</v>
      </c>
      <c r="E30" s="106">
        <v>0</v>
      </c>
      <c r="F30" s="106">
        <v>0</v>
      </c>
      <c r="G30" s="25">
        <v>0</v>
      </c>
      <c r="H30" s="107">
        <v>4034.6</v>
      </c>
      <c r="I30" s="95" t="s">
        <v>130</v>
      </c>
    </row>
    <row r="31" spans="1:10" outlineLevel="2" x14ac:dyDescent="0.25">
      <c r="A31" s="12">
        <v>43706</v>
      </c>
      <c r="B31" s="25">
        <v>210</v>
      </c>
      <c r="C31" s="25">
        <v>0</v>
      </c>
      <c r="D31" s="25">
        <v>459</v>
      </c>
      <c r="E31" s="106">
        <v>0</v>
      </c>
      <c r="F31" s="106">
        <v>0</v>
      </c>
      <c r="G31" s="25">
        <v>0</v>
      </c>
      <c r="H31" s="107">
        <v>4034.6</v>
      </c>
      <c r="I31" s="95" t="s">
        <v>131</v>
      </c>
    </row>
    <row r="32" spans="1:10" outlineLevel="2" x14ac:dyDescent="0.25">
      <c r="A32" s="12">
        <v>43707</v>
      </c>
      <c r="B32" s="25">
        <v>258</v>
      </c>
      <c r="C32" s="25">
        <v>0</v>
      </c>
      <c r="D32" s="25">
        <v>474</v>
      </c>
      <c r="E32" s="106">
        <v>0</v>
      </c>
      <c r="F32" s="106">
        <v>0</v>
      </c>
      <c r="G32" s="25">
        <v>0</v>
      </c>
      <c r="H32" s="107">
        <v>4034.6</v>
      </c>
      <c r="I32" s="95" t="s">
        <v>132</v>
      </c>
    </row>
    <row r="33" spans="1:14" ht="15.75" outlineLevel="2" thickBot="1" x14ac:dyDescent="0.3">
      <c r="A33" s="12">
        <v>43708</v>
      </c>
      <c r="B33" s="25">
        <v>300</v>
      </c>
      <c r="C33" s="25">
        <v>0</v>
      </c>
      <c r="D33" s="25">
        <v>465</v>
      </c>
      <c r="E33" s="106">
        <v>0</v>
      </c>
      <c r="F33" s="106">
        <v>0</v>
      </c>
      <c r="G33" s="25">
        <v>0</v>
      </c>
      <c r="H33" s="107">
        <v>4034.6</v>
      </c>
      <c r="I33" s="95"/>
    </row>
    <row r="34" spans="1:14" s="11" customFormat="1" ht="15.75" outlineLevel="1" thickTop="1" x14ac:dyDescent="0.25">
      <c r="A34" s="16" t="s">
        <v>8</v>
      </c>
      <c r="B34" s="17">
        <f t="shared" ref="B34:G34" si="0">SUM(B3:B33)</f>
        <v>7007</v>
      </c>
      <c r="C34" s="17">
        <f t="shared" si="0"/>
        <v>146</v>
      </c>
      <c r="D34" s="17">
        <f t="shared" si="0"/>
        <v>11641</v>
      </c>
      <c r="E34" s="18">
        <f t="shared" si="0"/>
        <v>0.53</v>
      </c>
      <c r="F34" s="18">
        <f t="shared" si="0"/>
        <v>0</v>
      </c>
      <c r="G34" s="17">
        <f t="shared" si="0"/>
        <v>0</v>
      </c>
      <c r="H34" s="18"/>
    </row>
    <row r="35" spans="1:14" s="11" customFormat="1" outlineLevel="1" x14ac:dyDescent="0.25">
      <c r="A35" s="19" t="s">
        <v>9</v>
      </c>
      <c r="B35" s="20">
        <f>SUM(B34+'Jul 2019'!B35)</f>
        <v>29640</v>
      </c>
      <c r="C35" s="20">
        <f>SUM(C34+'Jul 2019'!C35)</f>
        <v>6153</v>
      </c>
      <c r="D35" s="20">
        <f>SUM(D34+'Jul 2019'!D35)</f>
        <v>50016</v>
      </c>
      <c r="E35" s="21">
        <f>SUM(E34+'Jul 2019'!E35)</f>
        <v>12.185999999999998</v>
      </c>
      <c r="F35" s="21">
        <f>SUM(F34+'Jul 2019'!F35)</f>
        <v>23.87</v>
      </c>
      <c r="G35" s="20">
        <f>SUM(G34+'Jul 2019'!G35)</f>
        <v>28252</v>
      </c>
      <c r="H35" s="21"/>
    </row>
    <row r="36" spans="1:14" outlineLevel="1" x14ac:dyDescent="0.25"/>
    <row r="37" spans="1:14" x14ac:dyDescent="0.25">
      <c r="A37" t="s">
        <v>10</v>
      </c>
      <c r="B37" s="23">
        <f>SUM(B3:B33)*1.9835</f>
        <v>13898.3845</v>
      </c>
      <c r="C37" s="23">
        <f>SUM(C3:C33)*1.9835</f>
        <v>289.59100000000001</v>
      </c>
      <c r="D37" s="23">
        <f>SUM(D3:D33)*1.9835</f>
        <v>23089.923500000001</v>
      </c>
      <c r="E37" s="23"/>
      <c r="F37" s="23"/>
      <c r="G37" s="23"/>
    </row>
    <row r="38" spans="1:14" x14ac:dyDescent="0.25">
      <c r="B38" s="23"/>
      <c r="C38" s="23"/>
      <c r="D38" s="24"/>
      <c r="E38" s="23"/>
      <c r="F38" s="23"/>
      <c r="G38" s="23"/>
    </row>
    <row r="39" spans="1:14" x14ac:dyDescent="0.25">
      <c r="A39" t="s">
        <v>24</v>
      </c>
      <c r="B39" s="23">
        <f>SUM(B37+'Jul 2019'!B39)</f>
        <v>58983.339500000002</v>
      </c>
      <c r="C39" s="23">
        <f>SUM(C37+'Jul 2019'!C39)</f>
        <v>13559.205999999998</v>
      </c>
      <c r="D39" s="23">
        <f>SUM(D37+'Jul 2019'!D39)</f>
        <v>107444.2115</v>
      </c>
      <c r="E39" s="23"/>
      <c r="F39" s="23"/>
      <c r="G39" s="23"/>
    </row>
    <row r="41" spans="1:14" ht="17.45" customHeight="1" x14ac:dyDescent="0.25">
      <c r="A41" s="155"/>
      <c r="B41" s="155"/>
      <c r="C41" s="155"/>
      <c r="D41" s="155"/>
      <c r="E41" s="155"/>
      <c r="F41" s="156"/>
      <c r="G41" s="157" t="s">
        <v>12</v>
      </c>
      <c r="H41" s="158"/>
      <c r="I41" s="30"/>
      <c r="J41" s="30"/>
      <c r="K41" s="30"/>
      <c r="L41" s="30"/>
      <c r="M41" s="31"/>
      <c r="N41" s="30"/>
    </row>
    <row r="42" spans="1:14" ht="16.899999999999999" customHeight="1" x14ac:dyDescent="0.25">
      <c r="A42" s="29"/>
      <c r="B42" s="29"/>
      <c r="C42" s="29"/>
      <c r="D42" s="29"/>
      <c r="E42" s="29"/>
      <c r="F42" s="29"/>
      <c r="G42" s="157"/>
      <c r="H42" s="158"/>
      <c r="I42" s="30"/>
      <c r="J42" s="30"/>
      <c r="K42" s="30"/>
      <c r="L42" s="30"/>
      <c r="M42" s="31"/>
      <c r="N42" s="30"/>
    </row>
    <row r="43" spans="1:14" ht="13.9" customHeight="1" thickBot="1" x14ac:dyDescent="0.3">
      <c r="A43" s="159" t="s">
        <v>23</v>
      </c>
      <c r="B43" s="159"/>
      <c r="C43" s="159"/>
      <c r="D43" s="159"/>
      <c r="E43" s="159"/>
      <c r="F43" s="159"/>
      <c r="G43" s="159"/>
      <c r="H43" s="159"/>
      <c r="I43" s="160"/>
      <c r="J43" s="32"/>
      <c r="K43" s="32"/>
      <c r="L43" s="32"/>
      <c r="M43" s="33"/>
      <c r="N43" s="34"/>
    </row>
    <row r="44" spans="1:14" ht="15.6" customHeight="1" x14ac:dyDescent="0.25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3"/>
    </row>
    <row r="45" spans="1:14" x14ac:dyDescent="0.2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2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2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2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x14ac:dyDescent="0.25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3"/>
    </row>
    <row r="50" spans="1:14" ht="13.15" customHeight="1" x14ac:dyDescent="0.25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3"/>
      <c r="N50" s="34"/>
    </row>
    <row r="51" spans="1:14" ht="15.75" thickBot="1" x14ac:dyDescent="0.3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3"/>
      <c r="N51" s="34"/>
    </row>
    <row r="52" spans="1:14" ht="26.25" x14ac:dyDescent="0.2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</row>
    <row r="53" spans="1:14" ht="15.75" outlineLevel="1" x14ac:dyDescent="0.25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66"/>
    </row>
    <row r="54" spans="1:14" outlineLevel="1" x14ac:dyDescent="0.25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4" outlineLevel="1" x14ac:dyDescent="0.2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outlineLevel="1" x14ac:dyDescent="0.25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4" ht="15.75" outlineLevel="1" thickBot="1" x14ac:dyDescent="0.3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</row>
    <row r="58" spans="1:14" s="84" customFormat="1" ht="30" customHeight="1" x14ac:dyDescent="0.25">
      <c r="A58" s="161" t="s">
        <v>21</v>
      </c>
      <c r="B58" s="162"/>
      <c r="C58" s="163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I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8"/>
  <sheetViews>
    <sheetView zoomScale="124" zoomScaleNormal="124" workbookViewId="0">
      <pane xSplit="1" ySplit="2" topLeftCell="B15" activePane="bottomRight" state="frozen"/>
      <selection pane="topRight" activeCell="B1" sqref="B1"/>
      <selection pane="bottomLeft" activeCell="A3" sqref="A3"/>
      <selection pane="bottomRight" activeCell="G33" sqref="G33"/>
    </sheetView>
  </sheetViews>
  <sheetFormatPr defaultRowHeight="15" x14ac:dyDescent="0.25"/>
  <cols>
    <col min="1" max="1" width="13.5703125" bestFit="1" customWidth="1"/>
    <col min="2" max="8" width="11.7109375" customWidth="1"/>
    <col min="9" max="9" width="30" customWidth="1"/>
  </cols>
  <sheetData>
    <row r="1" spans="1:9" s="1" customFormat="1" ht="30" x14ac:dyDescent="0.25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25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25">
      <c r="A3" s="28">
        <v>43647</v>
      </c>
      <c r="B3" s="25">
        <v>340</v>
      </c>
      <c r="C3" s="25">
        <v>0</v>
      </c>
      <c r="D3" s="25">
        <v>459</v>
      </c>
      <c r="E3" s="26">
        <v>0</v>
      </c>
      <c r="F3" s="26">
        <v>0</v>
      </c>
      <c r="G3" s="25">
        <v>0</v>
      </c>
      <c r="H3" s="27">
        <v>4034.8</v>
      </c>
      <c r="I3" s="98" t="s">
        <v>85</v>
      </c>
    </row>
    <row r="4" spans="1:9" x14ac:dyDescent="0.25">
      <c r="A4" s="28">
        <v>43648</v>
      </c>
      <c r="B4" s="25">
        <v>296</v>
      </c>
      <c r="C4" s="25">
        <v>0</v>
      </c>
      <c r="D4" s="25">
        <v>455</v>
      </c>
      <c r="E4" s="26">
        <v>0</v>
      </c>
      <c r="F4" s="26">
        <v>0</v>
      </c>
      <c r="G4" s="25">
        <v>0</v>
      </c>
      <c r="H4" s="27">
        <v>4034.75</v>
      </c>
      <c r="I4" s="95" t="s">
        <v>86</v>
      </c>
    </row>
    <row r="5" spans="1:9" x14ac:dyDescent="0.25">
      <c r="A5" s="28">
        <v>43649</v>
      </c>
      <c r="B5" s="25">
        <v>313</v>
      </c>
      <c r="C5" s="25">
        <v>0</v>
      </c>
      <c r="D5" s="25">
        <v>447</v>
      </c>
      <c r="E5" s="26">
        <v>0</v>
      </c>
      <c r="F5" s="26">
        <v>0</v>
      </c>
      <c r="G5" s="25">
        <v>0</v>
      </c>
      <c r="H5" s="27">
        <v>4034.75</v>
      </c>
      <c r="I5" s="95" t="s">
        <v>87</v>
      </c>
    </row>
    <row r="6" spans="1:9" x14ac:dyDescent="0.25">
      <c r="A6" s="28">
        <v>43650</v>
      </c>
      <c r="B6" s="25">
        <v>291</v>
      </c>
      <c r="C6" s="25">
        <v>0</v>
      </c>
      <c r="D6" s="25">
        <v>413</v>
      </c>
      <c r="E6" s="26">
        <v>0</v>
      </c>
      <c r="F6" s="26">
        <v>0</v>
      </c>
      <c r="G6" s="25">
        <v>0</v>
      </c>
      <c r="H6" s="27">
        <v>4034.75</v>
      </c>
      <c r="I6" s="95" t="s">
        <v>88</v>
      </c>
    </row>
    <row r="7" spans="1:9" x14ac:dyDescent="0.25">
      <c r="A7" s="28">
        <v>43651</v>
      </c>
      <c r="B7" s="25">
        <v>229</v>
      </c>
      <c r="C7" s="25">
        <v>46</v>
      </c>
      <c r="D7" s="25">
        <v>365</v>
      </c>
      <c r="E7" s="26">
        <v>0</v>
      </c>
      <c r="F7" s="26">
        <v>0</v>
      </c>
      <c r="G7" s="25">
        <v>0</v>
      </c>
      <c r="H7" s="27">
        <v>4034.7</v>
      </c>
      <c r="I7" s="95" t="s">
        <v>89</v>
      </c>
    </row>
    <row r="8" spans="1:9" x14ac:dyDescent="0.25">
      <c r="A8" s="28">
        <v>43652</v>
      </c>
      <c r="B8" s="25">
        <v>150</v>
      </c>
      <c r="C8" s="25">
        <v>3</v>
      </c>
      <c r="D8" s="25">
        <v>317</v>
      </c>
      <c r="E8" s="26">
        <v>0</v>
      </c>
      <c r="F8" s="26">
        <v>0</v>
      </c>
      <c r="G8" s="25">
        <v>0</v>
      </c>
      <c r="H8" s="27">
        <v>4034.68</v>
      </c>
    </row>
    <row r="9" spans="1:9" x14ac:dyDescent="0.25">
      <c r="A9" s="28">
        <v>43653</v>
      </c>
      <c r="B9" s="25">
        <v>185</v>
      </c>
      <c r="C9" s="25">
        <v>0</v>
      </c>
      <c r="D9" s="25">
        <v>302</v>
      </c>
      <c r="E9" s="26">
        <v>0</v>
      </c>
      <c r="F9" s="26">
        <v>0</v>
      </c>
      <c r="G9" s="25">
        <v>0</v>
      </c>
      <c r="H9" s="27">
        <v>4034.67</v>
      </c>
      <c r="I9" s="95" t="s">
        <v>90</v>
      </c>
    </row>
    <row r="10" spans="1:9" x14ac:dyDescent="0.25">
      <c r="A10" s="28">
        <v>43654</v>
      </c>
      <c r="B10" s="25">
        <v>242</v>
      </c>
      <c r="C10" s="25">
        <v>0</v>
      </c>
      <c r="D10" s="25">
        <v>392</v>
      </c>
      <c r="E10" s="106">
        <v>0</v>
      </c>
      <c r="F10" s="106">
        <v>0</v>
      </c>
      <c r="G10" s="25">
        <v>0</v>
      </c>
      <c r="H10" s="27">
        <v>4034.68</v>
      </c>
      <c r="I10" s="95" t="s">
        <v>91</v>
      </c>
    </row>
    <row r="11" spans="1:9" x14ac:dyDescent="0.25">
      <c r="A11" s="28">
        <v>43655</v>
      </c>
      <c r="B11" s="25">
        <v>287</v>
      </c>
      <c r="C11" s="25">
        <v>0</v>
      </c>
      <c r="D11" s="25">
        <v>463</v>
      </c>
      <c r="E11" s="106">
        <v>0</v>
      </c>
      <c r="F11" s="106">
        <v>0</v>
      </c>
      <c r="G11" s="25">
        <v>0</v>
      </c>
      <c r="H11" s="27">
        <v>4034.68</v>
      </c>
      <c r="I11" s="95" t="s">
        <v>92</v>
      </c>
    </row>
    <row r="12" spans="1:9" x14ac:dyDescent="0.25">
      <c r="A12" s="28">
        <v>43656</v>
      </c>
      <c r="B12" s="25">
        <v>250</v>
      </c>
      <c r="C12" s="25">
        <v>0</v>
      </c>
      <c r="D12" s="25">
        <v>385</v>
      </c>
      <c r="E12" s="106">
        <v>0</v>
      </c>
      <c r="F12" s="106">
        <v>0</v>
      </c>
      <c r="G12" s="25">
        <v>0</v>
      </c>
      <c r="H12" s="27">
        <v>4034.7</v>
      </c>
      <c r="I12" s="108"/>
    </row>
    <row r="13" spans="1:9" x14ac:dyDescent="0.25">
      <c r="A13" s="28">
        <v>43657</v>
      </c>
      <c r="B13" s="25">
        <v>231</v>
      </c>
      <c r="C13" s="25">
        <v>0</v>
      </c>
      <c r="D13" s="25">
        <v>363</v>
      </c>
      <c r="E13" s="106">
        <v>0</v>
      </c>
      <c r="F13" s="106">
        <v>0</v>
      </c>
      <c r="G13" s="25">
        <v>0</v>
      </c>
      <c r="H13" s="27">
        <v>3034.7</v>
      </c>
      <c r="I13" s="95" t="s">
        <v>93</v>
      </c>
    </row>
    <row r="14" spans="1:9" x14ac:dyDescent="0.25">
      <c r="A14" s="28">
        <v>43658</v>
      </c>
      <c r="B14" s="25">
        <v>190</v>
      </c>
      <c r="C14" s="25">
        <v>14</v>
      </c>
      <c r="D14" s="25">
        <v>308</v>
      </c>
      <c r="E14" s="106">
        <v>0</v>
      </c>
      <c r="F14" s="106">
        <v>0</v>
      </c>
      <c r="G14" s="25">
        <v>0</v>
      </c>
      <c r="H14" s="27">
        <v>4034.68</v>
      </c>
      <c r="I14" s="95" t="s">
        <v>94</v>
      </c>
    </row>
    <row r="15" spans="1:9" x14ac:dyDescent="0.25">
      <c r="A15" s="28">
        <v>43659</v>
      </c>
      <c r="B15" s="25">
        <v>150</v>
      </c>
      <c r="C15" s="25">
        <v>2</v>
      </c>
      <c r="D15" s="25">
        <v>300</v>
      </c>
      <c r="E15" s="106">
        <v>0</v>
      </c>
      <c r="F15" s="106">
        <v>0</v>
      </c>
      <c r="G15" s="25">
        <v>0</v>
      </c>
      <c r="H15" s="27">
        <v>4034.68</v>
      </c>
    </row>
    <row r="16" spans="1:9" x14ac:dyDescent="0.25">
      <c r="A16" s="28">
        <v>43660</v>
      </c>
      <c r="B16" s="25">
        <v>150</v>
      </c>
      <c r="C16" s="25">
        <v>0</v>
      </c>
      <c r="D16" s="25">
        <v>340</v>
      </c>
      <c r="E16" s="106">
        <v>0</v>
      </c>
      <c r="F16" s="106">
        <v>0</v>
      </c>
      <c r="G16" s="25">
        <v>0</v>
      </c>
      <c r="H16" s="27">
        <v>4034.68</v>
      </c>
      <c r="I16" s="95"/>
    </row>
    <row r="17" spans="1:9" x14ac:dyDescent="0.25">
      <c r="A17" s="28">
        <v>43661</v>
      </c>
      <c r="B17" s="25">
        <v>150</v>
      </c>
      <c r="C17" s="25">
        <v>0</v>
      </c>
      <c r="D17" s="25">
        <v>339</v>
      </c>
      <c r="E17" s="26">
        <v>0.03</v>
      </c>
      <c r="F17" s="106">
        <v>0</v>
      </c>
      <c r="G17" s="25">
        <v>0</v>
      </c>
      <c r="H17" s="27">
        <v>4034.67</v>
      </c>
      <c r="I17" s="95"/>
    </row>
    <row r="18" spans="1:9" x14ac:dyDescent="0.25">
      <c r="A18" s="28">
        <v>43662</v>
      </c>
      <c r="B18" s="25">
        <v>181</v>
      </c>
      <c r="C18" s="25">
        <v>0</v>
      </c>
      <c r="D18" s="25">
        <v>358</v>
      </c>
      <c r="E18" s="26">
        <v>0</v>
      </c>
      <c r="F18" s="106">
        <v>0</v>
      </c>
      <c r="G18" s="25">
        <v>0</v>
      </c>
      <c r="H18" s="27">
        <v>4034.66</v>
      </c>
      <c r="I18" s="95" t="s">
        <v>95</v>
      </c>
    </row>
    <row r="19" spans="1:9" x14ac:dyDescent="0.25">
      <c r="A19" s="28">
        <v>43663</v>
      </c>
      <c r="B19" s="25">
        <v>238</v>
      </c>
      <c r="C19" s="25">
        <v>0</v>
      </c>
      <c r="D19" s="25">
        <v>393</v>
      </c>
      <c r="E19" s="106">
        <v>0</v>
      </c>
      <c r="F19" s="106">
        <v>0</v>
      </c>
      <c r="G19" s="25">
        <v>0</v>
      </c>
      <c r="H19" s="27">
        <v>4034.65</v>
      </c>
      <c r="I19" s="95" t="s">
        <v>96</v>
      </c>
    </row>
    <row r="20" spans="1:9" x14ac:dyDescent="0.25">
      <c r="A20" s="28">
        <v>43664</v>
      </c>
      <c r="B20" s="25">
        <v>324</v>
      </c>
      <c r="C20" s="25">
        <v>0</v>
      </c>
      <c r="D20" s="25">
        <v>459</v>
      </c>
      <c r="E20" s="106">
        <v>0</v>
      </c>
      <c r="F20" s="106">
        <v>0</v>
      </c>
      <c r="G20" s="25">
        <v>0</v>
      </c>
      <c r="H20" s="27">
        <v>4034.65</v>
      </c>
      <c r="I20" s="108" t="s">
        <v>97</v>
      </c>
    </row>
    <row r="21" spans="1:9" x14ac:dyDescent="0.25">
      <c r="A21" s="28">
        <v>43665</v>
      </c>
      <c r="B21" s="25">
        <v>363</v>
      </c>
      <c r="C21" s="25">
        <v>0</v>
      </c>
      <c r="D21" s="25">
        <v>500</v>
      </c>
      <c r="E21" s="106">
        <v>0</v>
      </c>
      <c r="F21" s="106">
        <v>0</v>
      </c>
      <c r="G21" s="25">
        <v>0</v>
      </c>
      <c r="H21" s="27">
        <v>4034.64</v>
      </c>
      <c r="I21" s="95" t="s">
        <v>98</v>
      </c>
    </row>
    <row r="22" spans="1:9" x14ac:dyDescent="0.25">
      <c r="A22" s="28">
        <v>43666</v>
      </c>
      <c r="B22" s="25">
        <v>315</v>
      </c>
      <c r="C22" s="25">
        <v>7</v>
      </c>
      <c r="D22" s="25">
        <v>485</v>
      </c>
      <c r="E22" s="106">
        <v>0</v>
      </c>
      <c r="F22" s="106">
        <v>0</v>
      </c>
      <c r="G22" s="25">
        <v>0</v>
      </c>
      <c r="H22" s="27">
        <v>4034.64</v>
      </c>
      <c r="I22" s="95" t="s">
        <v>99</v>
      </c>
    </row>
    <row r="23" spans="1:9" x14ac:dyDescent="0.25">
      <c r="A23" s="28">
        <v>43667</v>
      </c>
      <c r="B23" s="25">
        <v>281</v>
      </c>
      <c r="C23" s="25">
        <v>0</v>
      </c>
      <c r="D23" s="25">
        <v>468</v>
      </c>
      <c r="E23" s="106">
        <v>0</v>
      </c>
      <c r="F23" s="106">
        <v>0</v>
      </c>
      <c r="G23" s="25">
        <v>0</v>
      </c>
      <c r="H23" s="27">
        <v>4034.63</v>
      </c>
      <c r="I23" s="95" t="s">
        <v>100</v>
      </c>
    </row>
    <row r="24" spans="1:9" x14ac:dyDescent="0.25">
      <c r="A24" s="28">
        <v>43668</v>
      </c>
      <c r="B24" s="25">
        <v>306</v>
      </c>
      <c r="C24" s="25">
        <v>0</v>
      </c>
      <c r="D24" s="25">
        <v>492</v>
      </c>
      <c r="E24" s="106">
        <v>0</v>
      </c>
      <c r="F24" s="106">
        <v>0</v>
      </c>
      <c r="G24" s="25">
        <v>0</v>
      </c>
      <c r="H24" s="27">
        <v>4034.63</v>
      </c>
      <c r="I24" s="95" t="s">
        <v>101</v>
      </c>
    </row>
    <row r="25" spans="1:9" x14ac:dyDescent="0.25">
      <c r="A25" s="28">
        <v>43669</v>
      </c>
      <c r="B25" s="25">
        <v>400</v>
      </c>
      <c r="C25" s="25">
        <v>0</v>
      </c>
      <c r="D25" s="25">
        <v>563</v>
      </c>
      <c r="E25" s="106">
        <v>0</v>
      </c>
      <c r="F25" s="106">
        <v>0</v>
      </c>
      <c r="G25" s="25">
        <v>0</v>
      </c>
      <c r="H25" s="107">
        <v>4034.63</v>
      </c>
      <c r="I25" s="95"/>
    </row>
    <row r="26" spans="1:9" x14ac:dyDescent="0.25">
      <c r="A26" s="28">
        <v>43670</v>
      </c>
      <c r="B26" s="25">
        <v>430</v>
      </c>
      <c r="C26" s="25">
        <v>0</v>
      </c>
      <c r="D26" s="25">
        <v>570</v>
      </c>
      <c r="E26" s="106">
        <v>0</v>
      </c>
      <c r="F26" s="106">
        <v>0</v>
      </c>
      <c r="G26" s="25">
        <v>0</v>
      </c>
      <c r="H26" s="107">
        <v>4034.63</v>
      </c>
      <c r="I26" s="95" t="s">
        <v>102</v>
      </c>
    </row>
    <row r="27" spans="1:9" x14ac:dyDescent="0.25">
      <c r="A27" s="28">
        <v>43671</v>
      </c>
      <c r="B27" s="25">
        <v>425</v>
      </c>
      <c r="C27" s="25">
        <v>0</v>
      </c>
      <c r="D27" s="25">
        <v>529</v>
      </c>
      <c r="E27" s="106">
        <v>0</v>
      </c>
      <c r="F27" s="106">
        <v>0</v>
      </c>
      <c r="G27" s="25">
        <v>0</v>
      </c>
      <c r="H27" s="107">
        <v>4034.63</v>
      </c>
      <c r="I27" s="95" t="s">
        <v>103</v>
      </c>
    </row>
    <row r="28" spans="1:9" x14ac:dyDescent="0.25">
      <c r="A28" s="28">
        <v>43672</v>
      </c>
      <c r="B28" s="25">
        <v>404</v>
      </c>
      <c r="C28" s="25">
        <v>0</v>
      </c>
      <c r="D28" s="25">
        <v>542</v>
      </c>
      <c r="E28" s="106">
        <v>0</v>
      </c>
      <c r="F28" s="106">
        <v>0</v>
      </c>
      <c r="G28" s="25">
        <v>0</v>
      </c>
      <c r="H28" s="107">
        <v>4034.63</v>
      </c>
      <c r="I28" s="95" t="s">
        <v>104</v>
      </c>
    </row>
    <row r="29" spans="1:9" x14ac:dyDescent="0.25">
      <c r="A29" s="28">
        <v>43673</v>
      </c>
      <c r="B29" s="25">
        <v>342</v>
      </c>
      <c r="C29" s="25">
        <v>0</v>
      </c>
      <c r="D29" s="25">
        <v>519</v>
      </c>
      <c r="E29" s="106">
        <v>0</v>
      </c>
      <c r="F29" s="106">
        <v>0</v>
      </c>
      <c r="G29" s="25">
        <v>0</v>
      </c>
      <c r="H29" s="107">
        <v>4034.63</v>
      </c>
      <c r="I29" s="95" t="s">
        <v>105</v>
      </c>
    </row>
    <row r="30" spans="1:9" x14ac:dyDescent="0.25">
      <c r="A30" s="28">
        <v>43674</v>
      </c>
      <c r="B30" s="25">
        <v>284</v>
      </c>
      <c r="C30" s="25">
        <v>29</v>
      </c>
      <c r="D30" s="25">
        <v>494</v>
      </c>
      <c r="E30" s="106">
        <v>0</v>
      </c>
      <c r="F30" s="106">
        <v>0</v>
      </c>
      <c r="G30" s="25">
        <v>0</v>
      </c>
      <c r="H30" s="107">
        <v>4034.63</v>
      </c>
      <c r="I30" s="95" t="s">
        <v>106</v>
      </c>
    </row>
    <row r="31" spans="1:9" x14ac:dyDescent="0.25">
      <c r="A31" s="28">
        <v>43675</v>
      </c>
      <c r="B31" s="25">
        <v>263</v>
      </c>
      <c r="C31" s="25">
        <v>26</v>
      </c>
      <c r="D31" s="25">
        <v>482</v>
      </c>
      <c r="E31" s="26">
        <v>0</v>
      </c>
      <c r="F31" s="26">
        <v>0</v>
      </c>
      <c r="G31" s="25">
        <v>0</v>
      </c>
      <c r="H31" s="27">
        <v>4034.61</v>
      </c>
      <c r="I31" s="95" t="s">
        <v>107</v>
      </c>
    </row>
    <row r="32" spans="1:9" x14ac:dyDescent="0.25">
      <c r="A32" s="28">
        <v>43676</v>
      </c>
      <c r="B32" s="25">
        <v>308</v>
      </c>
      <c r="C32" s="25">
        <v>0</v>
      </c>
      <c r="D32" s="25">
        <v>477</v>
      </c>
      <c r="E32" s="26">
        <v>0</v>
      </c>
      <c r="F32" s="26">
        <v>0</v>
      </c>
      <c r="G32" s="25">
        <v>0</v>
      </c>
      <c r="H32" s="27">
        <v>4034.58</v>
      </c>
      <c r="I32" s="95" t="s">
        <v>108</v>
      </c>
    </row>
    <row r="33" spans="1:14" ht="15.75" thickBot="1" x14ac:dyDescent="0.3">
      <c r="A33" s="28">
        <v>43677</v>
      </c>
      <c r="B33" s="25">
        <v>388</v>
      </c>
      <c r="C33" s="25">
        <v>0</v>
      </c>
      <c r="D33" s="25">
        <v>469</v>
      </c>
      <c r="E33" s="26">
        <v>0</v>
      </c>
      <c r="F33" s="26">
        <v>0</v>
      </c>
      <c r="G33" s="25">
        <v>0</v>
      </c>
      <c r="H33" s="27">
        <v>4034.58</v>
      </c>
      <c r="I33" s="95" t="s">
        <v>109</v>
      </c>
    </row>
    <row r="34" spans="1:14" s="11" customFormat="1" ht="15.75" thickTop="1" x14ac:dyDescent="0.25">
      <c r="A34" s="16" t="s">
        <v>8</v>
      </c>
      <c r="B34" s="17">
        <f t="shared" ref="B34:G34" si="0">SUM(B3:B33)</f>
        <v>8706</v>
      </c>
      <c r="C34" s="17">
        <f t="shared" si="0"/>
        <v>127</v>
      </c>
      <c r="D34" s="17">
        <f t="shared" si="0"/>
        <v>13448</v>
      </c>
      <c r="E34" s="18">
        <f t="shared" si="0"/>
        <v>0.03</v>
      </c>
      <c r="F34" s="18">
        <f t="shared" si="0"/>
        <v>0</v>
      </c>
      <c r="G34" s="17">
        <f t="shared" si="0"/>
        <v>0</v>
      </c>
      <c r="H34" s="18"/>
    </row>
    <row r="35" spans="1:14" s="11" customFormat="1" x14ac:dyDescent="0.25">
      <c r="A35" s="19" t="s">
        <v>9</v>
      </c>
      <c r="B35" s="20">
        <f>SUM(B34+'Jun 2019'!B34)</f>
        <v>22633</v>
      </c>
      <c r="C35" s="20">
        <f>SUM(C34+'Jun 2019'!C34)</f>
        <v>6007</v>
      </c>
      <c r="D35" s="20">
        <f>SUM(D34+'Jun 2019'!D34)</f>
        <v>38375</v>
      </c>
      <c r="E35" s="21">
        <f>SUM(E34+'Jun 2019'!E34)</f>
        <v>11.655999999999999</v>
      </c>
      <c r="F35" s="21">
        <f>SUM(F34+'Jun 2019'!F34)</f>
        <v>23.87</v>
      </c>
      <c r="G35" s="20">
        <f>SUM(G34+'Jun 2019'!G34)</f>
        <v>28252</v>
      </c>
      <c r="H35" s="21"/>
    </row>
    <row r="37" spans="1:14" x14ac:dyDescent="0.25">
      <c r="A37" t="s">
        <v>10</v>
      </c>
      <c r="B37" s="23">
        <f>SUM(B3:B33)*1.9835</f>
        <v>17268.350999999999</v>
      </c>
      <c r="C37" s="23">
        <f>SUM(C3:C33)*1.9835</f>
        <v>251.90450000000001</v>
      </c>
      <c r="D37" s="23">
        <f>SUM(D3:D33)*1.9835</f>
        <v>26674.108</v>
      </c>
      <c r="E37" s="23"/>
      <c r="F37" s="23"/>
      <c r="G37" s="23"/>
    </row>
    <row r="38" spans="1:14" x14ac:dyDescent="0.25">
      <c r="B38" s="23"/>
      <c r="C38" s="23"/>
      <c r="D38" s="24"/>
      <c r="E38" s="23"/>
      <c r="F38" s="23"/>
      <c r="G38" s="23"/>
    </row>
    <row r="39" spans="1:14" x14ac:dyDescent="0.25">
      <c r="A39" t="s">
        <v>24</v>
      </c>
      <c r="B39" s="23">
        <f>SUM(B37+'Jun 2019'!B38)</f>
        <v>45084.955000000002</v>
      </c>
      <c r="C39" s="23">
        <f>SUM(C37+'Jun 2019'!C38)</f>
        <v>13269.614999999998</v>
      </c>
      <c r="D39" s="23">
        <f>SUM(D37+'Jun 2019'!D38)</f>
        <v>84354.288</v>
      </c>
      <c r="E39" s="23"/>
      <c r="F39" s="23"/>
      <c r="G39" s="23"/>
    </row>
    <row r="41" spans="1:14" ht="17.45" customHeight="1" x14ac:dyDescent="0.25">
      <c r="A41" s="155"/>
      <c r="B41" s="155"/>
      <c r="C41" s="155"/>
      <c r="D41" s="155"/>
      <c r="E41" s="155"/>
      <c r="F41" s="156"/>
      <c r="G41" s="157" t="s">
        <v>12</v>
      </c>
      <c r="H41" s="158"/>
      <c r="I41" s="30"/>
      <c r="J41" s="30"/>
      <c r="K41" s="30"/>
      <c r="L41" s="30"/>
      <c r="M41" s="31"/>
      <c r="N41" s="30"/>
    </row>
    <row r="42" spans="1:14" ht="16.899999999999999" customHeight="1" x14ac:dyDescent="0.25">
      <c r="A42" s="29"/>
      <c r="B42" s="29"/>
      <c r="C42" s="29"/>
      <c r="D42" s="29"/>
      <c r="E42" s="29"/>
      <c r="F42" s="29"/>
      <c r="G42" s="157"/>
      <c r="H42" s="158"/>
      <c r="I42" s="30"/>
      <c r="J42" s="30"/>
      <c r="K42" s="30"/>
      <c r="L42" s="30"/>
      <c r="M42" s="31"/>
      <c r="N42" s="30"/>
    </row>
    <row r="43" spans="1:14" ht="13.9" customHeight="1" thickBot="1" x14ac:dyDescent="0.3">
      <c r="A43" s="159" t="s">
        <v>23</v>
      </c>
      <c r="B43" s="159"/>
      <c r="C43" s="159"/>
      <c r="D43" s="159"/>
      <c r="E43" s="159"/>
      <c r="F43" s="159"/>
      <c r="G43" s="159"/>
      <c r="H43" s="159"/>
      <c r="I43" s="160"/>
      <c r="J43" s="32"/>
      <c r="K43" s="32"/>
      <c r="L43" s="32"/>
      <c r="M43" s="33"/>
      <c r="N43" s="34"/>
    </row>
    <row r="44" spans="1:14" ht="15.6" customHeight="1" x14ac:dyDescent="0.25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3"/>
    </row>
    <row r="45" spans="1:14" x14ac:dyDescent="0.2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2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2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2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x14ac:dyDescent="0.25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3"/>
    </row>
    <row r="50" spans="1:14" ht="13.15" customHeight="1" x14ac:dyDescent="0.25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3"/>
      <c r="N50" s="34"/>
    </row>
    <row r="51" spans="1:14" ht="15.75" thickBot="1" x14ac:dyDescent="0.3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3"/>
      <c r="N51" s="34"/>
    </row>
    <row r="52" spans="1:14" ht="26.25" x14ac:dyDescent="0.2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</row>
    <row r="53" spans="1:14" ht="15.75" x14ac:dyDescent="0.25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66"/>
    </row>
    <row r="54" spans="1:14" x14ac:dyDescent="0.25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4" x14ac:dyDescent="0.2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x14ac:dyDescent="0.25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4" ht="15.75" thickBot="1" x14ac:dyDescent="0.3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</row>
    <row r="58" spans="1:14" s="84" customFormat="1" ht="30" customHeight="1" x14ac:dyDescent="0.25">
      <c r="A58" s="161" t="s">
        <v>21</v>
      </c>
      <c r="B58" s="162"/>
      <c r="C58" s="163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I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7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40" sqref="A40:F40"/>
    </sheetView>
  </sheetViews>
  <sheetFormatPr defaultRowHeight="15" x14ac:dyDescent="0.25"/>
  <cols>
    <col min="1" max="1" width="13.5703125" bestFit="1" customWidth="1"/>
    <col min="2" max="8" width="11.7109375" customWidth="1"/>
    <col min="9" max="9" width="32.140625" bestFit="1" customWidth="1"/>
  </cols>
  <sheetData>
    <row r="1" spans="1:10" s="1" customFormat="1" ht="30" x14ac:dyDescent="0.25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10" s="1" customFormat="1" x14ac:dyDescent="0.25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10" x14ac:dyDescent="0.25">
      <c r="A3" s="28">
        <v>43617</v>
      </c>
      <c r="B3" s="25">
        <v>0</v>
      </c>
      <c r="C3" s="25">
        <v>21</v>
      </c>
      <c r="D3" s="25">
        <v>137</v>
      </c>
      <c r="E3" s="26">
        <v>0.04</v>
      </c>
      <c r="F3" s="26">
        <v>0</v>
      </c>
      <c r="G3" s="25">
        <v>320</v>
      </c>
      <c r="H3" s="27">
        <v>4035.28</v>
      </c>
      <c r="I3" s="95"/>
    </row>
    <row r="4" spans="1:10" x14ac:dyDescent="0.25">
      <c r="A4" s="28">
        <v>43618</v>
      </c>
      <c r="B4" s="25">
        <v>0</v>
      </c>
      <c r="C4" s="25">
        <v>8</v>
      </c>
      <c r="D4" s="25">
        <v>149</v>
      </c>
      <c r="E4" s="26">
        <v>0</v>
      </c>
      <c r="F4" s="26">
        <v>0</v>
      </c>
      <c r="G4" s="25">
        <v>320</v>
      </c>
      <c r="H4" s="27">
        <v>4035.28</v>
      </c>
      <c r="I4" s="95"/>
    </row>
    <row r="5" spans="1:10" x14ac:dyDescent="0.25">
      <c r="A5" s="28">
        <v>43619</v>
      </c>
      <c r="B5" s="25">
        <v>25</v>
      </c>
      <c r="C5" s="25">
        <v>0</v>
      </c>
      <c r="D5" s="25">
        <v>168</v>
      </c>
      <c r="E5" s="26">
        <v>0</v>
      </c>
      <c r="F5" s="26">
        <v>0</v>
      </c>
      <c r="G5" s="25">
        <v>319</v>
      </c>
      <c r="H5" s="27">
        <v>4035.27</v>
      </c>
      <c r="I5" s="95" t="s">
        <v>63</v>
      </c>
    </row>
    <row r="6" spans="1:10" x14ac:dyDescent="0.25">
      <c r="A6" s="28">
        <v>43620</v>
      </c>
      <c r="B6" s="25">
        <v>71</v>
      </c>
      <c r="C6" s="25">
        <v>0</v>
      </c>
      <c r="D6" s="25">
        <v>184</v>
      </c>
      <c r="E6" s="26">
        <v>0</v>
      </c>
      <c r="F6" s="26">
        <v>0</v>
      </c>
      <c r="G6" s="25">
        <v>319</v>
      </c>
      <c r="H6" s="27">
        <v>4035.2</v>
      </c>
      <c r="I6" s="95" t="s">
        <v>64</v>
      </c>
      <c r="J6" t="s">
        <v>65</v>
      </c>
    </row>
    <row r="7" spans="1:10" x14ac:dyDescent="0.25">
      <c r="A7" s="28">
        <v>43621</v>
      </c>
      <c r="B7" s="25">
        <v>100</v>
      </c>
      <c r="C7" s="25">
        <v>0</v>
      </c>
      <c r="D7" s="25">
        <v>219</v>
      </c>
      <c r="E7" s="26">
        <v>0</v>
      </c>
      <c r="F7" s="26">
        <v>0</v>
      </c>
      <c r="G7" s="25">
        <v>319</v>
      </c>
      <c r="H7" s="27">
        <v>4035.2</v>
      </c>
      <c r="I7" s="95"/>
    </row>
    <row r="8" spans="1:10" x14ac:dyDescent="0.25">
      <c r="A8" s="28">
        <v>43622</v>
      </c>
      <c r="B8" s="25">
        <v>100</v>
      </c>
      <c r="C8" s="25">
        <v>0</v>
      </c>
      <c r="D8" s="25">
        <v>255</v>
      </c>
      <c r="E8" s="26">
        <v>0</v>
      </c>
      <c r="F8" s="26">
        <v>0</v>
      </c>
      <c r="G8" s="25">
        <v>318</v>
      </c>
      <c r="H8" s="27">
        <v>4035.14</v>
      </c>
      <c r="I8" s="95"/>
    </row>
    <row r="9" spans="1:10" x14ac:dyDescent="0.25">
      <c r="A9" s="28">
        <v>43623</v>
      </c>
      <c r="B9" s="25">
        <v>80</v>
      </c>
      <c r="C9" s="25">
        <v>25</v>
      </c>
      <c r="D9" s="25">
        <v>262</v>
      </c>
      <c r="E9" s="26">
        <v>0</v>
      </c>
      <c r="F9" s="26">
        <v>0</v>
      </c>
      <c r="G9" s="25">
        <v>318</v>
      </c>
      <c r="H9" s="27">
        <v>4035.1</v>
      </c>
      <c r="I9" s="95" t="s">
        <v>66</v>
      </c>
    </row>
    <row r="10" spans="1:10" x14ac:dyDescent="0.25">
      <c r="A10" s="28">
        <v>43624</v>
      </c>
      <c r="B10" s="25">
        <v>50</v>
      </c>
      <c r="C10" s="25">
        <v>0</v>
      </c>
      <c r="D10" s="25">
        <v>244</v>
      </c>
      <c r="E10" s="26">
        <v>0</v>
      </c>
      <c r="F10" s="26">
        <v>0</v>
      </c>
      <c r="G10" s="25">
        <v>318</v>
      </c>
      <c r="H10" s="27">
        <v>4035.07</v>
      </c>
      <c r="I10" s="95"/>
    </row>
    <row r="11" spans="1:10" x14ac:dyDescent="0.25">
      <c r="A11" s="28">
        <v>43625</v>
      </c>
      <c r="B11" s="25">
        <v>69</v>
      </c>
      <c r="C11" s="25">
        <v>0</v>
      </c>
      <c r="D11" s="25">
        <v>241</v>
      </c>
      <c r="E11" s="26">
        <v>0</v>
      </c>
      <c r="F11" s="26">
        <v>0</v>
      </c>
      <c r="G11" s="25">
        <v>318</v>
      </c>
      <c r="H11" s="27">
        <v>4035.04</v>
      </c>
      <c r="I11" s="95" t="s">
        <v>67</v>
      </c>
    </row>
    <row r="12" spans="1:10" x14ac:dyDescent="0.25">
      <c r="A12" s="28">
        <v>43626</v>
      </c>
      <c r="B12" s="25">
        <v>148</v>
      </c>
      <c r="C12" s="25">
        <v>0</v>
      </c>
      <c r="D12" s="25">
        <v>293</v>
      </c>
      <c r="E12" s="26">
        <v>0</v>
      </c>
      <c r="F12" s="26">
        <v>0</v>
      </c>
      <c r="G12" s="25">
        <v>318</v>
      </c>
      <c r="H12" s="27">
        <v>4035.04</v>
      </c>
      <c r="I12" s="95" t="s">
        <v>68</v>
      </c>
    </row>
    <row r="13" spans="1:10" x14ac:dyDescent="0.25">
      <c r="A13" s="28">
        <v>43627</v>
      </c>
      <c r="B13" s="25">
        <v>260</v>
      </c>
      <c r="C13" s="25">
        <v>0</v>
      </c>
      <c r="D13" s="25">
        <v>361</v>
      </c>
      <c r="E13" s="26">
        <v>0</v>
      </c>
      <c r="F13" s="26">
        <v>0</v>
      </c>
      <c r="G13" s="25">
        <v>192</v>
      </c>
      <c r="H13" s="27">
        <v>4035.02</v>
      </c>
      <c r="I13" s="95" t="s">
        <v>69</v>
      </c>
    </row>
    <row r="14" spans="1:10" x14ac:dyDescent="0.25">
      <c r="A14" s="28">
        <v>43628</v>
      </c>
      <c r="B14" s="25">
        <v>313</v>
      </c>
      <c r="C14" s="25">
        <v>0</v>
      </c>
      <c r="D14" s="25">
        <v>394</v>
      </c>
      <c r="E14" s="26">
        <v>0</v>
      </c>
      <c r="F14" s="26">
        <v>0</v>
      </c>
      <c r="G14" s="25">
        <v>47</v>
      </c>
      <c r="H14" s="27">
        <v>4035.02</v>
      </c>
      <c r="I14" s="95" t="s">
        <v>70</v>
      </c>
    </row>
    <row r="15" spans="1:10" x14ac:dyDescent="0.25">
      <c r="A15" s="28">
        <v>43629</v>
      </c>
      <c r="B15" s="25">
        <v>336</v>
      </c>
      <c r="C15" s="25">
        <v>0</v>
      </c>
      <c r="D15" s="25">
        <v>457</v>
      </c>
      <c r="E15" s="26">
        <v>0</v>
      </c>
      <c r="F15" s="26">
        <v>0</v>
      </c>
      <c r="G15" s="25">
        <v>0</v>
      </c>
      <c r="H15" s="27">
        <v>4035.02</v>
      </c>
      <c r="I15" s="95" t="s">
        <v>71</v>
      </c>
    </row>
    <row r="16" spans="1:10" x14ac:dyDescent="0.25">
      <c r="A16" s="28">
        <v>43630</v>
      </c>
      <c r="B16" s="25">
        <v>329</v>
      </c>
      <c r="C16" s="25">
        <v>11</v>
      </c>
      <c r="D16" s="25">
        <v>510</v>
      </c>
      <c r="E16" s="26">
        <v>0</v>
      </c>
      <c r="F16" s="26">
        <v>0</v>
      </c>
      <c r="G16" s="25">
        <v>0</v>
      </c>
      <c r="H16" s="27">
        <v>4035.02</v>
      </c>
      <c r="I16" s="95" t="s">
        <v>72</v>
      </c>
    </row>
    <row r="17" spans="1:9" x14ac:dyDescent="0.25">
      <c r="A17" s="28">
        <v>43631</v>
      </c>
      <c r="B17" s="25">
        <v>350</v>
      </c>
      <c r="C17" s="25">
        <v>0</v>
      </c>
      <c r="D17" s="25">
        <v>526</v>
      </c>
      <c r="E17" s="26">
        <v>0</v>
      </c>
      <c r="F17" s="26">
        <v>0</v>
      </c>
      <c r="G17" s="25">
        <v>0</v>
      </c>
      <c r="H17" s="27">
        <v>4035</v>
      </c>
      <c r="I17" s="95"/>
    </row>
    <row r="18" spans="1:9" x14ac:dyDescent="0.25">
      <c r="A18" s="28">
        <v>43632</v>
      </c>
      <c r="B18" s="25">
        <v>350</v>
      </c>
      <c r="C18" s="25">
        <v>0</v>
      </c>
      <c r="D18" s="25">
        <v>507</v>
      </c>
      <c r="E18" s="26">
        <v>0</v>
      </c>
      <c r="F18" s="26">
        <v>0</v>
      </c>
      <c r="G18" s="25">
        <v>0</v>
      </c>
      <c r="H18" s="27">
        <v>4035</v>
      </c>
      <c r="I18" s="95"/>
    </row>
    <row r="19" spans="1:9" x14ac:dyDescent="0.25">
      <c r="A19" s="28">
        <v>43633</v>
      </c>
      <c r="B19" s="25">
        <v>381</v>
      </c>
      <c r="C19" s="25">
        <v>0</v>
      </c>
      <c r="D19" s="25">
        <v>509</v>
      </c>
      <c r="E19" s="26">
        <v>0</v>
      </c>
      <c r="F19" s="26">
        <v>0</v>
      </c>
      <c r="G19" s="25">
        <v>0</v>
      </c>
      <c r="H19" s="27">
        <v>4035.95</v>
      </c>
      <c r="I19" s="95" t="s">
        <v>73</v>
      </c>
    </row>
    <row r="20" spans="1:9" x14ac:dyDescent="0.25">
      <c r="A20" s="28">
        <v>43634</v>
      </c>
      <c r="B20" s="25">
        <v>463</v>
      </c>
      <c r="C20" s="25">
        <v>0</v>
      </c>
      <c r="D20" s="25">
        <v>540</v>
      </c>
      <c r="E20" s="26">
        <v>0</v>
      </c>
      <c r="F20" s="26">
        <v>0</v>
      </c>
      <c r="G20" s="25">
        <v>0</v>
      </c>
      <c r="H20" s="27">
        <v>4035.9</v>
      </c>
      <c r="I20" s="95" t="s">
        <v>74</v>
      </c>
    </row>
    <row r="21" spans="1:9" x14ac:dyDescent="0.25">
      <c r="A21" s="28">
        <v>43635</v>
      </c>
      <c r="B21" s="25">
        <v>594</v>
      </c>
      <c r="C21" s="25">
        <v>0</v>
      </c>
      <c r="D21" s="25">
        <v>621</v>
      </c>
      <c r="E21" s="26">
        <v>0</v>
      </c>
      <c r="F21" s="26">
        <v>0</v>
      </c>
      <c r="G21" s="25">
        <v>0</v>
      </c>
      <c r="H21" s="27">
        <v>4035.9</v>
      </c>
      <c r="I21" s="95" t="s">
        <v>75</v>
      </c>
    </row>
    <row r="22" spans="1:9" x14ac:dyDescent="0.25">
      <c r="A22" s="28">
        <v>43636</v>
      </c>
      <c r="B22" s="25">
        <v>492</v>
      </c>
      <c r="C22" s="25">
        <v>35</v>
      </c>
      <c r="D22" s="25">
        <v>655</v>
      </c>
      <c r="E22" s="26">
        <v>0</v>
      </c>
      <c r="F22" s="26">
        <v>0</v>
      </c>
      <c r="G22" s="25">
        <v>0</v>
      </c>
      <c r="H22" s="27">
        <v>4035.8560000000002</v>
      </c>
      <c r="I22" s="95" t="s">
        <v>76</v>
      </c>
    </row>
    <row r="23" spans="1:9" x14ac:dyDescent="0.25">
      <c r="A23" s="28">
        <v>43637</v>
      </c>
      <c r="B23" s="25">
        <v>519</v>
      </c>
      <c r="C23" s="25">
        <v>0</v>
      </c>
      <c r="D23" s="25">
        <v>674</v>
      </c>
      <c r="E23" s="26">
        <v>0</v>
      </c>
      <c r="F23" s="26">
        <v>0</v>
      </c>
      <c r="G23" s="25">
        <v>0</v>
      </c>
      <c r="H23" s="27">
        <v>4035.86</v>
      </c>
      <c r="I23" s="95" t="s">
        <v>77</v>
      </c>
    </row>
    <row r="24" spans="1:9" x14ac:dyDescent="0.25">
      <c r="A24" s="28">
        <v>43638</v>
      </c>
      <c r="B24" s="25">
        <v>599</v>
      </c>
      <c r="C24" s="25">
        <v>0</v>
      </c>
      <c r="D24" s="25">
        <v>707</v>
      </c>
      <c r="E24" s="26">
        <v>0</v>
      </c>
      <c r="F24" s="26">
        <v>0</v>
      </c>
      <c r="G24" s="25">
        <v>0</v>
      </c>
      <c r="H24" s="27">
        <v>4035.86</v>
      </c>
      <c r="I24" s="95" t="s">
        <v>78</v>
      </c>
    </row>
    <row r="25" spans="1:9" x14ac:dyDescent="0.25">
      <c r="A25" s="28">
        <v>43639</v>
      </c>
      <c r="B25" s="25">
        <v>547</v>
      </c>
      <c r="C25" s="25">
        <v>116</v>
      </c>
      <c r="D25" s="25">
        <v>694</v>
      </c>
      <c r="E25" s="26">
        <v>0</v>
      </c>
      <c r="F25" s="26">
        <v>0</v>
      </c>
      <c r="G25" s="25">
        <v>0</v>
      </c>
      <c r="H25" s="27">
        <v>4035.85</v>
      </c>
      <c r="I25" s="95" t="s">
        <v>79</v>
      </c>
    </row>
    <row r="26" spans="1:9" x14ac:dyDescent="0.25">
      <c r="A26" s="28">
        <v>43640</v>
      </c>
      <c r="B26" s="25">
        <v>429</v>
      </c>
      <c r="C26" s="25">
        <v>64</v>
      </c>
      <c r="D26" s="25">
        <v>635</v>
      </c>
      <c r="E26" s="106">
        <v>0</v>
      </c>
      <c r="F26" s="106">
        <v>0</v>
      </c>
      <c r="G26" s="25">
        <v>0</v>
      </c>
      <c r="H26" s="27">
        <v>4034.84</v>
      </c>
      <c r="I26" s="95" t="s">
        <v>80</v>
      </c>
    </row>
    <row r="27" spans="1:9" x14ac:dyDescent="0.25">
      <c r="A27" s="28">
        <v>43641</v>
      </c>
      <c r="B27" s="25">
        <v>485</v>
      </c>
      <c r="C27" s="25">
        <v>0</v>
      </c>
      <c r="D27" s="25">
        <v>667</v>
      </c>
      <c r="E27" s="106">
        <v>0</v>
      </c>
      <c r="F27" s="106">
        <v>0</v>
      </c>
      <c r="G27" s="25">
        <v>0</v>
      </c>
      <c r="H27" s="27">
        <v>4034.83</v>
      </c>
      <c r="I27" s="95" t="s">
        <v>81</v>
      </c>
    </row>
    <row r="28" spans="1:9" x14ac:dyDescent="0.25">
      <c r="A28" s="28">
        <v>43642</v>
      </c>
      <c r="B28" s="25">
        <v>542</v>
      </c>
      <c r="C28" s="25">
        <v>17</v>
      </c>
      <c r="D28" s="25">
        <v>678</v>
      </c>
      <c r="E28" s="106">
        <v>0</v>
      </c>
      <c r="F28" s="106">
        <v>0</v>
      </c>
      <c r="G28" s="25">
        <v>0</v>
      </c>
      <c r="H28" s="27">
        <v>4034.82</v>
      </c>
      <c r="I28" s="95" t="s">
        <v>82</v>
      </c>
    </row>
    <row r="29" spans="1:9" x14ac:dyDescent="0.25">
      <c r="A29" s="28">
        <v>43643</v>
      </c>
      <c r="B29" s="25">
        <v>450</v>
      </c>
      <c r="C29" s="25">
        <v>44</v>
      </c>
      <c r="D29" s="25">
        <v>652</v>
      </c>
      <c r="E29" s="26">
        <v>0.3</v>
      </c>
      <c r="F29" s="106">
        <v>0</v>
      </c>
      <c r="G29" s="25">
        <v>0</v>
      </c>
      <c r="H29" s="27">
        <v>4034.81</v>
      </c>
      <c r="I29" s="95"/>
    </row>
    <row r="30" spans="1:9" x14ac:dyDescent="0.25">
      <c r="A30" s="28">
        <v>43644</v>
      </c>
      <c r="B30" s="25">
        <v>475</v>
      </c>
      <c r="C30" s="25">
        <v>0</v>
      </c>
      <c r="D30" s="25">
        <v>579</v>
      </c>
      <c r="E30" s="26">
        <v>0</v>
      </c>
      <c r="F30" s="106">
        <v>0</v>
      </c>
      <c r="G30" s="25">
        <v>0</v>
      </c>
      <c r="H30" s="27">
        <v>4034.8</v>
      </c>
      <c r="I30" s="95" t="s">
        <v>83</v>
      </c>
    </row>
    <row r="31" spans="1:9" x14ac:dyDescent="0.25">
      <c r="A31" s="28">
        <v>43645</v>
      </c>
      <c r="B31" s="25">
        <v>413</v>
      </c>
      <c r="C31" s="25">
        <v>0</v>
      </c>
      <c r="D31" s="25">
        <v>528</v>
      </c>
      <c r="E31" s="26">
        <v>0</v>
      </c>
      <c r="F31" s="106">
        <v>0</v>
      </c>
      <c r="G31" s="25">
        <v>0</v>
      </c>
      <c r="H31" s="27">
        <v>4034.79</v>
      </c>
      <c r="I31" s="108" t="s">
        <v>84</v>
      </c>
    </row>
    <row r="32" spans="1:9" ht="15.75" thickBot="1" x14ac:dyDescent="0.3">
      <c r="A32" s="28">
        <v>43646</v>
      </c>
      <c r="B32" s="25">
        <v>350</v>
      </c>
      <c r="C32" s="25">
        <v>0</v>
      </c>
      <c r="D32" s="25">
        <v>476</v>
      </c>
      <c r="E32" s="26">
        <v>0</v>
      </c>
      <c r="F32" s="106">
        <v>0</v>
      </c>
      <c r="G32" s="25">
        <v>0</v>
      </c>
      <c r="H32" s="27">
        <v>4034.78</v>
      </c>
      <c r="I32" s="95"/>
    </row>
    <row r="33" spans="1:14" s="11" customFormat="1" ht="15.75" thickTop="1" x14ac:dyDescent="0.25">
      <c r="A33" s="16" t="s">
        <v>8</v>
      </c>
      <c r="B33" s="17">
        <f t="shared" ref="B33:G33" si="0">SUM(B3:B32)</f>
        <v>9320</v>
      </c>
      <c r="C33" s="17">
        <f t="shared" si="0"/>
        <v>341</v>
      </c>
      <c r="D33" s="17">
        <f t="shared" si="0"/>
        <v>13522</v>
      </c>
      <c r="E33" s="18">
        <f t="shared" si="0"/>
        <v>0.33999999999999997</v>
      </c>
      <c r="F33" s="18">
        <f t="shared" si="0"/>
        <v>0</v>
      </c>
      <c r="G33" s="17">
        <f t="shared" si="0"/>
        <v>3426</v>
      </c>
      <c r="H33" s="18"/>
    </row>
    <row r="34" spans="1:14" s="11" customFormat="1" x14ac:dyDescent="0.25">
      <c r="A34" s="19" t="s">
        <v>9</v>
      </c>
      <c r="B34" s="20">
        <f>SUM(B33+'May 2019'!B35)</f>
        <v>13927</v>
      </c>
      <c r="C34" s="20">
        <f>SUM(C33+'May 2019'!C35)</f>
        <v>5880</v>
      </c>
      <c r="D34" s="20">
        <f>SUM(D33+'May 2019'!D35)</f>
        <v>24927</v>
      </c>
      <c r="E34" s="21">
        <f>SUM(E33+'May 2019'!E35)</f>
        <v>11.625999999999999</v>
      </c>
      <c r="F34" s="21">
        <f>SUM(F33+'May 2019'!F35)</f>
        <v>23.87</v>
      </c>
      <c r="G34" s="20">
        <f>SUM(G33+'May 2019'!G35)</f>
        <v>28252</v>
      </c>
      <c r="H34" s="21"/>
    </row>
    <row r="36" spans="1:14" x14ac:dyDescent="0.25">
      <c r="A36" t="s">
        <v>10</v>
      </c>
      <c r="B36" s="23">
        <f>SUM(B3:B32)*1.9835</f>
        <v>18486.22</v>
      </c>
      <c r="C36" s="23">
        <f>SUM(C3:C32)*1.9835</f>
        <v>676.37350000000004</v>
      </c>
      <c r="D36" s="23">
        <f>SUM(D3:D32)*1.9835</f>
        <v>26820.886999999999</v>
      </c>
      <c r="E36" s="23"/>
      <c r="F36" s="23"/>
      <c r="G36" s="23"/>
      <c r="I36" s="22"/>
    </row>
    <row r="38" spans="1:14" x14ac:dyDescent="0.25">
      <c r="A38" t="s">
        <v>24</v>
      </c>
      <c r="B38" s="23">
        <f>SUM(B36+'May 2019'!B39)</f>
        <v>27816.603999999999</v>
      </c>
      <c r="C38" s="23">
        <f>SUM(C36+'May 2019'!C39)</f>
        <v>13017.710499999997</v>
      </c>
      <c r="D38" s="23">
        <f>SUM(D36+'May 2019'!D39)</f>
        <v>57680.179999999993</v>
      </c>
      <c r="E38" s="23"/>
      <c r="F38" s="23"/>
      <c r="G38" s="23"/>
      <c r="I38" s="22"/>
    </row>
    <row r="40" spans="1:14" ht="17.45" customHeight="1" x14ac:dyDescent="0.25">
      <c r="A40" s="155"/>
      <c r="B40" s="155"/>
      <c r="C40" s="155"/>
      <c r="D40" s="155"/>
      <c r="E40" s="155"/>
      <c r="F40" s="156"/>
      <c r="G40" s="157" t="s">
        <v>12</v>
      </c>
      <c r="H40" s="158"/>
      <c r="I40" s="30"/>
      <c r="J40" s="30"/>
      <c r="K40" s="30"/>
      <c r="L40" s="30"/>
      <c r="M40" s="31"/>
      <c r="N40" s="30"/>
    </row>
    <row r="41" spans="1:14" ht="16.899999999999999" customHeight="1" x14ac:dyDescent="0.25">
      <c r="A41" s="29"/>
      <c r="B41" s="29"/>
      <c r="C41" s="29"/>
      <c r="D41" s="29"/>
      <c r="E41" s="29"/>
      <c r="F41" s="29"/>
      <c r="G41" s="157"/>
      <c r="H41" s="158"/>
      <c r="I41" s="30"/>
      <c r="J41" s="30"/>
      <c r="K41" s="30"/>
      <c r="L41" s="30"/>
      <c r="M41" s="31"/>
      <c r="N41" s="30"/>
    </row>
    <row r="42" spans="1:14" ht="13.9" customHeight="1" thickBot="1" x14ac:dyDescent="0.3">
      <c r="A42" s="159" t="s">
        <v>23</v>
      </c>
      <c r="B42" s="159"/>
      <c r="C42" s="159"/>
      <c r="D42" s="159"/>
      <c r="E42" s="159"/>
      <c r="F42" s="159"/>
      <c r="G42" s="159"/>
      <c r="H42" s="159"/>
      <c r="I42" s="160"/>
      <c r="J42" s="32"/>
      <c r="K42" s="32"/>
      <c r="L42" s="32"/>
      <c r="M42" s="33"/>
      <c r="N42" s="34"/>
    </row>
    <row r="43" spans="1:14" ht="15.6" customHeight="1" x14ac:dyDescent="0.25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3"/>
    </row>
    <row r="44" spans="1:14" x14ac:dyDescent="0.25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3"/>
    </row>
    <row r="45" spans="1:14" x14ac:dyDescent="0.2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2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2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2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ht="13.15" customHeight="1" x14ac:dyDescent="0.25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3"/>
      <c r="N49" s="34"/>
    </row>
    <row r="50" spans="1:14" ht="15.75" thickBot="1" x14ac:dyDescent="0.3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3"/>
      <c r="N50" s="34"/>
    </row>
    <row r="51" spans="1:14" ht="26.25" x14ac:dyDescent="0.25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</row>
    <row r="52" spans="1:14" ht="15.75" x14ac:dyDescent="0.25">
      <c r="A52" s="58"/>
      <c r="B52" s="59"/>
      <c r="C52" s="60"/>
      <c r="D52" s="61"/>
      <c r="E52" s="62"/>
      <c r="F52" s="63">
        <f>SUM(C52/24*D52)</f>
        <v>0</v>
      </c>
      <c r="G52" s="64"/>
      <c r="H52" s="65"/>
      <c r="I52" s="66"/>
    </row>
    <row r="53" spans="1:14" x14ac:dyDescent="0.25">
      <c r="A53" s="67"/>
      <c r="B53" s="68"/>
      <c r="C53" s="69"/>
      <c r="D53" s="61"/>
      <c r="E53" s="70"/>
      <c r="F53" s="71">
        <f>SUM(C53/24*D53)</f>
        <v>0</v>
      </c>
      <c r="G53" s="64"/>
      <c r="H53" s="65"/>
    </row>
    <row r="54" spans="1:14" x14ac:dyDescent="0.25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4" x14ac:dyDescent="0.2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ht="15.75" thickBot="1" x14ac:dyDescent="0.3">
      <c r="A56" s="73"/>
      <c r="B56" s="74"/>
      <c r="C56" s="75"/>
      <c r="D56" s="76"/>
      <c r="E56" s="75"/>
      <c r="F56" s="77">
        <f>SUM(C56/24*D56)</f>
        <v>0</v>
      </c>
      <c r="G56" s="64"/>
      <c r="H56" s="65"/>
      <c r="I56" s="78"/>
    </row>
    <row r="57" spans="1:14" s="84" customFormat="1" ht="30" customHeight="1" x14ac:dyDescent="0.25">
      <c r="A57" s="161" t="s">
        <v>21</v>
      </c>
      <c r="B57" s="162"/>
      <c r="C57" s="163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I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zoomScale="136" zoomScaleNormal="136"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I35" sqref="I35"/>
    </sheetView>
  </sheetViews>
  <sheetFormatPr defaultRowHeight="15" x14ac:dyDescent="0.25"/>
  <cols>
    <col min="1" max="1" width="13.5703125" bestFit="1" customWidth="1"/>
    <col min="2" max="8" width="11.7109375" customWidth="1"/>
    <col min="9" max="9" width="27.42578125" customWidth="1"/>
  </cols>
  <sheetData>
    <row r="1" spans="1:9" s="1" customFormat="1" ht="30" x14ac:dyDescent="0.25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25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25">
      <c r="A3" s="12">
        <v>43586</v>
      </c>
      <c r="B3" s="25">
        <v>0</v>
      </c>
      <c r="C3" s="25">
        <v>5</v>
      </c>
      <c r="D3" s="25">
        <v>114</v>
      </c>
      <c r="E3" s="26">
        <v>0</v>
      </c>
      <c r="F3" s="26">
        <v>0</v>
      </c>
      <c r="G3" s="25">
        <v>0</v>
      </c>
      <c r="H3" s="27">
        <v>4035.16</v>
      </c>
      <c r="I3" s="95"/>
    </row>
    <row r="4" spans="1:9" x14ac:dyDescent="0.25">
      <c r="A4" s="12">
        <v>43587</v>
      </c>
      <c r="B4" s="25">
        <v>0</v>
      </c>
      <c r="C4" s="25">
        <v>0</v>
      </c>
      <c r="D4" s="25">
        <v>145</v>
      </c>
      <c r="E4" s="26">
        <v>0</v>
      </c>
      <c r="F4" s="26">
        <v>0</v>
      </c>
      <c r="G4" s="91">
        <v>0</v>
      </c>
      <c r="H4" s="27">
        <v>4035.16</v>
      </c>
      <c r="I4" s="95"/>
    </row>
    <row r="5" spans="1:9" x14ac:dyDescent="0.25">
      <c r="A5" s="12">
        <v>43588</v>
      </c>
      <c r="B5" s="25">
        <v>22</v>
      </c>
      <c r="C5" s="25">
        <v>0</v>
      </c>
      <c r="D5" s="25">
        <v>153</v>
      </c>
      <c r="E5" s="26">
        <v>0</v>
      </c>
      <c r="F5" s="26">
        <v>0</v>
      </c>
      <c r="G5" s="91">
        <v>0</v>
      </c>
      <c r="H5" s="27">
        <v>4035.16</v>
      </c>
      <c r="I5" s="97" t="s">
        <v>45</v>
      </c>
    </row>
    <row r="6" spans="1:9" x14ac:dyDescent="0.25">
      <c r="A6" s="12">
        <v>43589</v>
      </c>
      <c r="B6" s="25">
        <v>88</v>
      </c>
      <c r="C6" s="25">
        <v>0</v>
      </c>
      <c r="D6" s="25">
        <v>180</v>
      </c>
      <c r="E6" s="26">
        <v>0</v>
      </c>
      <c r="F6" s="26">
        <v>0</v>
      </c>
      <c r="G6" s="25">
        <v>0</v>
      </c>
      <c r="H6" s="27">
        <v>4035.16</v>
      </c>
      <c r="I6" s="95" t="s">
        <v>46</v>
      </c>
    </row>
    <row r="7" spans="1:9" x14ac:dyDescent="0.25">
      <c r="A7" s="12">
        <v>43590</v>
      </c>
      <c r="B7" s="25">
        <v>133</v>
      </c>
      <c r="C7" s="25">
        <v>0</v>
      </c>
      <c r="D7" s="25">
        <v>267</v>
      </c>
      <c r="E7" s="26">
        <v>0</v>
      </c>
      <c r="F7" s="26">
        <v>0</v>
      </c>
      <c r="G7" s="91">
        <v>0</v>
      </c>
      <c r="H7" s="27">
        <v>4035.16</v>
      </c>
      <c r="I7" s="95" t="s">
        <v>47</v>
      </c>
    </row>
    <row r="8" spans="1:9" x14ac:dyDescent="0.25">
      <c r="A8" s="12">
        <v>43591</v>
      </c>
      <c r="B8" s="25">
        <v>169</v>
      </c>
      <c r="C8" s="25">
        <v>0</v>
      </c>
      <c r="D8" s="25">
        <v>318</v>
      </c>
      <c r="E8" s="26">
        <v>0</v>
      </c>
      <c r="F8" s="26">
        <v>0</v>
      </c>
      <c r="G8" s="25">
        <v>0</v>
      </c>
      <c r="H8" s="27">
        <v>4035.15</v>
      </c>
      <c r="I8" s="95" t="s">
        <v>48</v>
      </c>
    </row>
    <row r="9" spans="1:9" x14ac:dyDescent="0.25">
      <c r="A9" s="12">
        <v>43592</v>
      </c>
      <c r="B9" s="25">
        <v>200</v>
      </c>
      <c r="C9" s="25">
        <v>0</v>
      </c>
      <c r="D9" s="25">
        <v>337</v>
      </c>
      <c r="E9" s="26">
        <v>0</v>
      </c>
      <c r="F9" s="26">
        <v>0</v>
      </c>
      <c r="G9" s="25">
        <v>0</v>
      </c>
      <c r="H9" s="27">
        <v>4035.14</v>
      </c>
      <c r="I9" s="97"/>
    </row>
    <row r="10" spans="1:9" x14ac:dyDescent="0.25">
      <c r="A10" s="12">
        <v>43593</v>
      </c>
      <c r="B10" s="25">
        <v>200</v>
      </c>
      <c r="C10" s="25">
        <v>0</v>
      </c>
      <c r="D10" s="25">
        <v>437</v>
      </c>
      <c r="E10" s="26">
        <v>0</v>
      </c>
      <c r="F10" s="26">
        <v>0</v>
      </c>
      <c r="G10" s="25">
        <v>0</v>
      </c>
      <c r="H10" s="27">
        <v>4035.12</v>
      </c>
      <c r="I10" s="95"/>
    </row>
    <row r="11" spans="1:9" x14ac:dyDescent="0.25">
      <c r="A11" s="12">
        <v>43594</v>
      </c>
      <c r="B11" s="25">
        <v>271</v>
      </c>
      <c r="C11" s="91">
        <v>0</v>
      </c>
      <c r="D11" s="91">
        <v>482</v>
      </c>
      <c r="E11" s="26">
        <v>0</v>
      </c>
      <c r="F11" s="26">
        <v>0</v>
      </c>
      <c r="G11" s="25">
        <v>0</v>
      </c>
      <c r="H11" s="92">
        <v>4035.12</v>
      </c>
      <c r="I11" s="95" t="s">
        <v>49</v>
      </c>
    </row>
    <row r="12" spans="1:9" x14ac:dyDescent="0.25">
      <c r="A12" s="12">
        <v>43595</v>
      </c>
      <c r="B12" s="25">
        <v>371</v>
      </c>
      <c r="C12" s="25">
        <v>0</v>
      </c>
      <c r="D12" s="25">
        <v>472</v>
      </c>
      <c r="E12" s="26">
        <v>0</v>
      </c>
      <c r="F12" s="26">
        <v>0</v>
      </c>
      <c r="G12" s="25">
        <v>0</v>
      </c>
      <c r="H12" s="27">
        <v>4035.12</v>
      </c>
      <c r="I12" s="95" t="s">
        <v>56</v>
      </c>
    </row>
    <row r="13" spans="1:9" x14ac:dyDescent="0.25">
      <c r="A13" s="12">
        <v>43596</v>
      </c>
      <c r="B13" s="25">
        <v>400</v>
      </c>
      <c r="C13" s="25">
        <v>0</v>
      </c>
      <c r="D13" s="25">
        <v>512</v>
      </c>
      <c r="E13" s="26">
        <v>0</v>
      </c>
      <c r="F13" s="26">
        <v>0</v>
      </c>
      <c r="G13" s="25">
        <v>0</v>
      </c>
      <c r="H13" s="27">
        <v>4035.13</v>
      </c>
      <c r="I13" s="95"/>
    </row>
    <row r="14" spans="1:9" x14ac:dyDescent="0.25">
      <c r="A14" s="12">
        <v>43597</v>
      </c>
      <c r="B14" s="25">
        <v>347</v>
      </c>
      <c r="C14" s="25">
        <v>23</v>
      </c>
      <c r="D14" s="25">
        <v>491</v>
      </c>
      <c r="E14" s="26">
        <v>0</v>
      </c>
      <c r="F14" s="26">
        <v>0</v>
      </c>
      <c r="G14" s="25">
        <v>0</v>
      </c>
      <c r="H14" s="27">
        <v>4035.13</v>
      </c>
      <c r="I14" s="95" t="s">
        <v>50</v>
      </c>
    </row>
    <row r="15" spans="1:9" x14ac:dyDescent="0.25">
      <c r="A15" s="12">
        <v>43598</v>
      </c>
      <c r="B15" s="25">
        <v>263</v>
      </c>
      <c r="C15" s="25">
        <v>6</v>
      </c>
      <c r="D15" s="25">
        <v>477</v>
      </c>
      <c r="E15" s="26">
        <v>0</v>
      </c>
      <c r="F15" s="26">
        <v>0</v>
      </c>
      <c r="G15" s="25">
        <v>0</v>
      </c>
      <c r="H15" s="27">
        <v>4035.15</v>
      </c>
      <c r="I15" s="95" t="s">
        <v>51</v>
      </c>
    </row>
    <row r="16" spans="1:9" x14ac:dyDescent="0.25">
      <c r="A16" s="12">
        <v>43599</v>
      </c>
      <c r="B16" s="25">
        <v>200</v>
      </c>
      <c r="C16" s="25">
        <v>0</v>
      </c>
      <c r="D16" s="25">
        <v>473</v>
      </c>
      <c r="E16" s="26">
        <v>0</v>
      </c>
      <c r="F16" s="26">
        <v>0</v>
      </c>
      <c r="G16" s="25">
        <v>0</v>
      </c>
      <c r="H16" s="27">
        <v>4035.15</v>
      </c>
      <c r="I16" s="95"/>
    </row>
    <row r="17" spans="1:9" x14ac:dyDescent="0.25">
      <c r="A17" s="12">
        <v>43600</v>
      </c>
      <c r="B17" s="25">
        <v>169</v>
      </c>
      <c r="C17" s="25">
        <v>0</v>
      </c>
      <c r="D17" s="25">
        <v>420</v>
      </c>
      <c r="E17" s="26">
        <v>7.0000000000000007E-2</v>
      </c>
      <c r="F17" s="26">
        <v>0</v>
      </c>
      <c r="G17" s="25">
        <v>0</v>
      </c>
      <c r="H17" s="27">
        <v>4035.15</v>
      </c>
      <c r="I17" s="95" t="s">
        <v>52</v>
      </c>
    </row>
    <row r="18" spans="1:9" x14ac:dyDescent="0.25">
      <c r="A18" s="12">
        <v>43601</v>
      </c>
      <c r="B18" s="25">
        <v>150</v>
      </c>
      <c r="C18" s="25">
        <v>0</v>
      </c>
      <c r="D18" s="25">
        <v>370</v>
      </c>
      <c r="E18" s="26">
        <v>0</v>
      </c>
      <c r="F18" s="26">
        <v>0</v>
      </c>
      <c r="G18" s="25">
        <v>0</v>
      </c>
      <c r="H18" s="27">
        <v>4035.15</v>
      </c>
      <c r="I18" s="95"/>
    </row>
    <row r="19" spans="1:9" x14ac:dyDescent="0.25">
      <c r="A19" s="12">
        <v>43602</v>
      </c>
      <c r="B19" s="25">
        <v>120</v>
      </c>
      <c r="C19" s="25">
        <v>0</v>
      </c>
      <c r="D19" s="25">
        <v>350</v>
      </c>
      <c r="E19" s="26">
        <v>0.03</v>
      </c>
      <c r="F19" s="26">
        <v>0</v>
      </c>
      <c r="G19" s="25">
        <v>0</v>
      </c>
      <c r="H19" s="27">
        <v>4035.15</v>
      </c>
      <c r="I19" s="95" t="s">
        <v>53</v>
      </c>
    </row>
    <row r="20" spans="1:9" x14ac:dyDescent="0.25">
      <c r="A20" s="12">
        <v>43603</v>
      </c>
      <c r="B20" s="25">
        <v>52</v>
      </c>
      <c r="C20" s="25">
        <v>0</v>
      </c>
      <c r="D20" s="25">
        <v>317</v>
      </c>
      <c r="E20" s="26">
        <v>0</v>
      </c>
      <c r="F20" s="26">
        <v>0</v>
      </c>
      <c r="G20" s="25">
        <v>0</v>
      </c>
      <c r="H20" s="27">
        <v>4035.15</v>
      </c>
      <c r="I20" s="95" t="s">
        <v>54</v>
      </c>
    </row>
    <row r="21" spans="1:9" x14ac:dyDescent="0.25">
      <c r="A21" s="12">
        <v>43604</v>
      </c>
      <c r="B21" s="25">
        <v>18</v>
      </c>
      <c r="C21" s="25">
        <v>0</v>
      </c>
      <c r="D21" s="25">
        <v>270</v>
      </c>
      <c r="E21" s="26">
        <v>0.09</v>
      </c>
      <c r="F21" s="26">
        <v>0</v>
      </c>
      <c r="G21" s="25">
        <v>0</v>
      </c>
      <c r="H21" s="27">
        <v>4035.15</v>
      </c>
      <c r="I21" s="95"/>
    </row>
    <row r="22" spans="1:9" x14ac:dyDescent="0.25">
      <c r="A22" s="12">
        <v>43605</v>
      </c>
      <c r="B22" s="25">
        <v>41</v>
      </c>
      <c r="C22" s="25">
        <v>0</v>
      </c>
      <c r="D22" s="25">
        <v>241</v>
      </c>
      <c r="E22" s="26">
        <v>0.01</v>
      </c>
      <c r="F22" s="106">
        <v>0</v>
      </c>
      <c r="G22" s="25">
        <v>0</v>
      </c>
      <c r="H22" s="27">
        <v>4035.15</v>
      </c>
      <c r="I22" s="95" t="s">
        <v>55</v>
      </c>
    </row>
    <row r="23" spans="1:9" x14ac:dyDescent="0.25">
      <c r="A23" s="12">
        <v>43606</v>
      </c>
      <c r="B23" s="25">
        <v>108</v>
      </c>
      <c r="C23" s="25">
        <v>0</v>
      </c>
      <c r="D23" s="25">
        <v>244</v>
      </c>
      <c r="E23" s="26">
        <v>0.13</v>
      </c>
      <c r="F23" s="106">
        <v>0</v>
      </c>
      <c r="G23" s="25">
        <v>0</v>
      </c>
      <c r="H23" s="27">
        <v>4035.16</v>
      </c>
      <c r="I23" s="95" t="s">
        <v>57</v>
      </c>
    </row>
    <row r="24" spans="1:9" x14ac:dyDescent="0.25">
      <c r="A24" s="12">
        <v>43607</v>
      </c>
      <c r="B24" s="25">
        <v>67</v>
      </c>
      <c r="C24" s="25">
        <v>10</v>
      </c>
      <c r="D24" s="25">
        <v>218</v>
      </c>
      <c r="E24" s="26">
        <v>0.06</v>
      </c>
      <c r="F24" s="106">
        <v>0</v>
      </c>
      <c r="G24" s="25">
        <v>165</v>
      </c>
      <c r="H24" s="27">
        <v>4035.17</v>
      </c>
      <c r="I24" s="95" t="s">
        <v>58</v>
      </c>
    </row>
    <row r="25" spans="1:9" x14ac:dyDescent="0.25">
      <c r="A25" s="12">
        <v>43608</v>
      </c>
      <c r="B25" s="25">
        <v>13</v>
      </c>
      <c r="C25" s="25">
        <v>14</v>
      </c>
      <c r="D25" s="25">
        <v>229</v>
      </c>
      <c r="E25" s="26" t="s">
        <v>40</v>
      </c>
      <c r="F25" s="106">
        <v>0</v>
      </c>
      <c r="G25" s="25">
        <v>262</v>
      </c>
      <c r="H25" s="27">
        <v>4035.18</v>
      </c>
      <c r="I25" s="95" t="s">
        <v>59</v>
      </c>
    </row>
    <row r="26" spans="1:9" x14ac:dyDescent="0.25">
      <c r="A26" s="12">
        <v>43609</v>
      </c>
      <c r="B26" s="25">
        <v>19</v>
      </c>
      <c r="C26" s="25">
        <v>0</v>
      </c>
      <c r="D26" s="25">
        <v>242</v>
      </c>
      <c r="E26" s="26">
        <v>0</v>
      </c>
      <c r="F26" s="106">
        <v>0</v>
      </c>
      <c r="G26" s="25">
        <v>320</v>
      </c>
      <c r="H26" s="27">
        <v>4035.19</v>
      </c>
      <c r="I26" s="95" t="s">
        <v>60</v>
      </c>
    </row>
    <row r="27" spans="1:9" x14ac:dyDescent="0.25">
      <c r="A27" s="12">
        <v>43610</v>
      </c>
      <c r="B27" s="25">
        <v>37</v>
      </c>
      <c r="C27" s="25">
        <v>0</v>
      </c>
      <c r="D27" s="25">
        <v>225</v>
      </c>
      <c r="E27" s="26">
        <v>0</v>
      </c>
      <c r="F27" s="106">
        <v>0</v>
      </c>
      <c r="G27" s="25">
        <v>320</v>
      </c>
      <c r="H27" s="27">
        <v>4035.22</v>
      </c>
      <c r="I27" s="95" t="s">
        <v>61</v>
      </c>
    </row>
    <row r="28" spans="1:9" x14ac:dyDescent="0.25">
      <c r="A28" s="12">
        <v>43611</v>
      </c>
      <c r="B28" s="25">
        <v>5</v>
      </c>
      <c r="C28" s="25">
        <v>54</v>
      </c>
      <c r="D28" s="25">
        <v>194</v>
      </c>
      <c r="E28" s="26">
        <v>0.7</v>
      </c>
      <c r="F28" s="106" t="s">
        <v>40</v>
      </c>
      <c r="G28" s="25">
        <v>320</v>
      </c>
      <c r="H28" s="27">
        <v>4035.24</v>
      </c>
      <c r="I28" s="95" t="s">
        <v>62</v>
      </c>
    </row>
    <row r="29" spans="1:9" x14ac:dyDescent="0.25">
      <c r="A29" s="12">
        <v>43612</v>
      </c>
      <c r="B29" s="25">
        <v>0</v>
      </c>
      <c r="C29" s="25">
        <v>62</v>
      </c>
      <c r="D29" s="25">
        <v>165</v>
      </c>
      <c r="E29" s="26">
        <v>0.43</v>
      </c>
      <c r="F29" s="26">
        <v>0</v>
      </c>
      <c r="G29" s="25">
        <v>320</v>
      </c>
      <c r="H29" s="27">
        <v>4035.26</v>
      </c>
      <c r="I29" s="95"/>
    </row>
    <row r="30" spans="1:9" x14ac:dyDescent="0.25">
      <c r="A30" s="12">
        <v>43613</v>
      </c>
      <c r="B30" s="25">
        <v>0</v>
      </c>
      <c r="C30" s="25">
        <v>48</v>
      </c>
      <c r="D30" s="25">
        <v>143</v>
      </c>
      <c r="E30" s="26">
        <v>0.05</v>
      </c>
      <c r="F30" s="26">
        <v>0</v>
      </c>
      <c r="G30" s="25">
        <v>320</v>
      </c>
      <c r="H30" s="27">
        <v>4035.28</v>
      </c>
      <c r="I30" s="95"/>
    </row>
    <row r="31" spans="1:9" x14ac:dyDescent="0.25">
      <c r="A31" s="12">
        <v>43614</v>
      </c>
      <c r="B31" s="25">
        <v>0</v>
      </c>
      <c r="C31" s="25">
        <v>21</v>
      </c>
      <c r="D31" s="25">
        <v>128</v>
      </c>
      <c r="E31" s="26">
        <v>0.06</v>
      </c>
      <c r="F31" s="26">
        <v>0</v>
      </c>
      <c r="G31" s="25">
        <v>320</v>
      </c>
      <c r="H31" s="27">
        <v>4035.3</v>
      </c>
      <c r="I31" s="95"/>
    </row>
    <row r="32" spans="1:9" x14ac:dyDescent="0.25">
      <c r="A32" s="12">
        <v>43615</v>
      </c>
      <c r="B32" s="25">
        <v>0</v>
      </c>
      <c r="C32" s="25">
        <v>28</v>
      </c>
      <c r="D32" s="25">
        <v>129</v>
      </c>
      <c r="E32" s="26">
        <v>0</v>
      </c>
      <c r="F32" s="26">
        <v>0</v>
      </c>
      <c r="G32" s="25">
        <v>320</v>
      </c>
      <c r="H32" s="27">
        <v>4035.3</v>
      </c>
      <c r="I32" s="95"/>
    </row>
    <row r="33" spans="1:15" ht="15.75" thickBot="1" x14ac:dyDescent="0.3">
      <c r="A33" s="12">
        <v>43616</v>
      </c>
      <c r="B33" s="25">
        <v>0</v>
      </c>
      <c r="C33" s="25">
        <v>58</v>
      </c>
      <c r="D33" s="25">
        <v>135</v>
      </c>
      <c r="E33" s="26">
        <v>0.02</v>
      </c>
      <c r="F33" s="26">
        <v>0</v>
      </c>
      <c r="G33" s="25">
        <v>320</v>
      </c>
      <c r="H33" s="27">
        <v>4035.28</v>
      </c>
      <c r="I33" s="95"/>
    </row>
    <row r="34" spans="1:15" s="11" customFormat="1" ht="15.75" thickTop="1" x14ac:dyDescent="0.25">
      <c r="A34" s="16" t="s">
        <v>8</v>
      </c>
      <c r="B34" s="17">
        <f t="shared" ref="B34:G34" si="0">SUM(B3:B33)</f>
        <v>3463</v>
      </c>
      <c r="C34" s="17">
        <f t="shared" si="0"/>
        <v>329</v>
      </c>
      <c r="D34" s="17">
        <f t="shared" si="0"/>
        <v>8878</v>
      </c>
      <c r="E34" s="18">
        <f t="shared" si="0"/>
        <v>1.65</v>
      </c>
      <c r="F34" s="18">
        <f t="shared" si="0"/>
        <v>0</v>
      </c>
      <c r="G34" s="17">
        <f t="shared" si="0"/>
        <v>2987</v>
      </c>
      <c r="H34" s="18"/>
    </row>
    <row r="35" spans="1:15" s="11" customFormat="1" x14ac:dyDescent="0.25">
      <c r="A35" s="19" t="s">
        <v>9</v>
      </c>
      <c r="B35" s="20">
        <f>SUM(B34+'Apr 2019'!B34)</f>
        <v>4607</v>
      </c>
      <c r="C35" s="20">
        <f>SUM(C34+'Apr 2019'!C34)</f>
        <v>5539</v>
      </c>
      <c r="D35" s="20">
        <f>SUM(D34+'Apr 2019'!D34)</f>
        <v>11405</v>
      </c>
      <c r="E35" s="21">
        <f>SUM(E34+'Apr 2019'!E34)</f>
        <v>11.286</v>
      </c>
      <c r="F35" s="21">
        <f>SUM(F34+'Apr 2019'!F34)</f>
        <v>23.87</v>
      </c>
      <c r="G35" s="20">
        <f>SUM(G34+'Apr 2019'!G34)</f>
        <v>24826</v>
      </c>
      <c r="H35" s="21"/>
    </row>
    <row r="37" spans="1:15" x14ac:dyDescent="0.25">
      <c r="A37" t="s">
        <v>10</v>
      </c>
      <c r="B37" s="23">
        <f>SUM(B3:B33)*1.9835</f>
        <v>6868.8604999999998</v>
      </c>
      <c r="C37" s="23">
        <f>SUM(C3:C33)*1.9835</f>
        <v>652.57150000000001</v>
      </c>
      <c r="D37" s="23">
        <f>SUM(D3:D33)*1.9835</f>
        <v>17609.512999999999</v>
      </c>
      <c r="E37" s="23"/>
      <c r="F37" s="23"/>
      <c r="G37" s="23"/>
      <c r="I37" s="22"/>
    </row>
    <row r="39" spans="1:15" x14ac:dyDescent="0.25">
      <c r="A39" t="s">
        <v>24</v>
      </c>
      <c r="B39" s="23">
        <f>SUM(B37+'Apr 2019'!B38)</f>
        <v>9330.384</v>
      </c>
      <c r="C39" s="23">
        <f>SUM(C37+'Apr 2019'!C38)</f>
        <v>12341.336999999998</v>
      </c>
      <c r="D39" s="23">
        <f>SUM(D37+'Apr 2019'!D38)</f>
        <v>30859.292999999998</v>
      </c>
      <c r="E39" s="23"/>
      <c r="F39" s="23"/>
      <c r="G39" s="23"/>
      <c r="I39" s="22"/>
    </row>
    <row r="40" spans="1:15" x14ac:dyDescent="0.25">
      <c r="I40" s="34"/>
    </row>
    <row r="41" spans="1:15" ht="17.45" customHeight="1" x14ac:dyDescent="0.25">
      <c r="A41" s="155"/>
      <c r="B41" s="155"/>
      <c r="C41" s="155"/>
      <c r="D41" s="155"/>
      <c r="E41" s="155"/>
      <c r="F41" s="156"/>
      <c r="G41" s="157" t="s">
        <v>12</v>
      </c>
      <c r="H41" s="158"/>
      <c r="I41" s="34"/>
      <c r="J41" s="30"/>
      <c r="K41" s="30"/>
      <c r="L41" s="30"/>
      <c r="M41" s="30"/>
      <c r="N41" s="31"/>
      <c r="O41" s="30"/>
    </row>
    <row r="42" spans="1:15" ht="16.899999999999999" customHeight="1" x14ac:dyDescent="0.25">
      <c r="A42" s="29"/>
      <c r="B42" s="29"/>
      <c r="C42" s="29"/>
      <c r="D42" s="29"/>
      <c r="E42" s="29"/>
      <c r="F42" s="29"/>
      <c r="G42" s="157"/>
      <c r="H42" s="158"/>
      <c r="I42" s="34"/>
      <c r="J42" s="30"/>
      <c r="K42" s="30"/>
      <c r="L42" s="30"/>
      <c r="M42" s="30"/>
      <c r="N42" s="31"/>
      <c r="O42" s="30"/>
    </row>
    <row r="43" spans="1:15" ht="13.9" customHeight="1" thickBot="1" x14ac:dyDescent="0.3">
      <c r="A43" s="159" t="s">
        <v>23</v>
      </c>
      <c r="B43" s="159"/>
      <c r="C43" s="159"/>
      <c r="D43" s="159"/>
      <c r="E43" s="159"/>
      <c r="F43" s="159"/>
      <c r="G43" s="159"/>
      <c r="H43" s="159"/>
      <c r="I43" s="160"/>
      <c r="J43" s="160"/>
      <c r="K43" s="32"/>
      <c r="L43" s="32"/>
      <c r="M43" s="32"/>
      <c r="N43" s="33"/>
      <c r="O43" s="34"/>
    </row>
    <row r="44" spans="1:15" ht="15.6" customHeight="1" x14ac:dyDescent="0.25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 x14ac:dyDescent="0.2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2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ht="15.75" x14ac:dyDescent="0.2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57"/>
      <c r="J47" s="34"/>
      <c r="K47" s="34"/>
      <c r="L47" s="34"/>
      <c r="M47" s="34"/>
      <c r="N47" s="33"/>
    </row>
    <row r="48" spans="1:15" ht="15.75" x14ac:dyDescent="0.2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66"/>
      <c r="J48" s="34"/>
      <c r="K48" s="34"/>
      <c r="L48" s="34"/>
      <c r="M48" s="34"/>
      <c r="N48" s="33"/>
    </row>
    <row r="49" spans="1:15" x14ac:dyDescent="0.25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J49" s="34"/>
      <c r="K49" s="34"/>
      <c r="L49" s="34"/>
      <c r="M49" s="34"/>
      <c r="N49" s="33"/>
    </row>
    <row r="50" spans="1:15" ht="13.15" customHeight="1" x14ac:dyDescent="0.25">
      <c r="A50" s="44"/>
      <c r="B50" s="45"/>
      <c r="C50" s="45"/>
      <c r="D50" s="45"/>
      <c r="E50" s="45"/>
      <c r="F50" s="45"/>
      <c r="G50" s="46"/>
      <c r="H50" s="34"/>
      <c r="J50" s="34"/>
      <c r="K50" s="34"/>
      <c r="L50" s="34"/>
      <c r="M50" s="34"/>
      <c r="N50" s="33"/>
      <c r="O50" s="34"/>
    </row>
    <row r="51" spans="1:15" ht="15.75" thickBot="1" x14ac:dyDescent="0.3">
      <c r="A51" s="47" t="s">
        <v>18</v>
      </c>
      <c r="B51" s="47"/>
      <c r="C51" s="47"/>
      <c r="D51" s="47"/>
      <c r="E51" s="48"/>
      <c r="F51" s="49"/>
      <c r="G51" s="46"/>
      <c r="H51" s="34"/>
      <c r="J51" s="34"/>
      <c r="K51" s="34"/>
      <c r="L51" s="34"/>
      <c r="M51" s="34"/>
      <c r="N51" s="33"/>
      <c r="O51" s="34"/>
    </row>
    <row r="52" spans="1:15" ht="26.25" x14ac:dyDescent="0.2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78"/>
      <c r="J52" s="57"/>
    </row>
    <row r="53" spans="1:15" ht="15.75" x14ac:dyDescent="0.25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84"/>
      <c r="J53" s="66"/>
    </row>
    <row r="54" spans="1:15" x14ac:dyDescent="0.25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5" x14ac:dyDescent="0.2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 x14ac:dyDescent="0.25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5" ht="15.75" thickBot="1" x14ac:dyDescent="0.3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J57" s="78"/>
    </row>
    <row r="58" spans="1:15" s="84" customFormat="1" ht="30" customHeight="1" x14ac:dyDescent="0.25">
      <c r="A58" s="161" t="s">
        <v>21</v>
      </c>
      <c r="B58" s="162"/>
      <c r="C58" s="163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  <c r="I58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55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1" sqref="B31"/>
    </sheetView>
  </sheetViews>
  <sheetFormatPr defaultRowHeight="15" x14ac:dyDescent="0.25"/>
  <cols>
    <col min="1" max="1" width="13.5703125" bestFit="1" customWidth="1"/>
    <col min="2" max="8" width="11.7109375" customWidth="1"/>
    <col min="9" max="9" width="27.42578125" customWidth="1"/>
  </cols>
  <sheetData>
    <row r="1" spans="1:9" s="1" customFormat="1" ht="30" x14ac:dyDescent="0.25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25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25">
      <c r="A3" s="12">
        <v>43556</v>
      </c>
      <c r="B3" s="25">
        <v>0</v>
      </c>
      <c r="C3" s="25">
        <v>0</v>
      </c>
      <c r="D3" s="25">
        <v>25</v>
      </c>
      <c r="E3" s="26">
        <v>0.05</v>
      </c>
      <c r="F3" s="26">
        <v>0</v>
      </c>
      <c r="G3" s="25">
        <v>160</v>
      </c>
      <c r="H3" s="27">
        <v>4034.82</v>
      </c>
    </row>
    <row r="4" spans="1:9" x14ac:dyDescent="0.25">
      <c r="A4" s="12">
        <v>43557</v>
      </c>
      <c r="B4" s="153">
        <v>12</v>
      </c>
      <c r="C4" s="25">
        <v>0</v>
      </c>
      <c r="D4" s="25">
        <v>38</v>
      </c>
      <c r="E4" s="26">
        <v>0.4</v>
      </c>
      <c r="F4" s="106">
        <v>0</v>
      </c>
      <c r="G4" s="25">
        <v>160</v>
      </c>
      <c r="H4" s="27">
        <v>4034.82</v>
      </c>
      <c r="I4" s="108" t="s">
        <v>43</v>
      </c>
    </row>
    <row r="5" spans="1:9" x14ac:dyDescent="0.25">
      <c r="A5" s="12">
        <v>43558</v>
      </c>
      <c r="B5" s="25">
        <v>25</v>
      </c>
      <c r="C5" s="25">
        <v>0</v>
      </c>
      <c r="D5" s="25">
        <v>49</v>
      </c>
      <c r="E5" s="26">
        <v>0.08</v>
      </c>
      <c r="F5" s="106">
        <v>0</v>
      </c>
      <c r="G5" s="25">
        <v>57</v>
      </c>
      <c r="H5" s="27">
        <v>4034.83</v>
      </c>
      <c r="I5" s="108"/>
    </row>
    <row r="6" spans="1:9" x14ac:dyDescent="0.25">
      <c r="A6" s="12">
        <v>43559</v>
      </c>
      <c r="B6" s="25">
        <v>25</v>
      </c>
      <c r="C6" s="25">
        <v>0</v>
      </c>
      <c r="D6" s="25">
        <v>49</v>
      </c>
      <c r="E6" s="26">
        <v>0</v>
      </c>
      <c r="F6" s="106">
        <v>0</v>
      </c>
      <c r="G6" s="25">
        <v>0</v>
      </c>
      <c r="H6" s="27">
        <v>4034.83</v>
      </c>
      <c r="I6" s="108"/>
    </row>
    <row r="7" spans="1:9" x14ac:dyDescent="0.25">
      <c r="A7" s="12">
        <v>43560</v>
      </c>
      <c r="B7" s="25">
        <v>25</v>
      </c>
      <c r="C7" s="25">
        <v>0</v>
      </c>
      <c r="D7" s="25">
        <v>49</v>
      </c>
      <c r="E7" s="26">
        <v>0.01</v>
      </c>
      <c r="F7" s="106">
        <v>0</v>
      </c>
      <c r="G7" s="25">
        <v>0</v>
      </c>
      <c r="H7" s="27">
        <v>4034.84</v>
      </c>
      <c r="I7" s="108"/>
    </row>
    <row r="8" spans="1:9" x14ac:dyDescent="0.25">
      <c r="A8" s="12">
        <v>43561</v>
      </c>
      <c r="B8" s="25">
        <v>10</v>
      </c>
      <c r="C8" s="25">
        <v>0</v>
      </c>
      <c r="D8" s="25">
        <v>39</v>
      </c>
      <c r="E8" s="26">
        <v>0.05</v>
      </c>
      <c r="F8" s="106">
        <v>0</v>
      </c>
      <c r="G8" s="25">
        <v>0</v>
      </c>
      <c r="H8" s="27">
        <v>4034.84</v>
      </c>
      <c r="I8" s="108" t="s">
        <v>44</v>
      </c>
    </row>
    <row r="9" spans="1:9" x14ac:dyDescent="0.25">
      <c r="A9" s="12">
        <v>43562</v>
      </c>
      <c r="B9" s="25">
        <v>0</v>
      </c>
      <c r="C9" s="25">
        <v>0</v>
      </c>
      <c r="D9" s="25">
        <v>25</v>
      </c>
      <c r="E9" s="26">
        <v>0</v>
      </c>
      <c r="F9" s="106">
        <v>0</v>
      </c>
      <c r="G9" s="25">
        <v>0</v>
      </c>
      <c r="H9" s="27">
        <v>4034.84</v>
      </c>
      <c r="I9" s="108"/>
    </row>
    <row r="10" spans="1:9" x14ac:dyDescent="0.25">
      <c r="A10" s="12">
        <v>43563</v>
      </c>
      <c r="B10" s="25">
        <v>0</v>
      </c>
      <c r="C10" s="25">
        <v>0</v>
      </c>
      <c r="D10" s="25">
        <v>44</v>
      </c>
      <c r="E10" s="26">
        <v>0.1</v>
      </c>
      <c r="F10" s="106">
        <v>0</v>
      </c>
      <c r="G10" s="25">
        <v>0</v>
      </c>
      <c r="H10" s="27">
        <v>4034.83</v>
      </c>
      <c r="I10" s="108"/>
    </row>
    <row r="11" spans="1:9" x14ac:dyDescent="0.25">
      <c r="A11" s="12">
        <v>43564</v>
      </c>
      <c r="B11" s="25">
        <v>0</v>
      </c>
      <c r="C11" s="25">
        <v>0</v>
      </c>
      <c r="D11" s="25">
        <v>76</v>
      </c>
      <c r="E11" s="26">
        <v>0.49</v>
      </c>
      <c r="F11" s="106">
        <v>0</v>
      </c>
      <c r="G11" s="25">
        <v>0</v>
      </c>
      <c r="H11" s="27">
        <v>4034.86</v>
      </c>
      <c r="I11" s="108"/>
    </row>
    <row r="12" spans="1:9" x14ac:dyDescent="0.25">
      <c r="A12" s="12">
        <v>43565</v>
      </c>
      <c r="B12" s="25">
        <v>0</v>
      </c>
      <c r="C12" s="25">
        <v>4</v>
      </c>
      <c r="D12" s="25">
        <v>93</v>
      </c>
      <c r="E12" s="26" t="s">
        <v>40</v>
      </c>
      <c r="F12" s="106">
        <v>0</v>
      </c>
      <c r="G12" s="25">
        <v>0</v>
      </c>
      <c r="H12" s="27">
        <v>4034.9</v>
      </c>
      <c r="I12" s="108"/>
    </row>
    <row r="13" spans="1:9" x14ac:dyDescent="0.25">
      <c r="A13" s="12">
        <v>43566</v>
      </c>
      <c r="B13" s="25">
        <v>0</v>
      </c>
      <c r="C13" s="25">
        <v>0</v>
      </c>
      <c r="D13" s="25">
        <v>100</v>
      </c>
      <c r="E13" s="26">
        <v>0</v>
      </c>
      <c r="F13" s="106">
        <v>0</v>
      </c>
      <c r="G13" s="25">
        <v>0</v>
      </c>
      <c r="H13" s="27">
        <v>4034.91</v>
      </c>
      <c r="I13" s="108"/>
    </row>
    <row r="14" spans="1:9" x14ac:dyDescent="0.25">
      <c r="A14" s="12">
        <v>43567</v>
      </c>
      <c r="B14" s="25">
        <v>0</v>
      </c>
      <c r="C14" s="25">
        <v>0</v>
      </c>
      <c r="D14" s="25">
        <v>90</v>
      </c>
      <c r="E14" s="26" t="s">
        <v>40</v>
      </c>
      <c r="F14" s="106">
        <v>0</v>
      </c>
      <c r="G14" s="25">
        <v>0</v>
      </c>
      <c r="H14" s="27">
        <v>4034.92</v>
      </c>
      <c r="I14" s="108"/>
    </row>
    <row r="15" spans="1:9" x14ac:dyDescent="0.25">
      <c r="A15" s="12">
        <v>43568</v>
      </c>
      <c r="B15" s="25">
        <v>0</v>
      </c>
      <c r="C15" s="25">
        <v>0</v>
      </c>
      <c r="D15" s="25">
        <v>65</v>
      </c>
      <c r="E15" s="26">
        <v>0</v>
      </c>
      <c r="F15" s="106">
        <v>0</v>
      </c>
      <c r="G15" s="25">
        <v>0</v>
      </c>
      <c r="H15" s="27">
        <v>4034.93</v>
      </c>
      <c r="I15" s="108"/>
    </row>
    <row r="16" spans="1:9" x14ac:dyDescent="0.25">
      <c r="A16" s="12">
        <v>43569</v>
      </c>
      <c r="B16" s="25">
        <v>0</v>
      </c>
      <c r="C16" s="25">
        <v>0</v>
      </c>
      <c r="D16" s="25">
        <v>68</v>
      </c>
      <c r="E16" s="26">
        <v>0.15</v>
      </c>
      <c r="F16" s="106">
        <v>0</v>
      </c>
      <c r="G16" s="25">
        <v>0</v>
      </c>
      <c r="H16" s="27">
        <v>4034.94</v>
      </c>
      <c r="I16" s="108"/>
    </row>
    <row r="17" spans="1:9" x14ac:dyDescent="0.25">
      <c r="A17" s="12">
        <v>43570</v>
      </c>
      <c r="B17" s="25">
        <v>0</v>
      </c>
      <c r="C17" s="25">
        <v>18</v>
      </c>
      <c r="D17" s="25">
        <v>58</v>
      </c>
      <c r="E17" s="26" t="s">
        <v>40</v>
      </c>
      <c r="F17" s="106">
        <v>0</v>
      </c>
      <c r="G17" s="25">
        <v>0</v>
      </c>
      <c r="H17" s="27">
        <v>4034.95</v>
      </c>
      <c r="I17" s="108"/>
    </row>
    <row r="18" spans="1:9" x14ac:dyDescent="0.25">
      <c r="A18" s="12">
        <v>43571</v>
      </c>
      <c r="B18" s="25">
        <v>0</v>
      </c>
      <c r="C18" s="25">
        <v>50</v>
      </c>
      <c r="D18" s="25">
        <v>40</v>
      </c>
      <c r="E18" s="26">
        <v>0.03</v>
      </c>
      <c r="F18" s="106">
        <v>0</v>
      </c>
      <c r="G18" s="25">
        <v>0</v>
      </c>
      <c r="H18" s="27">
        <v>4034.96</v>
      </c>
      <c r="I18" s="108"/>
    </row>
    <row r="19" spans="1:9" x14ac:dyDescent="0.25">
      <c r="A19" s="12">
        <v>43572</v>
      </c>
      <c r="B19" s="25">
        <v>0</v>
      </c>
      <c r="C19" s="25">
        <v>50</v>
      </c>
      <c r="D19" s="25">
        <v>30</v>
      </c>
      <c r="E19" s="26">
        <v>0</v>
      </c>
      <c r="F19" s="106">
        <v>0</v>
      </c>
      <c r="G19" s="25">
        <v>0</v>
      </c>
      <c r="H19" s="27">
        <v>4034.98</v>
      </c>
      <c r="I19" s="108"/>
    </row>
    <row r="20" spans="1:9" x14ac:dyDescent="0.25">
      <c r="A20" s="12">
        <v>43573</v>
      </c>
      <c r="B20" s="25">
        <v>0</v>
      </c>
      <c r="C20" s="25">
        <v>40</v>
      </c>
      <c r="D20" s="25">
        <v>30</v>
      </c>
      <c r="E20" s="26">
        <v>0</v>
      </c>
      <c r="F20" s="106">
        <v>0</v>
      </c>
      <c r="G20" s="25">
        <v>0</v>
      </c>
      <c r="H20" s="27">
        <v>4035</v>
      </c>
      <c r="I20" s="108"/>
    </row>
    <row r="21" spans="1:9" x14ac:dyDescent="0.25">
      <c r="A21" s="12">
        <v>43574</v>
      </c>
      <c r="B21" s="25">
        <v>0</v>
      </c>
      <c r="C21" s="25">
        <v>45</v>
      </c>
      <c r="D21" s="25">
        <v>32</v>
      </c>
      <c r="E21" s="26">
        <v>0</v>
      </c>
      <c r="F21" s="106">
        <v>0</v>
      </c>
      <c r="G21" s="25">
        <v>0</v>
      </c>
      <c r="H21" s="27">
        <v>4035.02</v>
      </c>
      <c r="I21" s="108"/>
    </row>
    <row r="22" spans="1:9" x14ac:dyDescent="0.25">
      <c r="A22" s="12">
        <v>43575</v>
      </c>
      <c r="B22" s="25">
        <v>0</v>
      </c>
      <c r="C22" s="25">
        <v>40</v>
      </c>
      <c r="D22" s="25">
        <v>32</v>
      </c>
      <c r="E22" s="26">
        <v>0.22</v>
      </c>
      <c r="F22" s="106">
        <v>0</v>
      </c>
      <c r="G22" s="25">
        <v>0</v>
      </c>
      <c r="H22" s="27">
        <v>4035.05</v>
      </c>
      <c r="I22" s="108"/>
    </row>
    <row r="23" spans="1:9" x14ac:dyDescent="0.25">
      <c r="A23" s="12">
        <v>43576</v>
      </c>
      <c r="B23" s="25">
        <v>0</v>
      </c>
      <c r="C23" s="25">
        <v>35</v>
      </c>
      <c r="D23" s="25">
        <v>32</v>
      </c>
      <c r="E23" s="26">
        <v>0.08</v>
      </c>
      <c r="F23" s="106">
        <v>0</v>
      </c>
      <c r="G23" s="25">
        <v>0</v>
      </c>
      <c r="H23" s="27">
        <v>4035.07</v>
      </c>
      <c r="I23" s="108"/>
    </row>
    <row r="24" spans="1:9" x14ac:dyDescent="0.25">
      <c r="A24" s="12">
        <v>43577</v>
      </c>
      <c r="B24" s="25">
        <v>0</v>
      </c>
      <c r="C24" s="25">
        <v>33</v>
      </c>
      <c r="D24" s="25">
        <v>32</v>
      </c>
      <c r="E24" s="26">
        <v>0</v>
      </c>
      <c r="F24" s="26">
        <v>0</v>
      </c>
      <c r="G24" s="25">
        <v>0</v>
      </c>
      <c r="H24" s="27">
        <v>4035.09</v>
      </c>
      <c r="I24" s="108"/>
    </row>
    <row r="25" spans="1:9" x14ac:dyDescent="0.25">
      <c r="A25" s="12">
        <v>43578</v>
      </c>
      <c r="B25" s="25">
        <v>0</v>
      </c>
      <c r="C25" s="25">
        <v>43</v>
      </c>
      <c r="D25" s="25">
        <v>32</v>
      </c>
      <c r="E25" s="26">
        <v>0</v>
      </c>
      <c r="F25" s="26">
        <v>0</v>
      </c>
      <c r="G25" s="25">
        <v>0</v>
      </c>
      <c r="H25" s="27">
        <v>4035.12</v>
      </c>
      <c r="I25" s="108"/>
    </row>
    <row r="26" spans="1:9" x14ac:dyDescent="0.25">
      <c r="A26" s="12">
        <v>43579</v>
      </c>
      <c r="B26" s="25">
        <v>0</v>
      </c>
      <c r="C26" s="25">
        <v>36</v>
      </c>
      <c r="D26" s="25">
        <v>32</v>
      </c>
      <c r="E26" s="26">
        <v>0</v>
      </c>
      <c r="F26" s="26">
        <v>0</v>
      </c>
      <c r="G26" s="25">
        <v>0</v>
      </c>
      <c r="H26" s="27">
        <v>4035.14</v>
      </c>
      <c r="I26" s="108"/>
    </row>
    <row r="27" spans="1:9" x14ac:dyDescent="0.25">
      <c r="A27" s="12">
        <v>43580</v>
      </c>
      <c r="B27" s="25">
        <v>0</v>
      </c>
      <c r="C27" s="25">
        <v>41</v>
      </c>
      <c r="D27" s="25">
        <v>32</v>
      </c>
      <c r="E27" s="26">
        <v>0</v>
      </c>
      <c r="F27" s="26">
        <v>0</v>
      </c>
      <c r="G27" s="25">
        <v>0</v>
      </c>
      <c r="H27" s="27">
        <v>4035.14</v>
      </c>
      <c r="I27" s="108"/>
    </row>
    <row r="28" spans="1:9" x14ac:dyDescent="0.25">
      <c r="A28" s="12">
        <v>43581</v>
      </c>
      <c r="B28" s="25">
        <v>0</v>
      </c>
      <c r="C28" s="25">
        <v>54</v>
      </c>
      <c r="D28" s="25">
        <v>57</v>
      </c>
      <c r="E28" s="26">
        <v>0</v>
      </c>
      <c r="F28" s="26">
        <v>0</v>
      </c>
      <c r="G28" s="25">
        <v>0</v>
      </c>
      <c r="H28" s="27">
        <v>4035.15</v>
      </c>
      <c r="I28" s="108"/>
    </row>
    <row r="29" spans="1:9" x14ac:dyDescent="0.25">
      <c r="A29" s="12">
        <v>43582</v>
      </c>
      <c r="B29" s="25">
        <v>0</v>
      </c>
      <c r="C29" s="25">
        <v>58</v>
      </c>
      <c r="D29" s="25">
        <v>50</v>
      </c>
      <c r="E29" s="26">
        <v>0</v>
      </c>
      <c r="F29" s="26">
        <v>0</v>
      </c>
      <c r="G29" s="25">
        <v>0</v>
      </c>
      <c r="H29" s="27">
        <v>4035.15</v>
      </c>
      <c r="I29" s="108"/>
    </row>
    <row r="30" spans="1:9" x14ac:dyDescent="0.25">
      <c r="A30" s="12">
        <v>43583</v>
      </c>
      <c r="B30" s="25">
        <v>0</v>
      </c>
      <c r="C30" s="25">
        <v>55</v>
      </c>
      <c r="D30" s="25">
        <v>65</v>
      </c>
      <c r="E30" s="26">
        <v>0</v>
      </c>
      <c r="F30" s="26">
        <v>0</v>
      </c>
      <c r="G30" s="25">
        <v>0</v>
      </c>
      <c r="H30" s="27">
        <v>4035.15</v>
      </c>
      <c r="I30" s="108"/>
    </row>
    <row r="31" spans="1:9" x14ac:dyDescent="0.25">
      <c r="A31" s="12">
        <v>43584</v>
      </c>
      <c r="B31" s="25">
        <v>0</v>
      </c>
      <c r="C31" s="25">
        <v>50</v>
      </c>
      <c r="D31" s="25">
        <v>79</v>
      </c>
      <c r="E31" s="26">
        <v>0</v>
      </c>
      <c r="F31" s="26">
        <v>0</v>
      </c>
      <c r="G31" s="25">
        <v>0</v>
      </c>
      <c r="H31" s="27">
        <v>4035.15</v>
      </c>
      <c r="I31" s="108"/>
    </row>
    <row r="32" spans="1:9" ht="15.75" thickBot="1" x14ac:dyDescent="0.3">
      <c r="A32" s="12">
        <v>43585</v>
      </c>
      <c r="B32" s="25">
        <v>0</v>
      </c>
      <c r="C32" s="25">
        <v>31</v>
      </c>
      <c r="D32" s="25">
        <v>100</v>
      </c>
      <c r="E32" s="26">
        <v>0</v>
      </c>
      <c r="F32" s="26">
        <v>0</v>
      </c>
      <c r="G32" s="25">
        <v>0</v>
      </c>
      <c r="H32" s="27">
        <v>4035.16</v>
      </c>
      <c r="I32" s="108"/>
    </row>
    <row r="33" spans="1:15" s="11" customFormat="1" ht="15.75" thickTop="1" x14ac:dyDescent="0.25">
      <c r="A33" s="16" t="s">
        <v>8</v>
      </c>
      <c r="B33" s="17">
        <f t="shared" ref="B33:G33" si="0">SUM(B3:B32)</f>
        <v>97</v>
      </c>
      <c r="C33" s="17">
        <f t="shared" si="0"/>
        <v>683</v>
      </c>
      <c r="D33" s="17">
        <f t="shared" si="0"/>
        <v>1543</v>
      </c>
      <c r="E33" s="18">
        <f t="shared" si="0"/>
        <v>1.6600000000000001</v>
      </c>
      <c r="F33" s="18">
        <f t="shared" si="0"/>
        <v>0</v>
      </c>
      <c r="G33" s="17">
        <f t="shared" si="0"/>
        <v>377</v>
      </c>
      <c r="H33" s="18"/>
      <c r="I33"/>
    </row>
    <row r="34" spans="1:15" s="11" customFormat="1" x14ac:dyDescent="0.25">
      <c r="A34" s="19" t="s">
        <v>9</v>
      </c>
      <c r="B34" s="20">
        <f>SUM(B33+'Mar 2019'!B35)</f>
        <v>1144</v>
      </c>
      <c r="C34" s="20">
        <f>SUM(C33+'Mar 2019'!C35)</f>
        <v>5210</v>
      </c>
      <c r="D34" s="20">
        <f>SUM(D33+'Mar 2019'!D35)</f>
        <v>2527</v>
      </c>
      <c r="E34" s="21">
        <f>SUM(E33+'Mar 2019'!E35)</f>
        <v>9.6359999999999992</v>
      </c>
      <c r="F34" s="21">
        <f>SUM(F33+'Mar 2019'!F35)</f>
        <v>23.87</v>
      </c>
      <c r="G34" s="20">
        <f>SUM(G33+'Mar 2019'!G35)</f>
        <v>21839</v>
      </c>
      <c r="H34" s="21"/>
    </row>
    <row r="35" spans="1:15" x14ac:dyDescent="0.25">
      <c r="I35" s="11"/>
    </row>
    <row r="36" spans="1:15" x14ac:dyDescent="0.25">
      <c r="A36" t="s">
        <v>10</v>
      </c>
      <c r="B36" s="23">
        <f>SUM(B3:B33)*1.9835</f>
        <v>384.79900000000004</v>
      </c>
      <c r="C36" s="23">
        <f>SUM(C3:C33)*1.9835</f>
        <v>2709.4610000000002</v>
      </c>
      <c r="D36" s="23">
        <f>SUM(D3:D33)*1.9835</f>
        <v>6121.0810000000001</v>
      </c>
      <c r="E36" s="23"/>
      <c r="F36" s="23"/>
      <c r="G36" s="23"/>
      <c r="I36" s="22"/>
    </row>
    <row r="38" spans="1:15" x14ac:dyDescent="0.25">
      <c r="A38" t="s">
        <v>24</v>
      </c>
      <c r="B38" s="23">
        <f>SUM(B36+'Mar 2019'!B39)</f>
        <v>2461.5235000000002</v>
      </c>
      <c r="C38" s="23">
        <f>SUM(C36+'Mar 2019'!C39)</f>
        <v>11688.765499999998</v>
      </c>
      <c r="D38" s="23">
        <f>SUM(D36+'Mar 2019'!D39)</f>
        <v>13249.78</v>
      </c>
      <c r="E38" s="23"/>
      <c r="F38" s="23"/>
      <c r="G38" s="23"/>
      <c r="I38" s="22"/>
    </row>
    <row r="39" spans="1:15" x14ac:dyDescent="0.25">
      <c r="B39" s="23"/>
      <c r="C39" s="23"/>
      <c r="D39" s="24"/>
      <c r="E39" s="23"/>
      <c r="F39" s="23"/>
      <c r="G39" s="23"/>
      <c r="I39" s="22"/>
    </row>
    <row r="40" spans="1:15" ht="17.45" customHeight="1" x14ac:dyDescent="0.25">
      <c r="A40" s="155"/>
      <c r="B40" s="155"/>
      <c r="C40" s="155"/>
      <c r="D40" s="155"/>
      <c r="E40" s="155"/>
      <c r="F40" s="156"/>
      <c r="G40" s="157" t="s">
        <v>12</v>
      </c>
      <c r="H40" s="158"/>
      <c r="I40" s="30"/>
      <c r="J40" s="30"/>
      <c r="K40" s="30"/>
      <c r="L40" s="30"/>
      <c r="M40" s="30"/>
      <c r="N40" s="31"/>
      <c r="O40" s="30"/>
    </row>
    <row r="41" spans="1:15" ht="16.899999999999999" customHeight="1" x14ac:dyDescent="0.25">
      <c r="A41" s="29"/>
      <c r="B41" s="29"/>
      <c r="C41" s="29"/>
      <c r="D41" s="29"/>
      <c r="E41" s="29"/>
      <c r="F41" s="29"/>
      <c r="G41" s="157"/>
      <c r="H41" s="158"/>
      <c r="I41" s="30"/>
      <c r="J41" s="30"/>
      <c r="K41" s="30"/>
      <c r="L41" s="30"/>
      <c r="M41" s="30"/>
      <c r="N41" s="31"/>
      <c r="O41" s="30"/>
    </row>
    <row r="42" spans="1:15" ht="13.9" customHeight="1" x14ac:dyDescent="0.25">
      <c r="A42" s="160" t="s">
        <v>23</v>
      </c>
      <c r="B42" s="160"/>
      <c r="C42" s="160"/>
      <c r="D42" s="160"/>
      <c r="E42" s="160"/>
      <c r="F42" s="160"/>
      <c r="G42" s="160"/>
      <c r="H42" s="160"/>
      <c r="I42" s="160"/>
      <c r="J42" s="160"/>
      <c r="K42" s="32"/>
      <c r="L42" s="32"/>
      <c r="M42" s="32"/>
      <c r="N42" s="33"/>
      <c r="O42" s="34"/>
    </row>
    <row r="43" spans="1:15" ht="15.6" customHeight="1" x14ac:dyDescent="0.25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4"/>
      <c r="N43" s="33"/>
    </row>
    <row r="44" spans="1:15" x14ac:dyDescent="0.25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4"/>
      <c r="N44" s="33"/>
    </row>
    <row r="45" spans="1:15" x14ac:dyDescent="0.2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2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2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x14ac:dyDescent="0.2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ht="13.15" customHeight="1" x14ac:dyDescent="0.25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4"/>
      <c r="N49" s="33"/>
      <c r="O49" s="34"/>
    </row>
    <row r="50" spans="1:15" ht="15.75" thickBot="1" x14ac:dyDescent="0.3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26.25" x14ac:dyDescent="0.25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  <c r="J51" s="57"/>
    </row>
    <row r="52" spans="1:15" ht="15.75" x14ac:dyDescent="0.25">
      <c r="A52" s="58"/>
      <c r="B52" s="59"/>
      <c r="C52" s="60"/>
      <c r="D52" s="61"/>
      <c r="E52" s="62"/>
      <c r="F52" s="63">
        <f>SUM(C52/24*D52)</f>
        <v>0</v>
      </c>
      <c r="G52" s="64"/>
      <c r="H52" s="65"/>
      <c r="I52" s="66"/>
      <c r="J52" s="66"/>
    </row>
    <row r="53" spans="1:15" x14ac:dyDescent="0.25">
      <c r="A53" s="67"/>
      <c r="B53" s="68"/>
      <c r="C53" s="69"/>
      <c r="D53" s="61"/>
      <c r="E53" s="70"/>
      <c r="F53" s="71">
        <f>SUM(C53/24*D53)</f>
        <v>0</v>
      </c>
      <c r="G53" s="64"/>
      <c r="H53" s="65"/>
    </row>
    <row r="54" spans="1:15" x14ac:dyDescent="0.25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5" x14ac:dyDescent="0.2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 ht="15.75" thickBot="1" x14ac:dyDescent="0.3">
      <c r="A56" s="73"/>
      <c r="B56" s="74"/>
      <c r="C56" s="75"/>
      <c r="D56" s="76"/>
      <c r="E56" s="75"/>
      <c r="F56" s="77">
        <f>SUM(C56/24*D56)</f>
        <v>0</v>
      </c>
      <c r="G56" s="64"/>
      <c r="H56" s="65"/>
      <c r="I56" s="78"/>
      <c r="J56" s="78"/>
    </row>
    <row r="57" spans="1:15" s="84" customFormat="1" ht="30" customHeight="1" x14ac:dyDescent="0.25">
      <c r="A57" s="161" t="s">
        <v>21</v>
      </c>
      <c r="B57" s="162"/>
      <c r="C57" s="163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J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11" sqref="G11"/>
    </sheetView>
  </sheetViews>
  <sheetFormatPr defaultRowHeight="15" x14ac:dyDescent="0.25"/>
  <cols>
    <col min="1" max="1" width="13.5703125" bestFit="1" customWidth="1"/>
    <col min="2" max="8" width="11.7109375" customWidth="1"/>
    <col min="9" max="9" width="27.42578125" customWidth="1"/>
  </cols>
  <sheetData>
    <row r="1" spans="1:9" s="1" customFormat="1" ht="30" x14ac:dyDescent="0.25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25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25">
      <c r="A3" s="12">
        <v>43525</v>
      </c>
      <c r="B3" s="13">
        <v>0</v>
      </c>
      <c r="C3" s="13">
        <v>100</v>
      </c>
      <c r="D3" s="13">
        <v>0</v>
      </c>
      <c r="E3" s="94" t="s">
        <v>40</v>
      </c>
      <c r="F3" s="94">
        <v>0</v>
      </c>
      <c r="G3" s="13">
        <v>452</v>
      </c>
      <c r="H3" s="15">
        <v>4035.06</v>
      </c>
    </row>
    <row r="4" spans="1:9" x14ac:dyDescent="0.25">
      <c r="A4" s="12">
        <v>43526</v>
      </c>
      <c r="B4" s="13">
        <v>0</v>
      </c>
      <c r="C4" s="13">
        <v>106</v>
      </c>
      <c r="D4" s="13">
        <v>0</v>
      </c>
      <c r="E4" s="14">
        <v>0.02</v>
      </c>
      <c r="F4" s="14">
        <v>0</v>
      </c>
      <c r="G4" s="13">
        <v>452</v>
      </c>
      <c r="H4" s="15">
        <v>4035.06</v>
      </c>
    </row>
    <row r="5" spans="1:9" x14ac:dyDescent="0.25">
      <c r="A5" s="12">
        <v>43527</v>
      </c>
      <c r="B5" s="13">
        <v>0</v>
      </c>
      <c r="C5" s="13">
        <v>92</v>
      </c>
      <c r="D5" s="13">
        <v>0</v>
      </c>
      <c r="E5" s="94" t="s">
        <v>40</v>
      </c>
      <c r="F5" s="94">
        <v>0</v>
      </c>
      <c r="G5" s="13">
        <v>452</v>
      </c>
      <c r="H5" s="15">
        <v>4035.06</v>
      </c>
    </row>
    <row r="6" spans="1:9" x14ac:dyDescent="0.25">
      <c r="A6" s="12">
        <v>43528</v>
      </c>
      <c r="B6" s="13">
        <v>0</v>
      </c>
      <c r="C6" s="13">
        <v>75</v>
      </c>
      <c r="D6" s="13">
        <v>0</v>
      </c>
      <c r="E6" s="14">
        <v>0.01</v>
      </c>
      <c r="F6" s="94">
        <v>0</v>
      </c>
      <c r="G6" s="13">
        <v>452</v>
      </c>
      <c r="H6" s="15">
        <v>4035.05</v>
      </c>
    </row>
    <row r="7" spans="1:9" x14ac:dyDescent="0.25">
      <c r="A7" s="12">
        <v>43529</v>
      </c>
      <c r="B7" s="13">
        <v>0</v>
      </c>
      <c r="C7" s="13">
        <v>65</v>
      </c>
      <c r="D7" s="13">
        <v>0</v>
      </c>
      <c r="E7" s="94">
        <v>0.02</v>
      </c>
      <c r="F7" s="94">
        <v>0</v>
      </c>
      <c r="G7" s="13">
        <v>452</v>
      </c>
      <c r="H7" s="15">
        <v>4035.04</v>
      </c>
    </row>
    <row r="8" spans="1:9" x14ac:dyDescent="0.25">
      <c r="A8" s="12">
        <v>43530</v>
      </c>
      <c r="B8" s="13">
        <v>0</v>
      </c>
      <c r="C8" s="13">
        <v>85</v>
      </c>
      <c r="D8" s="13">
        <v>0</v>
      </c>
      <c r="E8" s="14">
        <v>0.22</v>
      </c>
      <c r="F8" s="94">
        <v>0</v>
      </c>
      <c r="G8" s="13">
        <v>452</v>
      </c>
      <c r="H8" s="15">
        <v>4035.03</v>
      </c>
    </row>
    <row r="9" spans="1:9" x14ac:dyDescent="0.25">
      <c r="A9" s="12">
        <v>43531</v>
      </c>
      <c r="B9" s="13">
        <v>0</v>
      </c>
      <c r="C9" s="13">
        <v>80</v>
      </c>
      <c r="D9" s="13">
        <v>0</v>
      </c>
      <c r="E9" s="14">
        <v>0.13</v>
      </c>
      <c r="F9" s="94">
        <v>0</v>
      </c>
      <c r="G9" s="13">
        <v>452</v>
      </c>
      <c r="H9" s="15">
        <v>4035.02</v>
      </c>
    </row>
    <row r="10" spans="1:9" x14ac:dyDescent="0.25">
      <c r="A10" s="12">
        <v>43532</v>
      </c>
      <c r="B10" s="13">
        <v>0</v>
      </c>
      <c r="C10" s="13">
        <v>61</v>
      </c>
      <c r="D10" s="13">
        <v>0</v>
      </c>
      <c r="E10" s="94" t="s">
        <v>40</v>
      </c>
      <c r="F10" s="94">
        <v>0</v>
      </c>
      <c r="G10" s="13">
        <v>452</v>
      </c>
      <c r="H10" s="15">
        <v>4035.01</v>
      </c>
    </row>
    <row r="11" spans="1:9" x14ac:dyDescent="0.25">
      <c r="A11" s="12">
        <v>43533</v>
      </c>
      <c r="B11" s="13">
        <v>0</v>
      </c>
      <c r="C11" s="13">
        <v>34</v>
      </c>
      <c r="D11" s="13">
        <v>0</v>
      </c>
      <c r="E11" s="14">
        <v>0.02</v>
      </c>
      <c r="F11" s="14">
        <v>1</v>
      </c>
      <c r="G11" s="13">
        <v>452</v>
      </c>
      <c r="H11" s="15">
        <v>4035</v>
      </c>
    </row>
    <row r="12" spans="1:9" x14ac:dyDescent="0.25">
      <c r="A12" s="12">
        <v>43534</v>
      </c>
      <c r="B12" s="13">
        <v>0</v>
      </c>
      <c r="C12" s="13">
        <v>60</v>
      </c>
      <c r="D12" s="13">
        <v>0</v>
      </c>
      <c r="E12" s="14">
        <v>0.14000000000000001</v>
      </c>
      <c r="F12" s="14">
        <v>3</v>
      </c>
      <c r="G12" s="13">
        <v>452</v>
      </c>
      <c r="H12" s="15">
        <v>4034.99</v>
      </c>
    </row>
    <row r="13" spans="1:9" x14ac:dyDescent="0.25">
      <c r="A13" s="12">
        <v>43535</v>
      </c>
      <c r="B13" s="13">
        <v>0</v>
      </c>
      <c r="C13" s="13">
        <v>41</v>
      </c>
      <c r="D13" s="13">
        <v>0</v>
      </c>
      <c r="E13" s="94">
        <v>0.01</v>
      </c>
      <c r="F13" s="14">
        <v>0</v>
      </c>
      <c r="G13" s="13">
        <v>452</v>
      </c>
      <c r="H13" s="15">
        <v>4034.98</v>
      </c>
    </row>
    <row r="14" spans="1:9" x14ac:dyDescent="0.25">
      <c r="A14" s="12">
        <v>43536</v>
      </c>
      <c r="B14" s="13">
        <v>0</v>
      </c>
      <c r="C14" s="13">
        <v>42</v>
      </c>
      <c r="D14" s="13">
        <v>0</v>
      </c>
      <c r="E14" s="14">
        <v>0.06</v>
      </c>
      <c r="F14" s="14">
        <v>0.5</v>
      </c>
      <c r="G14" s="13">
        <v>451</v>
      </c>
      <c r="H14" s="15">
        <v>4034.97</v>
      </c>
    </row>
    <row r="15" spans="1:9" x14ac:dyDescent="0.25">
      <c r="A15" s="12">
        <v>43537</v>
      </c>
      <c r="B15" s="13">
        <v>0</v>
      </c>
      <c r="C15" s="13">
        <v>40</v>
      </c>
      <c r="D15" s="13">
        <v>0</v>
      </c>
      <c r="E15" s="94" t="s">
        <v>40</v>
      </c>
      <c r="F15" s="14">
        <v>0</v>
      </c>
      <c r="G15" s="13">
        <v>451</v>
      </c>
      <c r="H15" s="15">
        <v>4034.96</v>
      </c>
    </row>
    <row r="16" spans="1:9" x14ac:dyDescent="0.25">
      <c r="A16" s="12">
        <v>43538</v>
      </c>
      <c r="B16" s="13">
        <v>0</v>
      </c>
      <c r="C16" s="13">
        <v>35</v>
      </c>
      <c r="D16" s="13">
        <v>0</v>
      </c>
      <c r="E16" s="14">
        <v>0.02</v>
      </c>
      <c r="F16" s="14">
        <v>0</v>
      </c>
      <c r="G16" s="13">
        <v>452</v>
      </c>
      <c r="H16" s="15">
        <v>4034.95</v>
      </c>
    </row>
    <row r="17" spans="1:8" x14ac:dyDescent="0.25">
      <c r="A17" s="12">
        <v>43539</v>
      </c>
      <c r="B17" s="13">
        <v>0</v>
      </c>
      <c r="C17" s="13">
        <v>31</v>
      </c>
      <c r="D17" s="13">
        <v>0</v>
      </c>
      <c r="E17" s="14">
        <v>0</v>
      </c>
      <c r="F17" s="14">
        <v>0</v>
      </c>
      <c r="G17" s="13">
        <v>369</v>
      </c>
      <c r="H17" s="15">
        <v>4034.94</v>
      </c>
    </row>
    <row r="18" spans="1:8" x14ac:dyDescent="0.25">
      <c r="A18" s="12">
        <v>43540</v>
      </c>
      <c r="B18" s="13">
        <v>0</v>
      </c>
      <c r="C18" s="13">
        <v>31</v>
      </c>
      <c r="D18" s="13">
        <v>0</v>
      </c>
      <c r="E18" s="14">
        <v>0</v>
      </c>
      <c r="F18" s="14">
        <v>0</v>
      </c>
      <c r="G18" s="13">
        <v>318</v>
      </c>
      <c r="H18" s="15">
        <v>4034.93</v>
      </c>
    </row>
    <row r="19" spans="1:8" x14ac:dyDescent="0.25">
      <c r="A19" s="12">
        <v>43541</v>
      </c>
      <c r="B19" s="13">
        <v>0</v>
      </c>
      <c r="C19" s="13">
        <v>31</v>
      </c>
      <c r="D19" s="13">
        <v>0</v>
      </c>
      <c r="E19" s="14">
        <v>0</v>
      </c>
      <c r="F19" s="14">
        <v>0</v>
      </c>
      <c r="G19" s="13">
        <v>318</v>
      </c>
      <c r="H19" s="15">
        <v>4034.92</v>
      </c>
    </row>
    <row r="20" spans="1:8" x14ac:dyDescent="0.25">
      <c r="A20" s="12">
        <v>43542</v>
      </c>
      <c r="B20" s="13">
        <v>0</v>
      </c>
      <c r="C20" s="13">
        <v>31</v>
      </c>
      <c r="D20" s="13">
        <v>0</v>
      </c>
      <c r="E20" s="14">
        <v>0</v>
      </c>
      <c r="F20" s="14">
        <v>0</v>
      </c>
      <c r="G20" s="13">
        <v>318</v>
      </c>
      <c r="H20" s="15">
        <v>4034.9</v>
      </c>
    </row>
    <row r="21" spans="1:8" x14ac:dyDescent="0.25">
      <c r="A21" s="12">
        <v>43543</v>
      </c>
      <c r="B21" s="13">
        <v>0</v>
      </c>
      <c r="C21" s="13">
        <v>31</v>
      </c>
      <c r="D21" s="13">
        <v>0</v>
      </c>
      <c r="E21" s="14">
        <v>0</v>
      </c>
      <c r="F21" s="14">
        <v>0</v>
      </c>
      <c r="G21" s="13">
        <v>318</v>
      </c>
      <c r="H21" s="15">
        <v>4034.89</v>
      </c>
    </row>
    <row r="22" spans="1:8" x14ac:dyDescent="0.25">
      <c r="A22" s="12">
        <v>43544</v>
      </c>
      <c r="B22" s="13">
        <v>0</v>
      </c>
      <c r="C22" s="25">
        <v>29</v>
      </c>
      <c r="D22" s="13">
        <v>0</v>
      </c>
      <c r="E22" s="14">
        <v>0</v>
      </c>
      <c r="F22" s="14">
        <v>0</v>
      </c>
      <c r="G22" s="13">
        <v>318</v>
      </c>
      <c r="H22" s="27">
        <v>4034.87</v>
      </c>
    </row>
    <row r="23" spans="1:8" x14ac:dyDescent="0.25">
      <c r="A23" s="12">
        <v>43545</v>
      </c>
      <c r="B23" s="13">
        <v>0</v>
      </c>
      <c r="C23" s="25">
        <v>27</v>
      </c>
      <c r="D23" s="13">
        <v>0</v>
      </c>
      <c r="E23" s="14">
        <v>0</v>
      </c>
      <c r="F23" s="14">
        <v>0</v>
      </c>
      <c r="G23" s="13">
        <v>318</v>
      </c>
      <c r="H23" s="27">
        <v>4034.86</v>
      </c>
    </row>
    <row r="24" spans="1:8" x14ac:dyDescent="0.25">
      <c r="A24" s="12">
        <v>43546</v>
      </c>
      <c r="B24" s="13">
        <v>0</v>
      </c>
      <c r="C24" s="25">
        <v>26</v>
      </c>
      <c r="D24" s="13">
        <v>0</v>
      </c>
      <c r="E24" s="14">
        <v>0</v>
      </c>
      <c r="F24" s="14">
        <v>0</v>
      </c>
      <c r="G24" s="25">
        <v>218</v>
      </c>
      <c r="H24" s="27">
        <v>4034.85</v>
      </c>
    </row>
    <row r="25" spans="1:8" x14ac:dyDescent="0.25">
      <c r="A25" s="12">
        <v>43547</v>
      </c>
      <c r="B25" s="13">
        <v>0</v>
      </c>
      <c r="C25" s="25">
        <v>25</v>
      </c>
      <c r="D25" s="13">
        <v>0</v>
      </c>
      <c r="E25" s="14">
        <v>0.05</v>
      </c>
      <c r="F25" s="14">
        <v>0</v>
      </c>
      <c r="G25" s="25">
        <v>160</v>
      </c>
      <c r="H25" s="27">
        <v>4034.84</v>
      </c>
    </row>
    <row r="26" spans="1:8" x14ac:dyDescent="0.25">
      <c r="A26" s="12">
        <v>43548</v>
      </c>
      <c r="B26" s="13">
        <v>0</v>
      </c>
      <c r="C26" s="25">
        <v>25</v>
      </c>
      <c r="D26" s="13">
        <v>0</v>
      </c>
      <c r="E26" s="26">
        <v>7.0000000000000007E-2</v>
      </c>
      <c r="F26" s="14">
        <v>0</v>
      </c>
      <c r="G26" s="25">
        <v>160</v>
      </c>
      <c r="H26" s="27">
        <v>4034.83</v>
      </c>
    </row>
    <row r="27" spans="1:8" x14ac:dyDescent="0.25">
      <c r="A27" s="12">
        <v>43549</v>
      </c>
      <c r="B27" s="13">
        <v>0</v>
      </c>
      <c r="C27" s="25">
        <v>11</v>
      </c>
      <c r="D27" s="93">
        <v>29</v>
      </c>
      <c r="E27" s="26">
        <v>0.03</v>
      </c>
      <c r="F27" s="14">
        <v>0</v>
      </c>
      <c r="G27" s="25">
        <v>160</v>
      </c>
      <c r="H27" s="27">
        <v>4034.82</v>
      </c>
    </row>
    <row r="28" spans="1:8" x14ac:dyDescent="0.25">
      <c r="A28" s="12">
        <v>43550</v>
      </c>
      <c r="B28" s="13">
        <v>0</v>
      </c>
      <c r="C28" s="25">
        <v>0</v>
      </c>
      <c r="D28" s="25">
        <v>40</v>
      </c>
      <c r="E28" s="26">
        <v>0.01</v>
      </c>
      <c r="F28" s="14">
        <v>0</v>
      </c>
      <c r="G28" s="25">
        <v>160</v>
      </c>
      <c r="H28" s="27">
        <v>4034.84</v>
      </c>
    </row>
    <row r="29" spans="1:8" x14ac:dyDescent="0.25">
      <c r="A29" s="12">
        <v>43551</v>
      </c>
      <c r="B29" s="13">
        <v>0</v>
      </c>
      <c r="C29" s="25">
        <v>0</v>
      </c>
      <c r="D29" s="25">
        <v>32</v>
      </c>
      <c r="E29" s="26">
        <v>0.45600000000000002</v>
      </c>
      <c r="F29" s="14">
        <v>0</v>
      </c>
      <c r="G29" s="25">
        <v>160</v>
      </c>
      <c r="H29" s="27">
        <v>4034.85</v>
      </c>
    </row>
    <row r="30" spans="1:8" x14ac:dyDescent="0.25">
      <c r="A30" s="12">
        <v>43552</v>
      </c>
      <c r="B30" s="13">
        <v>0</v>
      </c>
      <c r="C30" s="25">
        <v>0</v>
      </c>
      <c r="D30" s="25">
        <v>27</v>
      </c>
      <c r="E30" s="26">
        <v>0.01</v>
      </c>
      <c r="F30" s="14">
        <v>0</v>
      </c>
      <c r="G30" s="25">
        <v>160</v>
      </c>
      <c r="H30" s="15">
        <v>4034.84</v>
      </c>
    </row>
    <row r="31" spans="1:8" x14ac:dyDescent="0.25">
      <c r="A31" s="12">
        <v>43553</v>
      </c>
      <c r="B31" s="13">
        <v>0</v>
      </c>
      <c r="C31" s="25">
        <v>0</v>
      </c>
      <c r="D31" s="25">
        <v>27</v>
      </c>
      <c r="E31" s="26">
        <v>0.01</v>
      </c>
      <c r="F31" s="14">
        <v>0</v>
      </c>
      <c r="G31" s="25">
        <v>160</v>
      </c>
      <c r="H31" s="15">
        <v>4034.85</v>
      </c>
    </row>
    <row r="32" spans="1:8" x14ac:dyDescent="0.25">
      <c r="A32" s="12">
        <v>43554</v>
      </c>
      <c r="B32" s="13">
        <v>0</v>
      </c>
      <c r="C32" s="25">
        <v>0</v>
      </c>
      <c r="D32" s="25">
        <v>25</v>
      </c>
      <c r="E32" s="26">
        <v>0.02</v>
      </c>
      <c r="F32" s="14">
        <v>0</v>
      </c>
      <c r="G32" s="25">
        <v>160</v>
      </c>
      <c r="H32" s="15">
        <v>4034.84</v>
      </c>
    </row>
    <row r="33" spans="1:15" ht="15.75" thickBot="1" x14ac:dyDescent="0.3">
      <c r="A33" s="12">
        <v>43555</v>
      </c>
      <c r="B33" s="13">
        <v>0</v>
      </c>
      <c r="C33" s="25">
        <v>0</v>
      </c>
      <c r="D33" s="25">
        <v>24</v>
      </c>
      <c r="E33" s="26">
        <v>0</v>
      </c>
      <c r="F33" s="14">
        <v>0</v>
      </c>
      <c r="G33" s="25">
        <v>160</v>
      </c>
      <c r="H33" s="15">
        <v>4034.83</v>
      </c>
    </row>
    <row r="34" spans="1:15" s="11" customFormat="1" ht="15.75" thickTop="1" x14ac:dyDescent="0.25">
      <c r="A34" s="16" t="s">
        <v>8</v>
      </c>
      <c r="B34" s="17">
        <f t="shared" ref="B34:G34" si="0">SUM(B3:B33)</f>
        <v>0</v>
      </c>
      <c r="C34" s="17">
        <f t="shared" si="0"/>
        <v>1214</v>
      </c>
      <c r="D34" s="17">
        <f>SUM(D3:D33)</f>
        <v>204</v>
      </c>
      <c r="E34" s="18">
        <f t="shared" si="0"/>
        <v>1.3060000000000003</v>
      </c>
      <c r="F34" s="18">
        <f t="shared" si="0"/>
        <v>4.5</v>
      </c>
      <c r="G34" s="17">
        <f t="shared" si="0"/>
        <v>10261</v>
      </c>
      <c r="H34" s="18"/>
    </row>
    <row r="35" spans="1:15" s="11" customFormat="1" x14ac:dyDescent="0.25">
      <c r="A35" s="19" t="s">
        <v>9</v>
      </c>
      <c r="B35" s="20">
        <f>SUM(B34+'Feb 2019'!B33)</f>
        <v>1047</v>
      </c>
      <c r="C35" s="20">
        <f>SUM(C34+'Feb 2019'!C33)</f>
        <v>4527</v>
      </c>
      <c r="D35" s="20">
        <f>SUM(D34+'Feb 2019'!D33)</f>
        <v>984</v>
      </c>
      <c r="E35" s="21">
        <f>SUM(E34+'Feb 2019'!E33)</f>
        <v>7.976</v>
      </c>
      <c r="F35" s="21">
        <f>SUM(F34+'Feb 2019'!F33)</f>
        <v>23.87</v>
      </c>
      <c r="G35" s="20">
        <f>SUM(G34+'Feb 2019'!G33)</f>
        <v>21462</v>
      </c>
      <c r="H35" s="21"/>
    </row>
    <row r="37" spans="1:15" x14ac:dyDescent="0.25">
      <c r="A37" t="s">
        <v>10</v>
      </c>
      <c r="B37" s="23">
        <f>SUM(B3:B33)*1.9835</f>
        <v>0</v>
      </c>
      <c r="C37" s="23">
        <f>SUM(C3:C33)*1.9835</f>
        <v>2407.9690000000001</v>
      </c>
      <c r="D37" s="23">
        <f>SUM(D3:D33)*1.9835</f>
        <v>404.63400000000001</v>
      </c>
      <c r="E37" s="23"/>
      <c r="F37" s="23"/>
      <c r="G37" s="23"/>
      <c r="I37" s="22"/>
    </row>
    <row r="39" spans="1:15" x14ac:dyDescent="0.25">
      <c r="A39" t="s">
        <v>24</v>
      </c>
      <c r="B39" s="23">
        <f>SUM(B37+'Feb 2019'!B37)</f>
        <v>2076.7245000000003</v>
      </c>
      <c r="C39" s="23">
        <f>SUM(C37+'Feb 2019'!C37)</f>
        <v>8979.3044999999984</v>
      </c>
      <c r="D39" s="23">
        <f>SUM(D37+'Feb 2019'!D37)</f>
        <v>7128.6990000000005</v>
      </c>
      <c r="E39" s="23"/>
      <c r="F39" s="23"/>
      <c r="G39" s="23"/>
      <c r="I39" s="22"/>
    </row>
    <row r="40" spans="1:15" x14ac:dyDescent="0.25">
      <c r="B40" s="23"/>
      <c r="C40" s="23"/>
      <c r="D40" s="24"/>
      <c r="E40" s="23"/>
      <c r="F40" s="23"/>
      <c r="G40" s="23"/>
      <c r="I40" s="22"/>
    </row>
    <row r="41" spans="1:15" ht="17.45" customHeight="1" x14ac:dyDescent="0.25">
      <c r="A41" s="155"/>
      <c r="B41" s="155"/>
      <c r="C41" s="155"/>
      <c r="D41" s="155"/>
      <c r="E41" s="155"/>
      <c r="F41" s="156"/>
      <c r="G41" s="157" t="s">
        <v>12</v>
      </c>
      <c r="H41" s="158"/>
      <c r="I41" s="30"/>
      <c r="J41" s="30"/>
      <c r="K41" s="30"/>
      <c r="L41" s="30"/>
      <c r="M41" s="30"/>
      <c r="N41" s="31"/>
      <c r="O41" s="30"/>
    </row>
    <row r="42" spans="1:15" ht="16.899999999999999" customHeight="1" x14ac:dyDescent="0.25">
      <c r="A42" s="29"/>
      <c r="B42" s="29"/>
      <c r="C42" s="29"/>
      <c r="D42" s="29"/>
      <c r="E42" s="29"/>
      <c r="F42" s="29"/>
      <c r="G42" s="157"/>
      <c r="H42" s="158"/>
      <c r="I42" s="30"/>
      <c r="J42" s="30"/>
      <c r="K42" s="30"/>
      <c r="L42" s="30"/>
      <c r="M42" s="30"/>
      <c r="N42" s="31"/>
      <c r="O42" s="30"/>
    </row>
    <row r="43" spans="1:15" ht="13.9" customHeight="1" x14ac:dyDescent="0.25">
      <c r="A43" s="160" t="s">
        <v>23</v>
      </c>
      <c r="B43" s="160"/>
      <c r="C43" s="160"/>
      <c r="D43" s="160"/>
      <c r="E43" s="160"/>
      <c r="F43" s="160"/>
      <c r="G43" s="160"/>
      <c r="H43" s="160"/>
      <c r="I43" s="160"/>
      <c r="J43" s="160"/>
      <c r="K43" s="32"/>
      <c r="L43" s="32"/>
      <c r="M43" s="32"/>
      <c r="N43" s="33"/>
      <c r="O43" s="34"/>
    </row>
    <row r="44" spans="1:15" ht="15.6" customHeight="1" x14ac:dyDescent="0.25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 x14ac:dyDescent="0.2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2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2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x14ac:dyDescent="0.2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x14ac:dyDescent="0.25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4"/>
      <c r="N49" s="33"/>
    </row>
    <row r="50" spans="1:15" ht="13.15" customHeight="1" x14ac:dyDescent="0.25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15.75" thickBot="1" x14ac:dyDescent="0.3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4"/>
      <c r="N51" s="33"/>
      <c r="O51" s="34"/>
    </row>
    <row r="52" spans="1:15" ht="26.25" x14ac:dyDescent="0.2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</row>
    <row r="53" spans="1:15" ht="15.75" x14ac:dyDescent="0.25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66"/>
      <c r="J53" s="66"/>
    </row>
    <row r="54" spans="1:15" x14ac:dyDescent="0.25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5" x14ac:dyDescent="0.2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 x14ac:dyDescent="0.25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5" ht="15.75" thickBot="1" x14ac:dyDescent="0.3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  <c r="J57" s="78"/>
    </row>
    <row r="58" spans="1:15" s="84" customFormat="1" ht="30" customHeight="1" x14ac:dyDescent="0.25">
      <c r="A58" s="161" t="s">
        <v>21</v>
      </c>
      <c r="B58" s="162"/>
      <c r="C58" s="163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6"/>
  <sheetViews>
    <sheetView zoomScale="110" zoomScaleNormal="110"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H30" sqref="H30"/>
    </sheetView>
  </sheetViews>
  <sheetFormatPr defaultRowHeight="15" x14ac:dyDescent="0.25"/>
  <cols>
    <col min="1" max="1" width="13.5703125" bestFit="1" customWidth="1"/>
    <col min="2" max="8" width="11.7109375" customWidth="1"/>
    <col min="9" max="9" width="27.42578125" customWidth="1"/>
  </cols>
  <sheetData>
    <row r="1" spans="1:9" s="1" customFormat="1" ht="30" x14ac:dyDescent="0.25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25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25">
      <c r="A3" s="12">
        <v>43497</v>
      </c>
      <c r="B3" s="13">
        <v>0</v>
      </c>
      <c r="C3" s="13">
        <v>30</v>
      </c>
      <c r="D3" s="13">
        <v>0</v>
      </c>
      <c r="E3" s="94" t="s">
        <v>40</v>
      </c>
      <c r="F3" s="14">
        <v>0</v>
      </c>
      <c r="G3" s="13">
        <v>0</v>
      </c>
      <c r="H3" s="15">
        <v>4035.01</v>
      </c>
    </row>
    <row r="4" spans="1:9" x14ac:dyDescent="0.25">
      <c r="A4" s="12">
        <v>43498</v>
      </c>
      <c r="B4" s="13">
        <v>0</v>
      </c>
      <c r="C4" s="13">
        <v>30</v>
      </c>
      <c r="D4" s="13">
        <v>0</v>
      </c>
      <c r="E4" s="14">
        <v>0.03</v>
      </c>
      <c r="F4" s="14">
        <v>0</v>
      </c>
      <c r="G4" s="13">
        <v>0</v>
      </c>
      <c r="H4" s="15">
        <v>4035.02</v>
      </c>
    </row>
    <row r="5" spans="1:9" x14ac:dyDescent="0.25">
      <c r="A5" s="12">
        <v>43499</v>
      </c>
      <c r="B5" s="13">
        <v>0</v>
      </c>
      <c r="C5" s="13">
        <v>30</v>
      </c>
      <c r="D5" s="13">
        <v>0</v>
      </c>
      <c r="E5" s="94" t="s">
        <v>40</v>
      </c>
      <c r="F5" s="14">
        <v>0</v>
      </c>
      <c r="G5" s="13">
        <v>0</v>
      </c>
      <c r="H5" s="15">
        <v>4035.03</v>
      </c>
    </row>
    <row r="6" spans="1:9" x14ac:dyDescent="0.25">
      <c r="A6" s="12">
        <v>43500</v>
      </c>
      <c r="B6" s="13">
        <v>0</v>
      </c>
      <c r="C6" s="13">
        <v>30</v>
      </c>
      <c r="D6" s="13">
        <v>0</v>
      </c>
      <c r="E6" s="14">
        <v>0.25</v>
      </c>
      <c r="F6" s="14">
        <v>3</v>
      </c>
      <c r="G6" s="13">
        <v>0</v>
      </c>
      <c r="H6" s="15">
        <v>4035.04</v>
      </c>
    </row>
    <row r="7" spans="1:9" x14ac:dyDescent="0.25">
      <c r="A7" s="12">
        <v>43501</v>
      </c>
      <c r="B7" s="13">
        <v>0</v>
      </c>
      <c r="C7" s="13">
        <v>30</v>
      </c>
      <c r="D7" s="13">
        <v>0</v>
      </c>
      <c r="E7" s="14">
        <v>0.08</v>
      </c>
      <c r="F7" s="14">
        <v>1</v>
      </c>
      <c r="G7" s="93">
        <v>99</v>
      </c>
      <c r="H7" s="152">
        <v>4035.05</v>
      </c>
      <c r="I7" t="s">
        <v>42</v>
      </c>
    </row>
    <row r="8" spans="1:9" x14ac:dyDescent="0.25">
      <c r="A8" s="12">
        <v>43502</v>
      </c>
      <c r="B8" s="13">
        <v>0</v>
      </c>
      <c r="C8" s="13">
        <v>30</v>
      </c>
      <c r="D8" s="13">
        <v>0</v>
      </c>
      <c r="E8" s="14">
        <v>0.02</v>
      </c>
      <c r="F8" s="14">
        <v>0</v>
      </c>
      <c r="G8" s="13">
        <v>160</v>
      </c>
      <c r="H8" s="15">
        <v>4035.05</v>
      </c>
    </row>
    <row r="9" spans="1:9" x14ac:dyDescent="0.25">
      <c r="A9" s="12">
        <v>43503</v>
      </c>
      <c r="B9" s="13">
        <v>0</v>
      </c>
      <c r="C9" s="13">
        <v>30</v>
      </c>
      <c r="D9" s="13">
        <v>0</v>
      </c>
      <c r="E9" s="94" t="s">
        <v>40</v>
      </c>
      <c r="F9" s="14">
        <v>0</v>
      </c>
      <c r="G9" s="13">
        <v>160</v>
      </c>
      <c r="H9" s="15">
        <v>4035.05</v>
      </c>
    </row>
    <row r="10" spans="1:9" x14ac:dyDescent="0.25">
      <c r="A10" s="12">
        <v>43504</v>
      </c>
      <c r="B10" s="13">
        <v>0</v>
      </c>
      <c r="C10" s="13">
        <v>30</v>
      </c>
      <c r="D10" s="13">
        <v>0</v>
      </c>
      <c r="E10" s="94" t="s">
        <v>40</v>
      </c>
      <c r="F10" s="14">
        <v>0</v>
      </c>
      <c r="G10" s="13">
        <v>160</v>
      </c>
      <c r="H10" s="15">
        <v>4035.05</v>
      </c>
    </row>
    <row r="11" spans="1:9" x14ac:dyDescent="0.25">
      <c r="A11" s="12">
        <v>43505</v>
      </c>
      <c r="B11" s="13">
        <v>0</v>
      </c>
      <c r="C11" s="13">
        <v>30</v>
      </c>
      <c r="D11" s="13">
        <v>0</v>
      </c>
      <c r="E11" s="14">
        <v>0.08</v>
      </c>
      <c r="F11" s="14">
        <v>0.5</v>
      </c>
      <c r="G11" s="13">
        <v>160</v>
      </c>
      <c r="H11" s="15">
        <v>4035.04</v>
      </c>
    </row>
    <row r="12" spans="1:9" x14ac:dyDescent="0.25">
      <c r="A12" s="12">
        <v>43506</v>
      </c>
      <c r="B12" s="13">
        <v>0</v>
      </c>
      <c r="C12" s="13">
        <v>30</v>
      </c>
      <c r="D12" s="13">
        <v>0</v>
      </c>
      <c r="E12" s="14">
        <v>0.03</v>
      </c>
      <c r="F12" s="14">
        <v>0</v>
      </c>
      <c r="G12" s="13">
        <v>160</v>
      </c>
      <c r="H12" s="15">
        <v>4035.04</v>
      </c>
    </row>
    <row r="13" spans="1:9" x14ac:dyDescent="0.25">
      <c r="A13" s="12">
        <v>43507</v>
      </c>
      <c r="B13" s="13">
        <v>0</v>
      </c>
      <c r="C13" s="13">
        <v>30</v>
      </c>
      <c r="D13" s="13">
        <v>0</v>
      </c>
      <c r="E13" s="94">
        <v>0</v>
      </c>
      <c r="F13" s="94">
        <v>0</v>
      </c>
      <c r="G13" s="13">
        <v>160</v>
      </c>
      <c r="H13" s="15">
        <v>4035.04</v>
      </c>
    </row>
    <row r="14" spans="1:9" x14ac:dyDescent="0.25">
      <c r="A14" s="12">
        <v>43508</v>
      </c>
      <c r="B14" s="13">
        <v>0</v>
      </c>
      <c r="C14" s="13">
        <v>30</v>
      </c>
      <c r="D14" s="13">
        <v>0</v>
      </c>
      <c r="E14" s="94">
        <v>0</v>
      </c>
      <c r="F14" s="94">
        <v>0</v>
      </c>
      <c r="G14" s="13">
        <v>160</v>
      </c>
      <c r="H14" s="15">
        <v>4035.04</v>
      </c>
    </row>
    <row r="15" spans="1:9" x14ac:dyDescent="0.25">
      <c r="A15" s="12">
        <v>43509</v>
      </c>
      <c r="B15" s="13">
        <v>0</v>
      </c>
      <c r="C15" s="13">
        <v>30</v>
      </c>
      <c r="D15" s="13">
        <v>0</v>
      </c>
      <c r="E15" s="26">
        <v>0.19</v>
      </c>
      <c r="F15" s="26">
        <v>2.5</v>
      </c>
      <c r="G15" s="13">
        <v>108</v>
      </c>
      <c r="H15" s="27">
        <v>4035.05</v>
      </c>
    </row>
    <row r="16" spans="1:9" x14ac:dyDescent="0.25">
      <c r="A16" s="12">
        <v>43510</v>
      </c>
      <c r="B16" s="13">
        <v>0</v>
      </c>
      <c r="C16" s="13">
        <v>73</v>
      </c>
      <c r="D16" s="13">
        <v>0</v>
      </c>
      <c r="E16" s="26">
        <v>0.61</v>
      </c>
      <c r="F16" s="26">
        <v>0</v>
      </c>
      <c r="G16" s="13">
        <v>244</v>
      </c>
      <c r="H16" s="27">
        <v>4035.1</v>
      </c>
    </row>
    <row r="17" spans="1:9" x14ac:dyDescent="0.25">
      <c r="A17" s="12">
        <v>43511</v>
      </c>
      <c r="B17" s="13">
        <v>0</v>
      </c>
      <c r="C17" s="13">
        <v>150</v>
      </c>
      <c r="D17" s="13">
        <v>0</v>
      </c>
      <c r="E17" s="26">
        <v>0.03</v>
      </c>
      <c r="F17" s="26">
        <v>0.5</v>
      </c>
      <c r="G17" s="13">
        <v>300</v>
      </c>
      <c r="H17" s="27">
        <v>4035.07</v>
      </c>
    </row>
    <row r="18" spans="1:9" x14ac:dyDescent="0.25">
      <c r="A18" s="12">
        <v>43512</v>
      </c>
      <c r="B18" s="13">
        <v>0</v>
      </c>
      <c r="C18" s="13">
        <v>94</v>
      </c>
      <c r="D18" s="13">
        <v>0</v>
      </c>
      <c r="E18" s="26">
        <v>0.06</v>
      </c>
      <c r="F18" s="26">
        <v>1</v>
      </c>
      <c r="G18" s="13">
        <v>300</v>
      </c>
      <c r="H18" s="27">
        <v>4035.06</v>
      </c>
    </row>
    <row r="19" spans="1:9" x14ac:dyDescent="0.25">
      <c r="A19" s="12">
        <v>43513</v>
      </c>
      <c r="B19" s="13">
        <v>0</v>
      </c>
      <c r="C19" s="13">
        <v>55</v>
      </c>
      <c r="D19" s="13">
        <v>0</v>
      </c>
      <c r="E19" s="26">
        <v>7.0000000000000007E-2</v>
      </c>
      <c r="F19" s="26">
        <v>0</v>
      </c>
      <c r="G19" s="13">
        <v>300</v>
      </c>
      <c r="H19" s="27">
        <v>4035.06</v>
      </c>
    </row>
    <row r="20" spans="1:9" x14ac:dyDescent="0.25">
      <c r="A20" s="12">
        <v>43514</v>
      </c>
      <c r="B20" s="13">
        <v>0</v>
      </c>
      <c r="C20" s="13">
        <v>45</v>
      </c>
      <c r="D20" s="13">
        <v>0</v>
      </c>
      <c r="E20" s="26">
        <v>0</v>
      </c>
      <c r="F20" s="26">
        <v>0</v>
      </c>
      <c r="G20" s="13">
        <v>300</v>
      </c>
      <c r="H20" s="27">
        <v>4035.04</v>
      </c>
    </row>
    <row r="21" spans="1:9" x14ac:dyDescent="0.25">
      <c r="A21" s="12">
        <v>43515</v>
      </c>
      <c r="B21" s="13">
        <v>0</v>
      </c>
      <c r="C21" s="13">
        <v>40</v>
      </c>
      <c r="D21" s="13">
        <v>0</v>
      </c>
      <c r="E21" s="26">
        <v>0</v>
      </c>
      <c r="F21" s="26">
        <v>0</v>
      </c>
      <c r="G21" s="13">
        <v>300</v>
      </c>
      <c r="H21" s="27">
        <v>4035.03</v>
      </c>
    </row>
    <row r="22" spans="1:9" x14ac:dyDescent="0.25">
      <c r="A22" s="12">
        <v>43516</v>
      </c>
      <c r="B22" s="13">
        <v>0</v>
      </c>
      <c r="C22" s="13">
        <v>33</v>
      </c>
      <c r="D22" s="13">
        <v>0</v>
      </c>
      <c r="E22" s="26">
        <v>0.05</v>
      </c>
      <c r="F22" s="26">
        <v>0.5</v>
      </c>
      <c r="G22" s="13">
        <v>300</v>
      </c>
      <c r="H22" s="27">
        <v>4035.02</v>
      </c>
    </row>
    <row r="23" spans="1:9" x14ac:dyDescent="0.25">
      <c r="A23" s="12">
        <v>43517</v>
      </c>
      <c r="B23" s="13">
        <v>0</v>
      </c>
      <c r="C23" s="13">
        <v>28</v>
      </c>
      <c r="D23" s="13">
        <v>0</v>
      </c>
      <c r="E23" s="26" t="s">
        <v>40</v>
      </c>
      <c r="F23" s="26" t="s">
        <v>40</v>
      </c>
      <c r="G23" s="13">
        <v>300</v>
      </c>
      <c r="H23" s="27">
        <v>4035.01</v>
      </c>
    </row>
    <row r="24" spans="1:9" x14ac:dyDescent="0.25">
      <c r="A24" s="12">
        <v>43518</v>
      </c>
      <c r="B24" s="13">
        <v>0</v>
      </c>
      <c r="C24" s="13">
        <v>33</v>
      </c>
      <c r="D24" s="13">
        <v>0</v>
      </c>
      <c r="E24" s="26">
        <v>0</v>
      </c>
      <c r="F24" s="26" t="s">
        <v>40</v>
      </c>
      <c r="G24" s="13">
        <v>300</v>
      </c>
      <c r="H24" s="27">
        <v>4035</v>
      </c>
    </row>
    <row r="25" spans="1:9" x14ac:dyDescent="0.25">
      <c r="A25" s="12">
        <v>43519</v>
      </c>
      <c r="B25" s="13">
        <v>0</v>
      </c>
      <c r="C25" s="13">
        <v>34</v>
      </c>
      <c r="D25" s="13">
        <v>0</v>
      </c>
      <c r="E25" s="26" t="s">
        <v>40</v>
      </c>
      <c r="F25" s="26">
        <v>0</v>
      </c>
      <c r="G25" s="13">
        <v>300</v>
      </c>
      <c r="H25" s="27">
        <v>4034.99</v>
      </c>
    </row>
    <row r="26" spans="1:9" x14ac:dyDescent="0.25">
      <c r="A26" s="12">
        <v>43520</v>
      </c>
      <c r="B26" s="13">
        <v>0</v>
      </c>
      <c r="C26" s="13">
        <v>34</v>
      </c>
      <c r="D26" s="13">
        <v>0</v>
      </c>
      <c r="E26" s="26">
        <v>0</v>
      </c>
      <c r="F26" s="26">
        <v>0</v>
      </c>
      <c r="G26" s="13">
        <v>300</v>
      </c>
      <c r="H26" s="27">
        <v>4034.97</v>
      </c>
    </row>
    <row r="27" spans="1:9" x14ac:dyDescent="0.25">
      <c r="A27" s="12">
        <v>43521</v>
      </c>
      <c r="B27" s="13">
        <v>0</v>
      </c>
      <c r="C27" s="13">
        <v>33</v>
      </c>
      <c r="D27" s="13">
        <v>0</v>
      </c>
      <c r="E27" s="26">
        <v>0</v>
      </c>
      <c r="F27" s="26">
        <v>0</v>
      </c>
      <c r="G27" s="13">
        <v>301</v>
      </c>
      <c r="H27" s="27">
        <v>4034.99</v>
      </c>
    </row>
    <row r="28" spans="1:9" x14ac:dyDescent="0.25">
      <c r="A28" s="12">
        <v>43522</v>
      </c>
      <c r="B28" s="13">
        <v>0</v>
      </c>
      <c r="C28" s="25">
        <v>53</v>
      </c>
      <c r="D28" s="13">
        <v>0</v>
      </c>
      <c r="E28" s="26">
        <v>0.74</v>
      </c>
      <c r="F28" s="26">
        <v>7</v>
      </c>
      <c r="G28" s="13">
        <v>301</v>
      </c>
      <c r="H28" s="27">
        <v>4035.05</v>
      </c>
    </row>
    <row r="29" spans="1:9" x14ac:dyDescent="0.25">
      <c r="A29" s="12">
        <v>43523</v>
      </c>
      <c r="B29" s="13">
        <v>0</v>
      </c>
      <c r="C29" s="25">
        <v>56</v>
      </c>
      <c r="D29" s="13">
        <v>0</v>
      </c>
      <c r="E29" s="26" t="s">
        <v>40</v>
      </c>
      <c r="F29" s="26" t="s">
        <v>40</v>
      </c>
      <c r="G29" s="13">
        <v>396</v>
      </c>
      <c r="H29" s="27">
        <v>4035.06</v>
      </c>
    </row>
    <row r="30" spans="1:9" x14ac:dyDescent="0.25">
      <c r="A30" s="12">
        <v>43524</v>
      </c>
      <c r="B30" s="13">
        <v>0</v>
      </c>
      <c r="C30" s="25">
        <v>91</v>
      </c>
      <c r="D30" s="13">
        <v>0</v>
      </c>
      <c r="E30" s="26">
        <v>7.0000000000000007E-2</v>
      </c>
      <c r="F30" s="26" t="s">
        <v>40</v>
      </c>
      <c r="G30" s="13">
        <v>452</v>
      </c>
      <c r="H30" s="27">
        <v>4035.06</v>
      </c>
    </row>
    <row r="31" spans="1:9" ht="15.75" thickBot="1" x14ac:dyDescent="0.3">
      <c r="A31" s="12"/>
      <c r="B31" s="13"/>
      <c r="C31" s="93" t="s">
        <v>27</v>
      </c>
      <c r="D31" s="13"/>
      <c r="E31" s="14"/>
      <c r="F31" s="14"/>
      <c r="G31" s="13"/>
      <c r="H31" s="27"/>
    </row>
    <row r="32" spans="1:9" s="11" customFormat="1" ht="15.75" thickTop="1" x14ac:dyDescent="0.25">
      <c r="A32" s="16" t="s">
        <v>8</v>
      </c>
      <c r="B32" s="17">
        <f t="shared" ref="B32:G32" si="0">SUM(B3:B31)</f>
        <v>0</v>
      </c>
      <c r="C32" s="17">
        <f t="shared" si="0"/>
        <v>1242</v>
      </c>
      <c r="D32" s="17">
        <f t="shared" si="0"/>
        <v>0</v>
      </c>
      <c r="E32" s="18">
        <f t="shared" si="0"/>
        <v>2.31</v>
      </c>
      <c r="F32" s="18">
        <f t="shared" si="0"/>
        <v>16</v>
      </c>
      <c r="G32" s="17">
        <f t="shared" si="0"/>
        <v>6021</v>
      </c>
      <c r="H32" s="18"/>
      <c r="I32"/>
    </row>
    <row r="33" spans="1:15" s="11" customFormat="1" x14ac:dyDescent="0.25">
      <c r="A33" s="19" t="s">
        <v>9</v>
      </c>
      <c r="B33" s="20">
        <f>SUM(B32+'Jan 2019'!B35)</f>
        <v>1047</v>
      </c>
      <c r="C33" s="20">
        <f>SUM(C32+'Jan 2019'!C35)</f>
        <v>3313</v>
      </c>
      <c r="D33" s="20">
        <f>SUM(D32+'Jan 2019'!D35)</f>
        <v>780</v>
      </c>
      <c r="E33" s="21">
        <f>SUM(E32+'Jan 2019'!E35)</f>
        <v>6.67</v>
      </c>
      <c r="F33" s="21">
        <f>SUM(F32+'Jan 2019'!F35)</f>
        <v>19.37</v>
      </c>
      <c r="G33" s="20">
        <f>SUM(G32+'Jan 2019'!G35)</f>
        <v>11201</v>
      </c>
      <c r="H33" s="21"/>
      <c r="I33"/>
    </row>
    <row r="35" spans="1:15" x14ac:dyDescent="0.25">
      <c r="A35" t="s">
        <v>10</v>
      </c>
      <c r="B35" s="23">
        <f>SUM(B3:B31)*1.9835</f>
        <v>0</v>
      </c>
      <c r="C35" s="23">
        <f>SUM(C3:C31)*1.9835</f>
        <v>2463.5070000000001</v>
      </c>
      <c r="D35" s="23">
        <f>SUM(D3:D31)*1.9835</f>
        <v>0</v>
      </c>
      <c r="E35" s="23"/>
      <c r="F35" s="23"/>
      <c r="G35" s="23"/>
      <c r="I35" s="22"/>
    </row>
    <row r="37" spans="1:15" x14ac:dyDescent="0.25">
      <c r="A37" t="s">
        <v>24</v>
      </c>
      <c r="B37" s="23">
        <f>SUM(B35+'Jan 2019'!B39)</f>
        <v>2076.7245000000003</v>
      </c>
      <c r="C37" s="23">
        <f>SUM(C35+'Jan 2019'!C39)</f>
        <v>6571.3354999999992</v>
      </c>
      <c r="D37" s="23">
        <f>SUM(D35+'Jan 2019'!D39)</f>
        <v>6724.0650000000005</v>
      </c>
      <c r="E37" s="23"/>
      <c r="F37" s="23"/>
      <c r="G37" s="23"/>
      <c r="I37" s="22"/>
    </row>
    <row r="38" spans="1:15" x14ac:dyDescent="0.25">
      <c r="B38" s="23"/>
      <c r="C38" s="23"/>
      <c r="D38" s="24"/>
      <c r="E38" s="23"/>
      <c r="F38" s="23"/>
      <c r="G38" s="23"/>
      <c r="I38" s="22"/>
    </row>
    <row r="39" spans="1:15" ht="17.45" customHeight="1" x14ac:dyDescent="0.25">
      <c r="A39" s="155"/>
      <c r="B39" s="155"/>
      <c r="C39" s="155"/>
      <c r="D39" s="155"/>
      <c r="E39" s="155"/>
      <c r="F39" s="156"/>
      <c r="G39" s="157" t="s">
        <v>12</v>
      </c>
      <c r="H39" s="158"/>
      <c r="I39" s="30"/>
      <c r="J39" s="30"/>
      <c r="K39" s="30"/>
      <c r="L39" s="30"/>
      <c r="M39" s="30"/>
      <c r="N39" s="31"/>
      <c r="O39" s="30"/>
    </row>
    <row r="40" spans="1:15" ht="16.899999999999999" customHeight="1" x14ac:dyDescent="0.25">
      <c r="A40" s="29"/>
      <c r="B40" s="29"/>
      <c r="C40" s="29"/>
      <c r="D40" s="29"/>
      <c r="E40" s="29"/>
      <c r="F40" s="29"/>
      <c r="G40" s="157"/>
      <c r="H40" s="158"/>
      <c r="I40" s="30"/>
      <c r="J40" s="30"/>
      <c r="K40" s="30"/>
      <c r="L40" s="30"/>
      <c r="M40" s="30"/>
      <c r="N40" s="31"/>
      <c r="O40" s="30"/>
    </row>
    <row r="41" spans="1:15" ht="13.9" customHeight="1" x14ac:dyDescent="0.25">
      <c r="A41" s="160" t="s">
        <v>23</v>
      </c>
      <c r="B41" s="160"/>
      <c r="C41" s="160"/>
      <c r="D41" s="160"/>
      <c r="E41" s="160"/>
      <c r="F41" s="160"/>
      <c r="G41" s="160"/>
      <c r="H41" s="160"/>
      <c r="I41" s="160"/>
      <c r="J41" s="160"/>
      <c r="K41" s="32"/>
      <c r="L41" s="32"/>
      <c r="M41" s="32"/>
      <c r="N41" s="33"/>
      <c r="O41" s="34"/>
    </row>
    <row r="42" spans="1:15" ht="15.6" customHeight="1" x14ac:dyDescent="0.25">
      <c r="A42" s="42" t="s">
        <v>17</v>
      </c>
      <c r="B42" s="36"/>
      <c r="C42" s="37"/>
      <c r="D42" s="37"/>
      <c r="E42" s="38"/>
      <c r="F42" s="39"/>
      <c r="G42" s="40"/>
      <c r="H42" s="41"/>
      <c r="I42" s="34"/>
      <c r="J42" s="34"/>
      <c r="K42" s="34"/>
      <c r="L42" s="34"/>
      <c r="M42" s="34"/>
      <c r="N42" s="33"/>
    </row>
    <row r="43" spans="1:15" x14ac:dyDescent="0.25">
      <c r="A43" s="35"/>
      <c r="B43" s="36"/>
      <c r="C43" s="37"/>
      <c r="D43" s="37"/>
      <c r="E43" s="43"/>
      <c r="F43" s="39">
        <f>SUM(24-D43)</f>
        <v>24</v>
      </c>
      <c r="G43" s="40">
        <f>SUM(C43+E43)</f>
        <v>0</v>
      </c>
      <c r="H43" s="41">
        <f>SUM(C43/24*D43+G43/24*F43)</f>
        <v>0</v>
      </c>
      <c r="I43" s="34"/>
      <c r="J43" s="34"/>
      <c r="K43" s="34"/>
      <c r="L43" s="34"/>
      <c r="M43" s="34"/>
      <c r="N43" s="33"/>
    </row>
    <row r="44" spans="1:15" x14ac:dyDescent="0.25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4"/>
      <c r="N44" s="33"/>
    </row>
    <row r="45" spans="1:15" x14ac:dyDescent="0.2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2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2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ht="13.15" customHeight="1" x14ac:dyDescent="0.25">
      <c r="A48" s="44"/>
      <c r="B48" s="45"/>
      <c r="C48" s="45"/>
      <c r="D48" s="45"/>
      <c r="E48" s="45"/>
      <c r="F48" s="45"/>
      <c r="G48" s="46"/>
      <c r="H48" s="34"/>
      <c r="I48" s="34"/>
      <c r="J48" s="34"/>
      <c r="K48" s="34"/>
      <c r="L48" s="34"/>
      <c r="M48" s="34"/>
      <c r="N48" s="33"/>
      <c r="O48" s="34"/>
    </row>
    <row r="49" spans="1:15" ht="15.75" thickBot="1" x14ac:dyDescent="0.3">
      <c r="A49" s="47" t="s">
        <v>18</v>
      </c>
      <c r="B49" s="47"/>
      <c r="C49" s="47"/>
      <c r="D49" s="47"/>
      <c r="E49" s="48"/>
      <c r="F49" s="49"/>
      <c r="G49" s="46"/>
      <c r="H49" s="34"/>
      <c r="I49" s="34"/>
      <c r="J49" s="34"/>
      <c r="K49" s="34"/>
      <c r="L49" s="34"/>
      <c r="M49" s="34"/>
      <c r="N49" s="33"/>
      <c r="O49" s="34"/>
    </row>
    <row r="50" spans="1:15" ht="26.25" x14ac:dyDescent="0.25">
      <c r="A50" s="50" t="s">
        <v>19</v>
      </c>
      <c r="B50" s="51" t="s">
        <v>13</v>
      </c>
      <c r="C50" s="52" t="s">
        <v>14</v>
      </c>
      <c r="D50" s="52" t="s">
        <v>15</v>
      </c>
      <c r="E50" s="53" t="s">
        <v>16</v>
      </c>
      <c r="F50" s="54" t="s">
        <v>20</v>
      </c>
      <c r="G50" s="55"/>
      <c r="H50" s="56"/>
      <c r="I50" s="57"/>
      <c r="J50" s="57"/>
    </row>
    <row r="51" spans="1:15" ht="15.75" x14ac:dyDescent="0.25">
      <c r="A51" s="58"/>
      <c r="B51" s="59"/>
      <c r="C51" s="60"/>
      <c r="D51" s="61"/>
      <c r="E51" s="62"/>
      <c r="F51" s="63">
        <f>SUM(C51/24*D51)</f>
        <v>0</v>
      </c>
      <c r="G51" s="64"/>
      <c r="H51" s="65"/>
      <c r="I51" s="66"/>
      <c r="J51" s="66"/>
    </row>
    <row r="52" spans="1:15" x14ac:dyDescent="0.25">
      <c r="A52" s="67"/>
      <c r="B52" s="68"/>
      <c r="C52" s="69"/>
      <c r="D52" s="61"/>
      <c r="E52" s="70"/>
      <c r="F52" s="71">
        <f>SUM(C52/24*D52)</f>
        <v>0</v>
      </c>
      <c r="G52" s="64"/>
      <c r="H52" s="65"/>
    </row>
    <row r="53" spans="1:15" x14ac:dyDescent="0.25">
      <c r="A53" s="67"/>
      <c r="B53" s="68"/>
      <c r="C53" s="69"/>
      <c r="D53" s="61"/>
      <c r="E53" s="72"/>
      <c r="F53" s="71">
        <f>SUM(C53/24*D53)</f>
        <v>0</v>
      </c>
      <c r="G53" s="64"/>
      <c r="H53" s="65"/>
    </row>
    <row r="54" spans="1:15" x14ac:dyDescent="0.25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5" ht="15.75" thickBot="1" x14ac:dyDescent="0.3">
      <c r="A55" s="73"/>
      <c r="B55" s="74"/>
      <c r="C55" s="75"/>
      <c r="D55" s="76"/>
      <c r="E55" s="75"/>
      <c r="F55" s="77">
        <f>SUM(C55/24*D55)</f>
        <v>0</v>
      </c>
      <c r="G55" s="64"/>
      <c r="H55" s="65"/>
      <c r="I55" s="78"/>
      <c r="J55" s="78"/>
    </row>
    <row r="56" spans="1:15" s="84" customFormat="1" ht="30" customHeight="1" x14ac:dyDescent="0.25">
      <c r="A56" s="161" t="s">
        <v>21</v>
      </c>
      <c r="B56" s="162"/>
      <c r="C56" s="163"/>
      <c r="D56" s="79">
        <f>SUM(D51:D55)</f>
        <v>0</v>
      </c>
      <c r="E56" s="80" t="s">
        <v>22</v>
      </c>
      <c r="F56" s="81">
        <f>SUM(F51:F55)</f>
        <v>0</v>
      </c>
      <c r="G56" s="82"/>
      <c r="H56" s="83"/>
    </row>
  </sheetData>
  <mergeCells count="4">
    <mergeCell ref="A39:F39"/>
    <mergeCell ref="G39:H40"/>
    <mergeCell ref="A41:J41"/>
    <mergeCell ref="A56:C56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H33" sqref="H33"/>
    </sheetView>
  </sheetViews>
  <sheetFormatPr defaultRowHeight="15" x14ac:dyDescent="0.25"/>
  <cols>
    <col min="1" max="1" width="13.5703125" bestFit="1" customWidth="1"/>
    <col min="2" max="8" width="11.7109375" customWidth="1"/>
    <col min="9" max="9" width="27.42578125" customWidth="1"/>
  </cols>
  <sheetData>
    <row r="1" spans="1:9" s="1" customFormat="1" ht="30" x14ac:dyDescent="0.25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25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ht="15.75" x14ac:dyDescent="0.25">
      <c r="A3" s="130">
        <v>43466</v>
      </c>
      <c r="B3" s="131">
        <v>0</v>
      </c>
      <c r="C3" s="131">
        <v>20</v>
      </c>
      <c r="D3" s="131">
        <v>0</v>
      </c>
      <c r="E3" s="132">
        <v>0</v>
      </c>
      <c r="F3" s="132">
        <v>0</v>
      </c>
      <c r="G3" s="131">
        <v>0</v>
      </c>
      <c r="H3" s="133">
        <v>4034.65</v>
      </c>
      <c r="I3" s="134"/>
    </row>
    <row r="4" spans="1:9" ht="15.75" x14ac:dyDescent="0.25">
      <c r="A4" s="130">
        <v>43467</v>
      </c>
      <c r="B4" s="131">
        <v>0</v>
      </c>
      <c r="C4" s="131">
        <v>20</v>
      </c>
      <c r="D4" s="131">
        <v>0</v>
      </c>
      <c r="E4" s="132">
        <v>0</v>
      </c>
      <c r="F4" s="132">
        <v>0</v>
      </c>
      <c r="G4" s="131">
        <v>0</v>
      </c>
      <c r="H4" s="133">
        <v>4034.65</v>
      </c>
      <c r="I4" s="134"/>
    </row>
    <row r="5" spans="1:9" ht="15.75" x14ac:dyDescent="0.25">
      <c r="A5" s="130">
        <v>43468</v>
      </c>
      <c r="B5" s="131">
        <v>0</v>
      </c>
      <c r="C5" s="131">
        <v>20</v>
      </c>
      <c r="D5" s="131">
        <v>0</v>
      </c>
      <c r="E5" s="132">
        <v>0</v>
      </c>
      <c r="F5" s="132">
        <v>0</v>
      </c>
      <c r="G5" s="131">
        <v>0</v>
      </c>
      <c r="H5" s="133">
        <v>4034.65</v>
      </c>
      <c r="I5" s="134"/>
    </row>
    <row r="6" spans="1:9" ht="15.75" x14ac:dyDescent="0.25">
      <c r="A6" s="130">
        <v>43469</v>
      </c>
      <c r="B6" s="131">
        <v>0</v>
      </c>
      <c r="C6" s="131">
        <v>20</v>
      </c>
      <c r="D6" s="131">
        <v>0</v>
      </c>
      <c r="E6" s="132">
        <v>0</v>
      </c>
      <c r="F6" s="132">
        <v>0</v>
      </c>
      <c r="G6" s="131">
        <v>0</v>
      </c>
      <c r="H6" s="133">
        <v>4034.66</v>
      </c>
      <c r="I6" s="134"/>
    </row>
    <row r="7" spans="1:9" ht="15.75" x14ac:dyDescent="0.25">
      <c r="A7" s="130">
        <v>43470</v>
      </c>
      <c r="B7" s="131">
        <v>0</v>
      </c>
      <c r="C7" s="131">
        <v>20</v>
      </c>
      <c r="D7" s="131">
        <v>0</v>
      </c>
      <c r="E7" s="132">
        <v>0</v>
      </c>
      <c r="F7" s="132">
        <v>0</v>
      </c>
      <c r="G7" s="131">
        <v>0</v>
      </c>
      <c r="H7" s="133">
        <v>4034.66</v>
      </c>
      <c r="I7" s="134"/>
    </row>
    <row r="8" spans="1:9" ht="15.75" x14ac:dyDescent="0.25">
      <c r="A8" s="130">
        <v>43471</v>
      </c>
      <c r="B8" s="131">
        <v>0</v>
      </c>
      <c r="C8" s="131">
        <v>20</v>
      </c>
      <c r="D8" s="131">
        <v>0</v>
      </c>
      <c r="E8" s="135" t="s">
        <v>40</v>
      </c>
      <c r="F8" s="132">
        <v>0</v>
      </c>
      <c r="G8" s="131">
        <v>0</v>
      </c>
      <c r="H8" s="133">
        <v>4034.66</v>
      </c>
      <c r="I8" s="134"/>
    </row>
    <row r="9" spans="1:9" ht="15.75" x14ac:dyDescent="0.25">
      <c r="A9" s="130">
        <v>43472</v>
      </c>
      <c r="B9" s="131">
        <v>0</v>
      </c>
      <c r="C9" s="136">
        <v>20</v>
      </c>
      <c r="D9" s="131">
        <v>0</v>
      </c>
      <c r="E9" s="135">
        <v>0.08</v>
      </c>
      <c r="F9" s="132">
        <v>2</v>
      </c>
      <c r="G9" s="131">
        <v>0</v>
      </c>
      <c r="H9" s="133">
        <v>4034.67</v>
      </c>
      <c r="I9" s="134"/>
    </row>
    <row r="10" spans="1:9" ht="15.75" x14ac:dyDescent="0.25">
      <c r="A10" s="130">
        <v>43473</v>
      </c>
      <c r="B10" s="131">
        <v>0</v>
      </c>
      <c r="C10" s="137">
        <v>20</v>
      </c>
      <c r="D10" s="131">
        <v>0</v>
      </c>
      <c r="E10" s="135">
        <v>0</v>
      </c>
      <c r="F10" s="132">
        <v>0</v>
      </c>
      <c r="G10" s="131">
        <v>0</v>
      </c>
      <c r="H10" s="133">
        <v>4034.68</v>
      </c>
      <c r="I10" s="134"/>
    </row>
    <row r="11" spans="1:9" ht="15.75" x14ac:dyDescent="0.25">
      <c r="A11" s="130">
        <v>43474</v>
      </c>
      <c r="B11" s="131">
        <v>0</v>
      </c>
      <c r="C11" s="137">
        <v>20</v>
      </c>
      <c r="D11" s="131">
        <v>0</v>
      </c>
      <c r="E11" s="135">
        <v>0.28000000000000003</v>
      </c>
      <c r="F11" s="132">
        <v>0</v>
      </c>
      <c r="G11" s="131">
        <v>0</v>
      </c>
      <c r="H11" s="133">
        <v>4034.68</v>
      </c>
      <c r="I11" s="134"/>
    </row>
    <row r="12" spans="1:9" ht="15.75" x14ac:dyDescent="0.25">
      <c r="A12" s="130">
        <v>43475</v>
      </c>
      <c r="B12" s="131">
        <v>0</v>
      </c>
      <c r="C12" s="137">
        <v>20</v>
      </c>
      <c r="D12" s="131">
        <v>0</v>
      </c>
      <c r="E12" s="135">
        <v>0.02</v>
      </c>
      <c r="F12" s="132">
        <v>0</v>
      </c>
      <c r="G12" s="131">
        <v>0</v>
      </c>
      <c r="H12" s="133">
        <v>4034.7</v>
      </c>
      <c r="I12" s="134"/>
    </row>
    <row r="13" spans="1:9" ht="15.75" x14ac:dyDescent="0.25">
      <c r="A13" s="130">
        <v>43476</v>
      </c>
      <c r="B13" s="131">
        <v>0</v>
      </c>
      <c r="C13" s="137">
        <v>20</v>
      </c>
      <c r="D13" s="131">
        <v>0</v>
      </c>
      <c r="E13" s="135" t="s">
        <v>41</v>
      </c>
      <c r="F13" s="138">
        <v>0</v>
      </c>
      <c r="G13" s="131">
        <v>0</v>
      </c>
      <c r="H13" s="133">
        <v>4034.7</v>
      </c>
      <c r="I13" s="134"/>
    </row>
    <row r="14" spans="1:9" ht="15.75" x14ac:dyDescent="0.25">
      <c r="A14" s="130">
        <v>43477</v>
      </c>
      <c r="B14" s="131">
        <v>0</v>
      </c>
      <c r="C14" s="137">
        <v>20</v>
      </c>
      <c r="D14" s="131">
        <v>0</v>
      </c>
      <c r="E14" s="135">
        <v>0</v>
      </c>
      <c r="F14" s="138">
        <v>0</v>
      </c>
      <c r="G14" s="131">
        <v>0</v>
      </c>
      <c r="H14" s="133">
        <v>4034.72</v>
      </c>
      <c r="I14" s="134"/>
    </row>
    <row r="15" spans="1:9" ht="15.75" x14ac:dyDescent="0.25">
      <c r="A15" s="130">
        <v>43478</v>
      </c>
      <c r="B15" s="148">
        <v>0</v>
      </c>
      <c r="C15" s="151">
        <v>20</v>
      </c>
      <c r="D15" s="149">
        <v>0</v>
      </c>
      <c r="E15" s="135">
        <v>0</v>
      </c>
      <c r="F15" s="138">
        <v>0</v>
      </c>
      <c r="G15" s="131">
        <v>0</v>
      </c>
      <c r="H15" s="133">
        <v>4034.72</v>
      </c>
      <c r="I15" s="134"/>
    </row>
    <row r="16" spans="1:9" ht="15.75" x14ac:dyDescent="0.25">
      <c r="A16" s="130">
        <v>43479</v>
      </c>
      <c r="B16" s="148">
        <v>0</v>
      </c>
      <c r="C16" s="151">
        <v>20</v>
      </c>
      <c r="D16" s="149">
        <v>0</v>
      </c>
      <c r="E16" s="135">
        <v>0</v>
      </c>
      <c r="F16" s="138">
        <v>0</v>
      </c>
      <c r="G16" s="131">
        <v>0</v>
      </c>
      <c r="H16" s="133">
        <v>4034.73</v>
      </c>
      <c r="I16" s="134"/>
    </row>
    <row r="17" spans="1:9" ht="15.75" x14ac:dyDescent="0.25">
      <c r="A17" s="130">
        <v>43480</v>
      </c>
      <c r="B17" s="148">
        <v>0</v>
      </c>
      <c r="C17" s="151">
        <v>20</v>
      </c>
      <c r="D17" s="149">
        <v>0</v>
      </c>
      <c r="E17" s="135" t="s">
        <v>40</v>
      </c>
      <c r="F17" s="138">
        <v>0</v>
      </c>
      <c r="G17" s="131">
        <v>0</v>
      </c>
      <c r="H17" s="133">
        <v>4034.74</v>
      </c>
      <c r="I17" s="134"/>
    </row>
    <row r="18" spans="1:9" ht="15.75" x14ac:dyDescent="0.25">
      <c r="A18" s="130">
        <v>43481</v>
      </c>
      <c r="B18" s="148">
        <v>0</v>
      </c>
      <c r="C18" s="151">
        <v>20</v>
      </c>
      <c r="D18" s="149">
        <v>0</v>
      </c>
      <c r="E18" s="135">
        <v>0</v>
      </c>
      <c r="F18" s="138">
        <v>0</v>
      </c>
      <c r="G18" s="131">
        <v>0</v>
      </c>
      <c r="H18" s="139">
        <v>4034.76</v>
      </c>
      <c r="I18" s="134"/>
    </row>
    <row r="19" spans="1:9" ht="15.75" x14ac:dyDescent="0.25">
      <c r="A19" s="130">
        <v>43482</v>
      </c>
      <c r="B19" s="148">
        <v>0</v>
      </c>
      <c r="C19" s="151">
        <v>20</v>
      </c>
      <c r="D19" s="149">
        <v>0</v>
      </c>
      <c r="E19" s="135">
        <v>0.36</v>
      </c>
      <c r="F19" s="138">
        <v>0</v>
      </c>
      <c r="G19" s="131">
        <v>0</v>
      </c>
      <c r="H19" s="139">
        <v>4034.78</v>
      </c>
      <c r="I19" s="134"/>
    </row>
    <row r="20" spans="1:9" ht="15.75" x14ac:dyDescent="0.25">
      <c r="A20" s="130">
        <v>43483</v>
      </c>
      <c r="B20" s="148">
        <v>0</v>
      </c>
      <c r="C20" s="151">
        <v>20</v>
      </c>
      <c r="D20" s="149">
        <v>0</v>
      </c>
      <c r="E20" s="135">
        <v>0.3</v>
      </c>
      <c r="F20" s="132">
        <v>1</v>
      </c>
      <c r="G20" s="131">
        <v>0</v>
      </c>
      <c r="H20" s="139">
        <v>4034.79</v>
      </c>
      <c r="I20" s="134"/>
    </row>
    <row r="21" spans="1:9" ht="15.75" x14ac:dyDescent="0.25">
      <c r="A21" s="130">
        <v>43484</v>
      </c>
      <c r="B21" s="148">
        <v>0</v>
      </c>
      <c r="C21" s="151">
        <v>20</v>
      </c>
      <c r="D21" s="149">
        <v>0</v>
      </c>
      <c r="E21" s="135">
        <v>0.04</v>
      </c>
      <c r="F21" s="132">
        <v>0</v>
      </c>
      <c r="G21" s="131">
        <v>0</v>
      </c>
      <c r="H21" s="139">
        <v>4034.81</v>
      </c>
      <c r="I21" s="134"/>
    </row>
    <row r="22" spans="1:9" ht="15.75" x14ac:dyDescent="0.25">
      <c r="A22" s="130">
        <v>43485</v>
      </c>
      <c r="B22" s="148">
        <v>0</v>
      </c>
      <c r="C22" s="151">
        <v>20</v>
      </c>
      <c r="D22" s="149">
        <v>0</v>
      </c>
      <c r="E22" s="135">
        <v>0.17</v>
      </c>
      <c r="F22" s="132">
        <v>0</v>
      </c>
      <c r="G22" s="131">
        <v>0</v>
      </c>
      <c r="H22" s="139">
        <v>4034.83</v>
      </c>
      <c r="I22" s="134"/>
    </row>
    <row r="23" spans="1:9" ht="15.75" x14ac:dyDescent="0.25">
      <c r="A23" s="130">
        <v>43486</v>
      </c>
      <c r="B23" s="148">
        <v>0</v>
      </c>
      <c r="C23" s="150">
        <v>20</v>
      </c>
      <c r="D23" s="149">
        <v>0</v>
      </c>
      <c r="E23" s="135">
        <v>0.01</v>
      </c>
      <c r="F23" s="132">
        <v>0</v>
      </c>
      <c r="G23" s="131">
        <v>0</v>
      </c>
      <c r="H23" s="139">
        <v>4034.84</v>
      </c>
      <c r="I23" s="134"/>
    </row>
    <row r="24" spans="1:9" ht="15.75" x14ac:dyDescent="0.25">
      <c r="A24" s="130">
        <v>43487</v>
      </c>
      <c r="B24" s="148">
        <v>0</v>
      </c>
      <c r="C24" s="140">
        <v>45</v>
      </c>
      <c r="D24" s="149">
        <v>0</v>
      </c>
      <c r="E24" s="135" t="s">
        <v>40</v>
      </c>
      <c r="F24" s="132">
        <v>0</v>
      </c>
      <c r="G24" s="131">
        <v>0</v>
      </c>
      <c r="H24" s="139">
        <v>4034.85</v>
      </c>
      <c r="I24" s="134"/>
    </row>
    <row r="25" spans="1:9" ht="15.75" x14ac:dyDescent="0.25">
      <c r="A25" s="130">
        <v>43488</v>
      </c>
      <c r="B25" s="148">
        <v>0</v>
      </c>
      <c r="C25" s="140">
        <v>68</v>
      </c>
      <c r="D25" s="149">
        <v>0</v>
      </c>
      <c r="E25" s="135">
        <v>0</v>
      </c>
      <c r="F25" s="132">
        <v>0</v>
      </c>
      <c r="G25" s="131">
        <v>0</v>
      </c>
      <c r="H25" s="139">
        <v>4034.86</v>
      </c>
      <c r="I25" s="134"/>
    </row>
    <row r="26" spans="1:9" ht="15.75" x14ac:dyDescent="0.25">
      <c r="A26" s="130">
        <v>43489</v>
      </c>
      <c r="B26" s="148">
        <v>0</v>
      </c>
      <c r="C26" s="140">
        <v>80</v>
      </c>
      <c r="D26" s="149">
        <v>0</v>
      </c>
      <c r="E26" s="135">
        <v>0.01</v>
      </c>
      <c r="F26" s="132">
        <v>0</v>
      </c>
      <c r="G26" s="131">
        <v>0</v>
      </c>
      <c r="H26" s="139">
        <v>4034.88</v>
      </c>
      <c r="I26" s="134"/>
    </row>
    <row r="27" spans="1:9" ht="15.75" x14ac:dyDescent="0.25">
      <c r="A27" s="130">
        <v>43490</v>
      </c>
      <c r="B27" s="148">
        <v>0</v>
      </c>
      <c r="C27" s="140">
        <v>80</v>
      </c>
      <c r="D27" s="149">
        <v>0</v>
      </c>
      <c r="E27" s="135">
        <v>0.02</v>
      </c>
      <c r="F27" s="132">
        <v>0</v>
      </c>
      <c r="G27" s="131">
        <v>0</v>
      </c>
      <c r="H27" s="139">
        <v>4034.9</v>
      </c>
      <c r="I27" s="134"/>
    </row>
    <row r="28" spans="1:9" ht="15.75" x14ac:dyDescent="0.25">
      <c r="A28" s="130">
        <v>43491</v>
      </c>
      <c r="B28" s="148">
        <v>0</v>
      </c>
      <c r="C28" s="140">
        <v>80</v>
      </c>
      <c r="D28" s="149">
        <v>0</v>
      </c>
      <c r="E28" s="135">
        <v>0.01</v>
      </c>
      <c r="F28" s="132">
        <v>0</v>
      </c>
      <c r="G28" s="131">
        <v>0</v>
      </c>
      <c r="H28" s="139">
        <v>4034.92</v>
      </c>
      <c r="I28" s="134"/>
    </row>
    <row r="29" spans="1:9" ht="15.75" x14ac:dyDescent="0.25">
      <c r="A29" s="130">
        <v>43492</v>
      </c>
      <c r="B29" s="148">
        <v>0</v>
      </c>
      <c r="C29" s="140">
        <v>80</v>
      </c>
      <c r="D29" s="149">
        <v>0</v>
      </c>
      <c r="E29" s="135" t="s">
        <v>40</v>
      </c>
      <c r="F29" s="132">
        <v>0</v>
      </c>
      <c r="G29" s="131">
        <v>0</v>
      </c>
      <c r="H29" s="139">
        <v>4034.94</v>
      </c>
      <c r="I29" s="134"/>
    </row>
    <row r="30" spans="1:9" ht="15.75" x14ac:dyDescent="0.25">
      <c r="A30" s="130">
        <v>43493</v>
      </c>
      <c r="B30" s="148">
        <v>0</v>
      </c>
      <c r="C30" s="140">
        <v>80</v>
      </c>
      <c r="D30" s="149">
        <v>0</v>
      </c>
      <c r="E30" s="135">
        <v>0.01</v>
      </c>
      <c r="F30" s="132">
        <v>0</v>
      </c>
      <c r="G30" s="131">
        <v>0</v>
      </c>
      <c r="H30" s="139">
        <v>4034.95</v>
      </c>
      <c r="I30" s="134"/>
    </row>
    <row r="31" spans="1:9" ht="15.75" x14ac:dyDescent="0.25">
      <c r="A31" s="130">
        <v>43494</v>
      </c>
      <c r="B31" s="148">
        <v>0</v>
      </c>
      <c r="C31" s="140">
        <v>63</v>
      </c>
      <c r="D31" s="149">
        <v>0</v>
      </c>
      <c r="E31" s="135">
        <v>0</v>
      </c>
      <c r="F31" s="132">
        <v>0</v>
      </c>
      <c r="G31" s="131">
        <v>0</v>
      </c>
      <c r="H31" s="139">
        <v>4034.96</v>
      </c>
      <c r="I31" s="134"/>
    </row>
    <row r="32" spans="1:9" ht="15.75" x14ac:dyDescent="0.25">
      <c r="A32" s="130">
        <v>43495</v>
      </c>
      <c r="B32" s="148">
        <v>0</v>
      </c>
      <c r="C32" s="140">
        <v>38</v>
      </c>
      <c r="D32" s="149">
        <v>0</v>
      </c>
      <c r="E32" s="135">
        <v>0</v>
      </c>
      <c r="F32" s="132">
        <v>0</v>
      </c>
      <c r="G32" s="131">
        <v>0</v>
      </c>
      <c r="H32" s="139">
        <v>4034.98</v>
      </c>
      <c r="I32" s="134"/>
    </row>
    <row r="33" spans="1:15" ht="16.5" thickBot="1" x14ac:dyDescent="0.3">
      <c r="A33" s="130">
        <v>43496</v>
      </c>
      <c r="B33" s="148">
        <v>0</v>
      </c>
      <c r="C33" s="140">
        <v>30</v>
      </c>
      <c r="D33" s="149">
        <v>0</v>
      </c>
      <c r="E33" s="135">
        <v>0.01</v>
      </c>
      <c r="F33" s="132">
        <v>0</v>
      </c>
      <c r="G33" s="131">
        <v>0</v>
      </c>
      <c r="H33" s="139">
        <v>4035</v>
      </c>
      <c r="I33" s="134"/>
    </row>
    <row r="34" spans="1:15" s="11" customFormat="1" ht="16.5" thickTop="1" x14ac:dyDescent="0.25">
      <c r="A34" s="141" t="s">
        <v>8</v>
      </c>
      <c r="B34" s="142">
        <f t="shared" ref="B34:G34" si="0">SUM(B3:B33)</f>
        <v>0</v>
      </c>
      <c r="C34" s="142">
        <f t="shared" si="0"/>
        <v>1064</v>
      </c>
      <c r="D34" s="142">
        <f t="shared" si="0"/>
        <v>0</v>
      </c>
      <c r="E34" s="143">
        <f t="shared" si="0"/>
        <v>1.32</v>
      </c>
      <c r="F34" s="143">
        <f t="shared" si="0"/>
        <v>3</v>
      </c>
      <c r="G34" s="142">
        <f t="shared" si="0"/>
        <v>0</v>
      </c>
      <c r="H34" s="143"/>
      <c r="I34" s="144"/>
    </row>
    <row r="35" spans="1:15" s="11" customFormat="1" ht="15.75" x14ac:dyDescent="0.25">
      <c r="A35" s="145" t="s">
        <v>9</v>
      </c>
      <c r="B35" s="146">
        <f>SUM(B34+'Dec 2018'!B35)</f>
        <v>1047</v>
      </c>
      <c r="C35" s="146">
        <f>SUM(C34+'Dec 2018'!C35)</f>
        <v>2071</v>
      </c>
      <c r="D35" s="146">
        <f>SUM(D34+'Dec 2018'!D35)</f>
        <v>780</v>
      </c>
      <c r="E35" s="147">
        <f>SUM(E34+'Dec 2018'!E35)</f>
        <v>4.3600000000000003</v>
      </c>
      <c r="F35" s="147">
        <f>SUM(F34+'Dec 2018'!F35)</f>
        <v>3.37</v>
      </c>
      <c r="G35" s="146">
        <f>SUM(G34+'Dec 2018'!G35)</f>
        <v>5180</v>
      </c>
      <c r="H35" s="147"/>
      <c r="I35" s="144"/>
    </row>
    <row r="37" spans="1:15" x14ac:dyDescent="0.25">
      <c r="A37" t="s">
        <v>10</v>
      </c>
      <c r="B37" s="23">
        <f>SUM(B3:B33)*1.9835</f>
        <v>0</v>
      </c>
      <c r="C37" s="23">
        <f>SUM(C3:C33)*1.9835</f>
        <v>2110.444</v>
      </c>
      <c r="D37" s="23">
        <f>SUM(D3:D33)*1.9835</f>
        <v>0</v>
      </c>
      <c r="E37" s="23"/>
      <c r="F37" s="23"/>
      <c r="G37" s="23"/>
      <c r="I37" s="22"/>
    </row>
    <row r="39" spans="1:15" x14ac:dyDescent="0.25">
      <c r="A39" t="s">
        <v>24</v>
      </c>
      <c r="B39" s="23">
        <f>SUM(B37+'Dec 2018'!B39)</f>
        <v>2076.7245000000003</v>
      </c>
      <c r="C39" s="23">
        <f>SUM(C37+'Dec 2018'!C39)</f>
        <v>4107.8284999999996</v>
      </c>
      <c r="D39" s="23">
        <f>SUM(D37+'Dec 2018'!D39)</f>
        <v>6724.0650000000005</v>
      </c>
      <c r="E39" s="23"/>
      <c r="F39" s="23"/>
      <c r="G39" s="23"/>
      <c r="I39" s="22"/>
    </row>
    <row r="40" spans="1:15" x14ac:dyDescent="0.25">
      <c r="B40" s="23"/>
      <c r="C40" s="23"/>
      <c r="D40" s="24"/>
      <c r="E40" s="23"/>
      <c r="F40" s="23"/>
      <c r="G40" s="23"/>
      <c r="I40" s="22"/>
    </row>
    <row r="41" spans="1:15" ht="17.45" customHeight="1" x14ac:dyDescent="0.25">
      <c r="A41" s="155"/>
      <c r="B41" s="155"/>
      <c r="C41" s="155"/>
      <c r="D41" s="155"/>
      <c r="E41" s="155"/>
      <c r="F41" s="156"/>
      <c r="G41" s="157" t="s">
        <v>12</v>
      </c>
      <c r="H41" s="158"/>
      <c r="I41" s="30"/>
      <c r="J41" s="30"/>
      <c r="K41" s="30"/>
      <c r="L41" s="30"/>
      <c r="M41" s="30"/>
      <c r="N41" s="31"/>
      <c r="O41" s="30"/>
    </row>
    <row r="42" spans="1:15" ht="16.899999999999999" customHeight="1" x14ac:dyDescent="0.25">
      <c r="A42" s="29"/>
      <c r="B42" s="29"/>
      <c r="C42" s="29"/>
      <c r="D42" s="29"/>
      <c r="E42" s="29"/>
      <c r="F42" s="29"/>
      <c r="G42" s="157"/>
      <c r="H42" s="158"/>
      <c r="I42" s="30"/>
      <c r="J42" s="30"/>
      <c r="K42" s="30"/>
      <c r="L42" s="30"/>
      <c r="M42" s="30"/>
      <c r="N42" s="31"/>
      <c r="O42" s="30"/>
    </row>
    <row r="43" spans="1:15" ht="13.9" customHeight="1" x14ac:dyDescent="0.25">
      <c r="A43" s="160" t="s">
        <v>23</v>
      </c>
      <c r="B43" s="160"/>
      <c r="C43" s="160"/>
      <c r="D43" s="160"/>
      <c r="E43" s="160"/>
      <c r="F43" s="160"/>
      <c r="G43" s="160"/>
      <c r="H43" s="160"/>
      <c r="I43" s="160"/>
      <c r="J43" s="160"/>
      <c r="K43" s="32"/>
      <c r="L43" s="32"/>
      <c r="M43" s="32"/>
      <c r="N43" s="33"/>
      <c r="O43" s="34"/>
    </row>
    <row r="44" spans="1:15" ht="15.6" customHeight="1" x14ac:dyDescent="0.25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 x14ac:dyDescent="0.2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2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2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x14ac:dyDescent="0.2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x14ac:dyDescent="0.25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4"/>
      <c r="N49" s="33"/>
    </row>
    <row r="50" spans="1:15" ht="13.15" customHeight="1" x14ac:dyDescent="0.25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15.75" thickBot="1" x14ac:dyDescent="0.3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4"/>
      <c r="N51" s="33"/>
      <c r="O51" s="34"/>
    </row>
    <row r="52" spans="1:15" ht="26.25" x14ac:dyDescent="0.2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</row>
    <row r="53" spans="1:15" ht="15.75" x14ac:dyDescent="0.25">
      <c r="A53" s="58"/>
      <c r="B53" s="59"/>
      <c r="C53" s="60"/>
      <c r="D53" s="61"/>
      <c r="E53" s="62">
        <v>-100</v>
      </c>
      <c r="F53" s="63">
        <f>SUM(C53/24*D53)</f>
        <v>0</v>
      </c>
      <c r="G53" s="64"/>
      <c r="H53" s="65"/>
      <c r="I53" s="66"/>
      <c r="J53" s="66"/>
    </row>
    <row r="54" spans="1:15" x14ac:dyDescent="0.25">
      <c r="A54" s="67"/>
      <c r="B54" s="68"/>
      <c r="C54" s="69"/>
      <c r="D54" s="61"/>
      <c r="E54" s="70">
        <v>-50</v>
      </c>
      <c r="F54" s="71">
        <f>SUM(C54/24*D54)</f>
        <v>0</v>
      </c>
      <c r="G54" s="64"/>
      <c r="H54" s="65"/>
    </row>
    <row r="55" spans="1:15" x14ac:dyDescent="0.2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 x14ac:dyDescent="0.25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5" ht="15.75" thickBot="1" x14ac:dyDescent="0.3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  <c r="J57" s="78"/>
    </row>
    <row r="58" spans="1:15" s="84" customFormat="1" ht="30" customHeight="1" x14ac:dyDescent="0.25">
      <c r="A58" s="161" t="s">
        <v>21</v>
      </c>
      <c r="B58" s="162"/>
      <c r="C58" s="163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68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workbookViewId="0">
      <pane ySplit="2" topLeftCell="A3" activePane="bottomLeft" state="frozen"/>
      <selection pane="bottomLeft" activeCell="H34" sqref="H34"/>
    </sheetView>
  </sheetViews>
  <sheetFormatPr defaultRowHeight="15" x14ac:dyDescent="0.25"/>
  <cols>
    <col min="1" max="1" width="13.5703125" bestFit="1" customWidth="1"/>
    <col min="2" max="8" width="11.7109375" customWidth="1"/>
    <col min="9" max="9" width="27.42578125" customWidth="1"/>
  </cols>
  <sheetData>
    <row r="1" spans="1:9" s="1" customFormat="1" ht="30" x14ac:dyDescent="0.25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25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25">
      <c r="A3" s="12">
        <v>43435</v>
      </c>
      <c r="B3" s="25">
        <v>0</v>
      </c>
      <c r="C3" s="25">
        <v>20</v>
      </c>
      <c r="D3" s="25">
        <v>0</v>
      </c>
      <c r="E3" s="26">
        <v>0</v>
      </c>
      <c r="F3" s="26">
        <v>0.15</v>
      </c>
      <c r="G3" s="25">
        <v>0</v>
      </c>
      <c r="H3" s="27">
        <v>4034.52</v>
      </c>
    </row>
    <row r="4" spans="1:9" x14ac:dyDescent="0.25">
      <c r="A4" s="12">
        <v>43436</v>
      </c>
      <c r="B4" s="25">
        <v>0</v>
      </c>
      <c r="C4" s="25">
        <v>20</v>
      </c>
      <c r="D4" s="25">
        <v>0</v>
      </c>
      <c r="E4" s="26">
        <v>0</v>
      </c>
      <c r="F4" s="26">
        <v>0.02</v>
      </c>
      <c r="G4" s="25">
        <v>0</v>
      </c>
      <c r="H4" s="27">
        <v>4034.52</v>
      </c>
    </row>
    <row r="5" spans="1:9" x14ac:dyDescent="0.25">
      <c r="A5" s="12">
        <v>43437</v>
      </c>
      <c r="B5" s="25">
        <v>0</v>
      </c>
      <c r="C5" s="25">
        <v>20</v>
      </c>
      <c r="D5" s="25">
        <v>0</v>
      </c>
      <c r="E5" s="26">
        <v>0</v>
      </c>
      <c r="F5" s="26">
        <v>0</v>
      </c>
      <c r="G5" s="25">
        <v>0</v>
      </c>
      <c r="H5" s="27">
        <v>4034.54</v>
      </c>
    </row>
    <row r="6" spans="1:9" x14ac:dyDescent="0.25">
      <c r="A6" s="12">
        <v>43438</v>
      </c>
      <c r="B6" s="25">
        <v>0</v>
      </c>
      <c r="C6" s="25">
        <v>9</v>
      </c>
      <c r="D6" s="25">
        <v>0</v>
      </c>
      <c r="E6" s="26">
        <v>0</v>
      </c>
      <c r="F6" s="26">
        <v>0</v>
      </c>
      <c r="G6" s="25">
        <v>0</v>
      </c>
      <c r="H6" s="27">
        <v>4034.54</v>
      </c>
    </row>
    <row r="7" spans="1:9" x14ac:dyDescent="0.25">
      <c r="A7" s="12">
        <v>43439</v>
      </c>
      <c r="B7" s="25">
        <v>0</v>
      </c>
      <c r="C7" s="25">
        <v>0</v>
      </c>
      <c r="D7" s="25">
        <v>0</v>
      </c>
      <c r="E7" s="26">
        <v>0</v>
      </c>
      <c r="F7" s="26">
        <v>0</v>
      </c>
      <c r="G7" s="25">
        <v>0</v>
      </c>
      <c r="H7" s="27">
        <v>4034.54</v>
      </c>
    </row>
    <row r="8" spans="1:9" x14ac:dyDescent="0.25">
      <c r="A8" s="12">
        <v>43440</v>
      </c>
      <c r="B8" s="25">
        <v>0</v>
      </c>
      <c r="C8" s="25">
        <v>0</v>
      </c>
      <c r="D8" s="25">
        <v>0</v>
      </c>
      <c r="E8" s="26">
        <v>0</v>
      </c>
      <c r="F8" s="26">
        <v>0</v>
      </c>
      <c r="G8" s="25">
        <v>0</v>
      </c>
      <c r="H8" s="27">
        <v>4034.54</v>
      </c>
    </row>
    <row r="9" spans="1:9" x14ac:dyDescent="0.25">
      <c r="A9" s="12">
        <v>43441</v>
      </c>
      <c r="B9" s="25">
        <v>0</v>
      </c>
      <c r="C9" s="25">
        <v>0</v>
      </c>
      <c r="D9" s="25">
        <v>0</v>
      </c>
      <c r="E9" s="26">
        <v>0</v>
      </c>
      <c r="F9" s="26">
        <v>0</v>
      </c>
      <c r="G9" s="25">
        <v>0</v>
      </c>
      <c r="H9" s="27">
        <v>4034.54</v>
      </c>
    </row>
    <row r="10" spans="1:9" x14ac:dyDescent="0.25">
      <c r="A10" s="12">
        <v>43442</v>
      </c>
      <c r="B10" s="25">
        <v>0</v>
      </c>
      <c r="C10" s="25">
        <v>0</v>
      </c>
      <c r="D10" s="25">
        <v>0</v>
      </c>
      <c r="E10" s="26">
        <v>0</v>
      </c>
      <c r="F10" s="26">
        <v>0</v>
      </c>
      <c r="G10" s="25">
        <v>0</v>
      </c>
      <c r="H10" s="27">
        <v>4034.54</v>
      </c>
    </row>
    <row r="11" spans="1:9" x14ac:dyDescent="0.25">
      <c r="A11" s="12">
        <v>43443</v>
      </c>
      <c r="B11" s="25">
        <v>0</v>
      </c>
      <c r="C11" s="25">
        <v>0</v>
      </c>
      <c r="D11" s="25">
        <v>0</v>
      </c>
      <c r="E11" s="26">
        <v>0</v>
      </c>
      <c r="F11" s="26">
        <v>0</v>
      </c>
      <c r="G11" s="25">
        <v>0</v>
      </c>
      <c r="H11" s="27">
        <v>4034.54</v>
      </c>
    </row>
    <row r="12" spans="1:9" x14ac:dyDescent="0.25">
      <c r="A12" s="12">
        <v>43444</v>
      </c>
      <c r="B12" s="25">
        <v>0</v>
      </c>
      <c r="C12" s="25">
        <v>0</v>
      </c>
      <c r="D12" s="25">
        <v>0</v>
      </c>
      <c r="E12" s="26">
        <v>0.13</v>
      </c>
      <c r="F12" s="26">
        <v>0</v>
      </c>
      <c r="G12" s="25">
        <v>0</v>
      </c>
      <c r="H12" s="27">
        <v>4034.54</v>
      </c>
    </row>
    <row r="13" spans="1:9" x14ac:dyDescent="0.25">
      <c r="A13" s="12">
        <v>43445</v>
      </c>
      <c r="B13" s="25">
        <v>0</v>
      </c>
      <c r="C13" s="25">
        <v>12</v>
      </c>
      <c r="D13" s="25">
        <v>0</v>
      </c>
      <c r="E13" s="26">
        <v>0</v>
      </c>
      <c r="F13" s="26">
        <v>0</v>
      </c>
      <c r="G13" s="25">
        <v>0</v>
      </c>
      <c r="H13" s="27">
        <v>4034.54</v>
      </c>
    </row>
    <row r="14" spans="1:9" x14ac:dyDescent="0.25">
      <c r="A14" s="12">
        <v>43446</v>
      </c>
      <c r="B14" s="25">
        <v>0</v>
      </c>
      <c r="C14" s="25">
        <v>20</v>
      </c>
      <c r="D14" s="25">
        <v>0</v>
      </c>
      <c r="E14" s="26">
        <v>0.05</v>
      </c>
      <c r="F14" s="26">
        <v>0</v>
      </c>
      <c r="G14" s="25">
        <v>0</v>
      </c>
      <c r="H14" s="27">
        <v>4034.54</v>
      </c>
    </row>
    <row r="15" spans="1:9" x14ac:dyDescent="0.25">
      <c r="A15" s="12">
        <v>43447</v>
      </c>
      <c r="B15" s="25">
        <v>0</v>
      </c>
      <c r="C15" s="25">
        <v>20</v>
      </c>
      <c r="D15" s="25">
        <v>0</v>
      </c>
      <c r="E15" s="26">
        <v>0</v>
      </c>
      <c r="F15" s="26">
        <v>0</v>
      </c>
      <c r="G15" s="25">
        <v>0</v>
      </c>
      <c r="H15" s="27">
        <v>4034.54</v>
      </c>
    </row>
    <row r="16" spans="1:9" x14ac:dyDescent="0.25">
      <c r="A16" s="12">
        <v>43448</v>
      </c>
      <c r="B16" s="25">
        <v>0</v>
      </c>
      <c r="C16" s="25">
        <v>20</v>
      </c>
      <c r="D16" s="25">
        <v>0</v>
      </c>
      <c r="E16" s="26">
        <v>0.01</v>
      </c>
      <c r="F16" s="26">
        <v>0</v>
      </c>
      <c r="G16" s="25">
        <v>0</v>
      </c>
      <c r="H16" s="27">
        <v>4034.56</v>
      </c>
    </row>
    <row r="17" spans="1:8" x14ac:dyDescent="0.25">
      <c r="A17" s="12">
        <v>43449</v>
      </c>
      <c r="B17" s="25">
        <v>0</v>
      </c>
      <c r="C17" s="25">
        <v>20</v>
      </c>
      <c r="D17" s="25">
        <v>0</v>
      </c>
      <c r="E17" s="26">
        <v>0.03</v>
      </c>
      <c r="F17" s="26">
        <v>0</v>
      </c>
      <c r="G17" s="25">
        <v>0</v>
      </c>
      <c r="H17" s="27">
        <v>4034.56</v>
      </c>
    </row>
    <row r="18" spans="1:8" x14ac:dyDescent="0.25">
      <c r="A18" s="12">
        <v>43450</v>
      </c>
      <c r="B18" s="25">
        <v>0</v>
      </c>
      <c r="C18" s="25">
        <v>20</v>
      </c>
      <c r="D18" s="25">
        <v>0</v>
      </c>
      <c r="E18" s="26">
        <v>7.0000000000000007E-2</v>
      </c>
      <c r="F18" s="26">
        <v>0</v>
      </c>
      <c r="G18" s="25">
        <v>0</v>
      </c>
      <c r="H18" s="27">
        <v>4034.56</v>
      </c>
    </row>
    <row r="19" spans="1:8" x14ac:dyDescent="0.25">
      <c r="A19" s="12">
        <v>43451</v>
      </c>
      <c r="B19" s="25">
        <v>0</v>
      </c>
      <c r="C19" s="25">
        <v>20</v>
      </c>
      <c r="D19" s="25">
        <v>0</v>
      </c>
      <c r="E19" s="26">
        <v>0.31</v>
      </c>
      <c r="F19" s="26">
        <v>0</v>
      </c>
      <c r="G19" s="25">
        <v>0</v>
      </c>
      <c r="H19" s="27">
        <v>4034.58</v>
      </c>
    </row>
    <row r="20" spans="1:8" x14ac:dyDescent="0.25">
      <c r="A20" s="12">
        <v>43452</v>
      </c>
      <c r="B20" s="25">
        <v>0</v>
      </c>
      <c r="C20" s="25">
        <v>20</v>
      </c>
      <c r="D20" s="25">
        <v>0</v>
      </c>
      <c r="E20" s="26">
        <v>0</v>
      </c>
      <c r="F20" s="26">
        <v>0</v>
      </c>
      <c r="G20" s="25">
        <v>0</v>
      </c>
      <c r="H20" s="27">
        <v>4034.58</v>
      </c>
    </row>
    <row r="21" spans="1:8" x14ac:dyDescent="0.25">
      <c r="A21" s="12">
        <v>43453</v>
      </c>
      <c r="B21" s="25">
        <v>0</v>
      </c>
      <c r="C21" s="25">
        <v>20</v>
      </c>
      <c r="D21" s="25">
        <v>0</v>
      </c>
      <c r="E21" s="26">
        <v>0.06</v>
      </c>
      <c r="F21" s="26">
        <v>0</v>
      </c>
      <c r="G21" s="25">
        <v>0</v>
      </c>
      <c r="H21" s="27">
        <v>4034.58</v>
      </c>
    </row>
    <row r="22" spans="1:8" x14ac:dyDescent="0.25">
      <c r="A22" s="12">
        <v>43454</v>
      </c>
      <c r="B22" s="25">
        <v>0</v>
      </c>
      <c r="C22" s="25">
        <v>24</v>
      </c>
      <c r="D22" s="25">
        <v>0</v>
      </c>
      <c r="E22" s="26">
        <v>0</v>
      </c>
      <c r="F22" s="26">
        <v>0</v>
      </c>
      <c r="G22" s="25">
        <v>0</v>
      </c>
      <c r="H22" s="27">
        <v>4034.58</v>
      </c>
    </row>
    <row r="23" spans="1:8" x14ac:dyDescent="0.25">
      <c r="A23" s="12">
        <v>43455</v>
      </c>
      <c r="B23" s="25">
        <v>0</v>
      </c>
      <c r="C23" s="25">
        <v>30</v>
      </c>
      <c r="D23" s="25">
        <v>0</v>
      </c>
      <c r="E23" s="26">
        <v>0.11</v>
      </c>
      <c r="F23" s="26">
        <v>0</v>
      </c>
      <c r="G23" s="25">
        <v>0</v>
      </c>
      <c r="H23" s="27">
        <v>4034.58</v>
      </c>
    </row>
    <row r="24" spans="1:8" x14ac:dyDescent="0.25">
      <c r="A24" s="12">
        <v>43456</v>
      </c>
      <c r="B24" s="25">
        <v>0</v>
      </c>
      <c r="C24" s="25">
        <v>30</v>
      </c>
      <c r="D24" s="25">
        <v>0</v>
      </c>
      <c r="E24" s="26" t="s">
        <v>40</v>
      </c>
      <c r="F24" s="26">
        <v>0</v>
      </c>
      <c r="G24" s="25">
        <v>0</v>
      </c>
      <c r="H24" s="27">
        <v>4034.58</v>
      </c>
    </row>
    <row r="25" spans="1:8" x14ac:dyDescent="0.25">
      <c r="A25" s="12">
        <v>43457</v>
      </c>
      <c r="B25" s="25">
        <v>0</v>
      </c>
      <c r="C25" s="25">
        <v>30</v>
      </c>
      <c r="D25" s="25">
        <v>0</v>
      </c>
      <c r="E25" s="26">
        <v>0.17</v>
      </c>
      <c r="F25" s="26">
        <v>0</v>
      </c>
      <c r="G25" s="25">
        <v>0</v>
      </c>
      <c r="H25" s="27">
        <v>4034.59</v>
      </c>
    </row>
    <row r="26" spans="1:8" x14ac:dyDescent="0.25">
      <c r="A26" s="12">
        <v>43458</v>
      </c>
      <c r="B26" s="25">
        <v>0</v>
      </c>
      <c r="C26" s="25">
        <v>30</v>
      </c>
      <c r="D26" s="25">
        <v>0</v>
      </c>
      <c r="E26" s="26">
        <v>0.57999999999999996</v>
      </c>
      <c r="F26" s="26">
        <v>0</v>
      </c>
      <c r="G26" s="25">
        <v>0</v>
      </c>
      <c r="H26" s="27">
        <v>4034.6</v>
      </c>
    </row>
    <row r="27" spans="1:8" x14ac:dyDescent="0.25">
      <c r="A27" s="12">
        <v>43459</v>
      </c>
      <c r="B27" s="25">
        <v>0</v>
      </c>
      <c r="C27" s="25">
        <v>30</v>
      </c>
      <c r="D27" s="25">
        <v>0</v>
      </c>
      <c r="E27" s="26">
        <v>0.17</v>
      </c>
      <c r="F27" s="26">
        <v>0.2</v>
      </c>
      <c r="G27" s="25">
        <v>0</v>
      </c>
      <c r="H27" s="27">
        <v>4034.61</v>
      </c>
    </row>
    <row r="28" spans="1:8" x14ac:dyDescent="0.25">
      <c r="A28" s="12">
        <v>43460</v>
      </c>
      <c r="B28" s="25">
        <v>0</v>
      </c>
      <c r="C28" s="25">
        <v>30</v>
      </c>
      <c r="D28" s="25">
        <v>0</v>
      </c>
      <c r="E28" s="26" t="s">
        <v>40</v>
      </c>
      <c r="F28" s="26">
        <v>0</v>
      </c>
      <c r="G28" s="25">
        <v>0</v>
      </c>
      <c r="H28" s="27">
        <v>4034.62</v>
      </c>
    </row>
    <row r="29" spans="1:8" x14ac:dyDescent="0.25">
      <c r="A29" s="12">
        <v>43461</v>
      </c>
      <c r="B29" s="25">
        <v>0</v>
      </c>
      <c r="C29" s="25">
        <v>24</v>
      </c>
      <c r="D29" s="25">
        <v>0</v>
      </c>
      <c r="E29" s="26" t="s">
        <v>40</v>
      </c>
      <c r="F29" s="26">
        <v>0</v>
      </c>
      <c r="G29" s="25">
        <v>0</v>
      </c>
      <c r="H29" s="27">
        <v>4034.62</v>
      </c>
    </row>
    <row r="30" spans="1:8" x14ac:dyDescent="0.25">
      <c r="A30" s="12">
        <v>43462</v>
      </c>
      <c r="B30" s="25">
        <v>0</v>
      </c>
      <c r="C30" s="25">
        <v>20</v>
      </c>
      <c r="D30" s="25">
        <v>0</v>
      </c>
      <c r="E30" s="26">
        <v>0</v>
      </c>
      <c r="F30" s="26">
        <v>0</v>
      </c>
      <c r="G30" s="25">
        <v>0</v>
      </c>
      <c r="H30" s="27">
        <v>4034.62</v>
      </c>
    </row>
    <row r="31" spans="1:8" x14ac:dyDescent="0.25">
      <c r="A31" s="12">
        <v>43463</v>
      </c>
      <c r="B31" s="25">
        <v>0</v>
      </c>
      <c r="C31" s="25">
        <v>20</v>
      </c>
      <c r="D31" s="25">
        <v>0</v>
      </c>
      <c r="E31" s="26">
        <v>0</v>
      </c>
      <c r="F31" s="26">
        <v>0</v>
      </c>
      <c r="G31" s="25">
        <v>0</v>
      </c>
      <c r="H31" s="27">
        <v>4034.62</v>
      </c>
    </row>
    <row r="32" spans="1:8" x14ac:dyDescent="0.25">
      <c r="A32" s="12">
        <v>43464</v>
      </c>
      <c r="B32" s="25">
        <v>0</v>
      </c>
      <c r="C32" s="25">
        <v>20</v>
      </c>
      <c r="D32" s="25">
        <v>0</v>
      </c>
      <c r="E32" s="26">
        <v>0</v>
      </c>
      <c r="F32" s="26">
        <v>0</v>
      </c>
      <c r="G32" s="25">
        <v>0</v>
      </c>
      <c r="H32" s="27">
        <v>4034.63</v>
      </c>
    </row>
    <row r="33" spans="1:15" ht="15.75" thickBot="1" x14ac:dyDescent="0.3">
      <c r="A33" s="12">
        <v>43465</v>
      </c>
      <c r="B33" s="25">
        <v>0</v>
      </c>
      <c r="C33" s="25">
        <v>20</v>
      </c>
      <c r="D33" s="25">
        <v>0</v>
      </c>
      <c r="E33" s="88">
        <v>0</v>
      </c>
      <c r="F33" s="26">
        <v>0</v>
      </c>
      <c r="G33" s="25">
        <v>0</v>
      </c>
      <c r="H33" s="27">
        <v>4034.64</v>
      </c>
    </row>
    <row r="34" spans="1:15" s="11" customFormat="1" ht="15.75" thickTop="1" x14ac:dyDescent="0.25">
      <c r="A34" s="16" t="s">
        <v>8</v>
      </c>
      <c r="B34" s="17">
        <f t="shared" ref="B34:G34" si="0">SUM(B3:B33)</f>
        <v>0</v>
      </c>
      <c r="C34" s="17">
        <f t="shared" si="0"/>
        <v>549</v>
      </c>
      <c r="D34" s="17">
        <f t="shared" si="0"/>
        <v>0</v>
      </c>
      <c r="E34" s="18">
        <f t="shared" si="0"/>
        <v>1.69</v>
      </c>
      <c r="F34" s="18">
        <f t="shared" si="0"/>
        <v>0.37</v>
      </c>
      <c r="G34" s="17">
        <f t="shared" si="0"/>
        <v>0</v>
      </c>
      <c r="H34" s="18"/>
    </row>
    <row r="35" spans="1:15" s="11" customFormat="1" x14ac:dyDescent="0.25">
      <c r="A35" s="19" t="s">
        <v>9</v>
      </c>
      <c r="B35" s="20">
        <f>SUM(B34+'Nov 2018'!B34)</f>
        <v>1047</v>
      </c>
      <c r="C35" s="20">
        <f>SUM(C34+'Nov 2018'!C34)</f>
        <v>1007</v>
      </c>
      <c r="D35" s="20">
        <f>SUM(D34+'Nov 2018'!D34)</f>
        <v>780</v>
      </c>
      <c r="E35" s="21">
        <f>SUM(E34+'Nov 2018'!E34)</f>
        <v>3.04</v>
      </c>
      <c r="F35" s="21">
        <f>SUM(F34+'Nov 2018'!F34)</f>
        <v>0.37</v>
      </c>
      <c r="G35" s="20">
        <f>SUM(G34+'Nov 2018'!G34)</f>
        <v>5180</v>
      </c>
      <c r="H35" s="21"/>
    </row>
    <row r="37" spans="1:15" x14ac:dyDescent="0.25">
      <c r="A37" t="s">
        <v>10</v>
      </c>
      <c r="B37" s="23">
        <f>SUM(B3:B33)*1.9835</f>
        <v>0</v>
      </c>
      <c r="C37" s="23">
        <f>SUM(C3:C33)*1.9835</f>
        <v>1088.9415000000001</v>
      </c>
      <c r="D37" s="23">
        <f>SUM(D3:D33)*1.9835</f>
        <v>0</v>
      </c>
      <c r="E37" s="23"/>
      <c r="F37" s="23"/>
      <c r="G37" s="23"/>
      <c r="I37" s="22"/>
    </row>
    <row r="39" spans="1:15" x14ac:dyDescent="0.25">
      <c r="A39" t="s">
        <v>24</v>
      </c>
      <c r="B39" s="23">
        <f>SUM('Nov 2018'!B38+B37)</f>
        <v>2076.7245000000003</v>
      </c>
      <c r="C39" s="23">
        <f>SUM('Nov 2018'!C38+C37)</f>
        <v>1997.3845000000001</v>
      </c>
      <c r="D39" s="23">
        <f>SUM('Nov 2018'!D38+D37)</f>
        <v>6724.0650000000005</v>
      </c>
      <c r="E39" s="23"/>
      <c r="F39" s="23"/>
      <c r="G39" s="23"/>
      <c r="I39" s="22"/>
    </row>
    <row r="40" spans="1:15" x14ac:dyDescent="0.25">
      <c r="B40" s="23"/>
      <c r="C40" s="23"/>
      <c r="D40" s="24"/>
      <c r="E40" s="23"/>
      <c r="F40" s="23"/>
      <c r="G40" s="23"/>
      <c r="I40" s="22"/>
    </row>
    <row r="41" spans="1:15" ht="17.45" customHeight="1" x14ac:dyDescent="0.25">
      <c r="A41" s="155"/>
      <c r="B41" s="155"/>
      <c r="C41" s="155"/>
      <c r="D41" s="155"/>
      <c r="E41" s="155"/>
      <c r="F41" s="156"/>
      <c r="G41" s="157" t="s">
        <v>12</v>
      </c>
      <c r="H41" s="158"/>
      <c r="I41" s="30"/>
      <c r="J41" s="30"/>
      <c r="K41" s="30"/>
      <c r="L41" s="30"/>
      <c r="M41" s="30"/>
      <c r="N41" s="31"/>
      <c r="O41" s="30"/>
    </row>
    <row r="42" spans="1:15" ht="16.899999999999999" customHeight="1" x14ac:dyDescent="0.25">
      <c r="A42" s="29"/>
      <c r="B42" s="29"/>
      <c r="C42" s="29"/>
      <c r="D42" s="29"/>
      <c r="E42" s="29"/>
      <c r="F42" s="29"/>
      <c r="G42" s="157"/>
      <c r="H42" s="158"/>
      <c r="I42" s="30"/>
      <c r="J42" s="30"/>
      <c r="K42" s="30"/>
      <c r="L42" s="30"/>
      <c r="M42" s="30"/>
      <c r="N42" s="31"/>
      <c r="O42" s="30"/>
    </row>
    <row r="43" spans="1:15" ht="13.9" customHeight="1" x14ac:dyDescent="0.25">
      <c r="A43" s="160" t="s">
        <v>23</v>
      </c>
      <c r="B43" s="160"/>
      <c r="C43" s="160"/>
      <c r="D43" s="160"/>
      <c r="E43" s="160"/>
      <c r="F43" s="160"/>
      <c r="G43" s="160"/>
      <c r="H43" s="160"/>
      <c r="I43" s="160"/>
      <c r="J43" s="160"/>
      <c r="K43" s="32"/>
      <c r="L43" s="32"/>
      <c r="M43" s="32"/>
      <c r="N43" s="33"/>
      <c r="O43" s="34"/>
    </row>
    <row r="44" spans="1:15" ht="15.6" customHeight="1" x14ac:dyDescent="0.25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 x14ac:dyDescent="0.2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2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2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x14ac:dyDescent="0.2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x14ac:dyDescent="0.25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4"/>
      <c r="N49" s="33"/>
    </row>
    <row r="50" spans="1:15" ht="13.15" customHeight="1" x14ac:dyDescent="0.25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15.75" thickBot="1" x14ac:dyDescent="0.3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4"/>
      <c r="N51" s="33"/>
      <c r="O51" s="34"/>
    </row>
    <row r="52" spans="1:15" ht="26.25" x14ac:dyDescent="0.2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</row>
    <row r="53" spans="1:15" ht="15.75" x14ac:dyDescent="0.25">
      <c r="A53" s="58"/>
      <c r="B53" s="59"/>
      <c r="C53" s="60"/>
      <c r="D53" s="61"/>
      <c r="E53" s="62"/>
      <c r="F53" s="63"/>
      <c r="G53" s="64"/>
      <c r="H53" s="65"/>
      <c r="I53" s="66"/>
      <c r="J53" s="66"/>
    </row>
    <row r="54" spans="1:15" x14ac:dyDescent="0.25">
      <c r="A54" s="67"/>
      <c r="B54" s="68"/>
      <c r="C54" s="69"/>
      <c r="D54" s="61"/>
      <c r="E54" s="70"/>
      <c r="F54" s="71"/>
      <c r="G54" s="64"/>
      <c r="H54" s="65"/>
    </row>
    <row r="55" spans="1:15" x14ac:dyDescent="0.25">
      <c r="A55" s="67"/>
      <c r="B55" s="68"/>
      <c r="C55" s="69"/>
      <c r="D55" s="61"/>
      <c r="E55" s="72"/>
      <c r="F55" s="71"/>
      <c r="G55" s="64"/>
      <c r="H55" s="65"/>
    </row>
    <row r="56" spans="1:15" x14ac:dyDescent="0.25">
      <c r="A56" s="67"/>
      <c r="B56" s="68"/>
      <c r="C56" s="69"/>
      <c r="D56" s="61"/>
      <c r="E56" s="72"/>
      <c r="F56" s="71"/>
      <c r="G56" s="64"/>
      <c r="H56" s="65"/>
    </row>
    <row r="57" spans="1:15" ht="15.75" thickBot="1" x14ac:dyDescent="0.3">
      <c r="A57" s="73"/>
      <c r="B57" s="74"/>
      <c r="C57" s="75"/>
      <c r="D57" s="76"/>
      <c r="E57" s="75"/>
      <c r="F57" s="77"/>
      <c r="G57" s="64"/>
      <c r="H57" s="65"/>
      <c r="I57" s="78"/>
      <c r="J57" s="78"/>
    </row>
    <row r="58" spans="1:15" s="84" customFormat="1" ht="30" customHeight="1" x14ac:dyDescent="0.25">
      <c r="A58" s="161" t="s">
        <v>21</v>
      </c>
      <c r="B58" s="162"/>
      <c r="C58" s="163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68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7"/>
  <sheetViews>
    <sheetView zoomScale="120" zoomScaleNormal="120" workbookViewId="0">
      <selection activeCell="H32" sqref="H32"/>
    </sheetView>
  </sheetViews>
  <sheetFormatPr defaultRowHeight="15" x14ac:dyDescent="0.25"/>
  <cols>
    <col min="1" max="1" width="13.5703125" style="2" bestFit="1" customWidth="1"/>
    <col min="2" max="4" width="11.7109375" style="6" customWidth="1"/>
    <col min="5" max="6" width="11.7109375" customWidth="1"/>
    <col min="7" max="7" width="11.7109375" style="6" customWidth="1"/>
    <col min="8" max="8" width="11.7109375" customWidth="1"/>
    <col min="9" max="9" width="29" bestFit="1" customWidth="1"/>
  </cols>
  <sheetData>
    <row r="1" spans="1:9" s="1" customFormat="1" ht="30" x14ac:dyDescent="0.25">
      <c r="A1" s="87" t="s">
        <v>0</v>
      </c>
      <c r="B1" s="5" t="s">
        <v>5</v>
      </c>
      <c r="C1" s="5" t="s">
        <v>1</v>
      </c>
      <c r="D1" s="5" t="s">
        <v>2</v>
      </c>
      <c r="E1" s="7" t="s">
        <v>6</v>
      </c>
      <c r="F1" s="7" t="s">
        <v>7</v>
      </c>
      <c r="G1" s="5" t="s">
        <v>3</v>
      </c>
      <c r="H1" s="3" t="s">
        <v>4</v>
      </c>
      <c r="I1" s="3" t="s">
        <v>11</v>
      </c>
    </row>
    <row r="2" spans="1:9" s="1" customFormat="1" x14ac:dyDescent="0.25">
      <c r="A2" s="86"/>
      <c r="B2" s="5" t="s">
        <v>25</v>
      </c>
      <c r="C2" s="5" t="s">
        <v>25</v>
      </c>
      <c r="D2" s="5" t="s">
        <v>25</v>
      </c>
      <c r="E2" s="7"/>
      <c r="F2" s="7"/>
      <c r="G2" s="5" t="s">
        <v>26</v>
      </c>
      <c r="H2" s="3"/>
      <c r="I2" s="85"/>
    </row>
    <row r="3" spans="1:9" x14ac:dyDescent="0.25">
      <c r="A3" s="12">
        <v>43405</v>
      </c>
      <c r="B3" s="89">
        <v>50</v>
      </c>
      <c r="C3" s="89">
        <v>0</v>
      </c>
      <c r="D3" s="89">
        <v>66</v>
      </c>
      <c r="E3" s="26">
        <v>0</v>
      </c>
      <c r="F3" s="26">
        <v>0</v>
      </c>
      <c r="G3" s="89">
        <v>160</v>
      </c>
      <c r="H3" s="26">
        <v>4034.48</v>
      </c>
      <c r="I3" s="95"/>
    </row>
    <row r="4" spans="1:9" x14ac:dyDescent="0.25">
      <c r="A4" s="12">
        <v>43406</v>
      </c>
      <c r="B4" s="89">
        <v>39</v>
      </c>
      <c r="C4" s="89">
        <v>0</v>
      </c>
      <c r="D4" s="89">
        <v>56</v>
      </c>
      <c r="E4" s="26">
        <v>0</v>
      </c>
      <c r="F4" s="26">
        <v>0</v>
      </c>
      <c r="G4" s="89">
        <v>60</v>
      </c>
      <c r="H4" s="26">
        <v>4034.46</v>
      </c>
      <c r="I4" s="95" t="s">
        <v>35</v>
      </c>
    </row>
    <row r="5" spans="1:9" x14ac:dyDescent="0.25">
      <c r="A5" s="12">
        <v>43407</v>
      </c>
      <c r="B5" s="89">
        <v>25</v>
      </c>
      <c r="C5" s="89">
        <v>0</v>
      </c>
      <c r="D5" s="89">
        <v>41</v>
      </c>
      <c r="E5" s="26">
        <v>0</v>
      </c>
      <c r="F5" s="26">
        <v>0</v>
      </c>
      <c r="G5" s="89">
        <v>0</v>
      </c>
      <c r="H5" s="26">
        <v>4034.46</v>
      </c>
      <c r="I5" s="95"/>
    </row>
    <row r="6" spans="1:9" x14ac:dyDescent="0.25">
      <c r="A6" s="12">
        <v>43408</v>
      </c>
      <c r="B6" s="89">
        <v>40</v>
      </c>
      <c r="C6" s="89">
        <v>0</v>
      </c>
      <c r="D6" s="89">
        <v>47</v>
      </c>
      <c r="E6" s="26">
        <v>0</v>
      </c>
      <c r="F6" s="26">
        <v>0</v>
      </c>
      <c r="G6" s="89">
        <v>0</v>
      </c>
      <c r="H6" s="26">
        <v>4034.46</v>
      </c>
      <c r="I6" s="95" t="s">
        <v>36</v>
      </c>
    </row>
    <row r="7" spans="1:9" x14ac:dyDescent="0.25">
      <c r="A7" s="12">
        <v>43409</v>
      </c>
      <c r="B7" s="89">
        <v>43</v>
      </c>
      <c r="C7" s="89">
        <v>0</v>
      </c>
      <c r="D7" s="89">
        <v>61</v>
      </c>
      <c r="E7" s="26">
        <v>0</v>
      </c>
      <c r="F7" s="26">
        <v>0</v>
      </c>
      <c r="G7" s="89">
        <v>0</v>
      </c>
      <c r="H7" s="26">
        <v>4034.44</v>
      </c>
      <c r="I7" s="95" t="s">
        <v>35</v>
      </c>
    </row>
    <row r="8" spans="1:9" x14ac:dyDescent="0.25">
      <c r="A8" s="12">
        <v>43410</v>
      </c>
      <c r="B8" s="89">
        <v>25</v>
      </c>
      <c r="C8" s="89">
        <v>0</v>
      </c>
      <c r="D8" s="89">
        <v>65</v>
      </c>
      <c r="E8" s="26">
        <v>0</v>
      </c>
      <c r="F8" s="26">
        <v>0</v>
      </c>
      <c r="G8" s="89">
        <v>0</v>
      </c>
      <c r="H8" s="26">
        <v>4034.44</v>
      </c>
      <c r="I8" s="96"/>
    </row>
    <row r="9" spans="1:9" x14ac:dyDescent="0.25">
      <c r="A9" s="12">
        <v>43411</v>
      </c>
      <c r="B9" s="89">
        <v>25</v>
      </c>
      <c r="C9" s="89">
        <v>0</v>
      </c>
      <c r="D9" s="89">
        <v>63</v>
      </c>
      <c r="E9" s="26">
        <v>0</v>
      </c>
      <c r="F9" s="26">
        <v>0</v>
      </c>
      <c r="G9" s="89">
        <v>0</v>
      </c>
      <c r="H9" s="26">
        <v>4034.44</v>
      </c>
      <c r="I9" s="95"/>
    </row>
    <row r="10" spans="1:9" x14ac:dyDescent="0.25">
      <c r="A10" s="12">
        <v>43412</v>
      </c>
      <c r="B10" s="89">
        <v>34</v>
      </c>
      <c r="C10" s="89">
        <v>0</v>
      </c>
      <c r="D10" s="89">
        <v>57</v>
      </c>
      <c r="E10" s="26">
        <v>0</v>
      </c>
      <c r="F10" s="26">
        <v>0</v>
      </c>
      <c r="G10" s="89">
        <v>0</v>
      </c>
      <c r="H10" s="26">
        <v>4034.44</v>
      </c>
      <c r="I10" s="95" t="s">
        <v>37</v>
      </c>
    </row>
    <row r="11" spans="1:9" x14ac:dyDescent="0.25">
      <c r="A11" s="12">
        <v>43413</v>
      </c>
      <c r="B11" s="89">
        <v>38</v>
      </c>
      <c r="C11" s="89">
        <v>0</v>
      </c>
      <c r="D11" s="89">
        <v>51</v>
      </c>
      <c r="E11" s="26">
        <v>0</v>
      </c>
      <c r="F11" s="26">
        <v>0</v>
      </c>
      <c r="G11" s="89">
        <v>0</v>
      </c>
      <c r="H11" s="26">
        <v>4034.44</v>
      </c>
      <c r="I11" s="95"/>
    </row>
    <row r="12" spans="1:9" x14ac:dyDescent="0.25">
      <c r="A12" s="12">
        <v>43414</v>
      </c>
      <c r="B12" s="89">
        <v>38</v>
      </c>
      <c r="C12" s="89">
        <v>0</v>
      </c>
      <c r="D12" s="89">
        <v>50</v>
      </c>
      <c r="E12" s="26">
        <v>0</v>
      </c>
      <c r="F12" s="26">
        <v>0</v>
      </c>
      <c r="G12" s="89">
        <v>0</v>
      </c>
      <c r="H12" s="26">
        <v>4034.44</v>
      </c>
      <c r="I12" s="95"/>
    </row>
    <row r="13" spans="1:9" x14ac:dyDescent="0.25">
      <c r="A13" s="12">
        <v>43415</v>
      </c>
      <c r="B13" s="89">
        <v>38</v>
      </c>
      <c r="C13" s="89">
        <v>0</v>
      </c>
      <c r="D13" s="89">
        <v>47</v>
      </c>
      <c r="E13" s="26">
        <v>0</v>
      </c>
      <c r="F13" s="26">
        <v>0</v>
      </c>
      <c r="G13" s="89">
        <v>0</v>
      </c>
      <c r="H13" s="26">
        <v>4034.42</v>
      </c>
      <c r="I13" s="95"/>
    </row>
    <row r="14" spans="1:9" x14ac:dyDescent="0.25">
      <c r="A14" s="12">
        <v>43416</v>
      </c>
      <c r="B14" s="89">
        <v>38</v>
      </c>
      <c r="C14" s="89">
        <v>0</v>
      </c>
      <c r="D14" s="89">
        <v>42</v>
      </c>
      <c r="E14" s="106">
        <v>0</v>
      </c>
      <c r="F14" s="106">
        <v>0</v>
      </c>
      <c r="G14" s="89">
        <v>0</v>
      </c>
      <c r="H14" s="26">
        <v>4034.4</v>
      </c>
      <c r="I14" s="95"/>
    </row>
    <row r="15" spans="1:9" x14ac:dyDescent="0.25">
      <c r="A15" s="12">
        <v>43417</v>
      </c>
      <c r="B15" s="89">
        <v>29</v>
      </c>
      <c r="C15" s="89">
        <v>0</v>
      </c>
      <c r="D15" s="89">
        <v>42</v>
      </c>
      <c r="E15" s="106">
        <v>0</v>
      </c>
      <c r="F15" s="106">
        <v>0</v>
      </c>
      <c r="G15" s="89">
        <v>0</v>
      </c>
      <c r="H15" s="106">
        <v>4034.4</v>
      </c>
      <c r="I15" s="95" t="s">
        <v>38</v>
      </c>
    </row>
    <row r="16" spans="1:9" x14ac:dyDescent="0.25">
      <c r="A16" s="12">
        <v>43418</v>
      </c>
      <c r="B16" s="89">
        <v>22</v>
      </c>
      <c r="C16" s="89">
        <v>0</v>
      </c>
      <c r="D16" s="89">
        <v>39</v>
      </c>
      <c r="E16" s="106">
        <v>0</v>
      </c>
      <c r="F16" s="106">
        <v>0</v>
      </c>
      <c r="G16" s="89">
        <v>0</v>
      </c>
      <c r="H16" s="106">
        <v>4034.4</v>
      </c>
      <c r="I16" s="95"/>
    </row>
    <row r="17" spans="1:9" x14ac:dyDescent="0.25">
      <c r="A17" s="12">
        <v>43419</v>
      </c>
      <c r="B17" s="89">
        <v>11</v>
      </c>
      <c r="C17" s="89">
        <v>0</v>
      </c>
      <c r="D17" s="89">
        <v>38</v>
      </c>
      <c r="E17" s="106">
        <v>0</v>
      </c>
      <c r="F17" s="106">
        <v>0</v>
      </c>
      <c r="G17" s="89">
        <v>0</v>
      </c>
      <c r="H17" s="106">
        <v>4034.4</v>
      </c>
      <c r="I17" s="95" t="s">
        <v>39</v>
      </c>
    </row>
    <row r="18" spans="1:9" x14ac:dyDescent="0.25">
      <c r="A18" s="12">
        <v>43420</v>
      </c>
      <c r="B18" s="89">
        <v>0</v>
      </c>
      <c r="C18" s="89">
        <v>12</v>
      </c>
      <c r="D18" s="89">
        <v>15</v>
      </c>
      <c r="E18" s="106">
        <v>0</v>
      </c>
      <c r="F18" s="106">
        <v>0</v>
      </c>
      <c r="G18" s="89">
        <v>0</v>
      </c>
      <c r="H18" s="106">
        <v>4034.4</v>
      </c>
      <c r="I18" s="95"/>
    </row>
    <row r="19" spans="1:9" x14ac:dyDescent="0.25">
      <c r="A19" s="12">
        <v>43421</v>
      </c>
      <c r="B19" s="89">
        <v>0</v>
      </c>
      <c r="C19" s="89">
        <v>20</v>
      </c>
      <c r="D19" s="89">
        <v>0</v>
      </c>
      <c r="E19" s="106">
        <v>0</v>
      </c>
      <c r="F19" s="106">
        <v>0</v>
      </c>
      <c r="G19" s="89">
        <v>0</v>
      </c>
      <c r="H19" s="106">
        <v>4034.4</v>
      </c>
      <c r="I19" s="95"/>
    </row>
    <row r="20" spans="1:9" x14ac:dyDescent="0.25">
      <c r="A20" s="12">
        <v>43422</v>
      </c>
      <c r="B20" s="89">
        <v>0</v>
      </c>
      <c r="C20" s="89">
        <v>20</v>
      </c>
      <c r="D20" s="89">
        <v>0</v>
      </c>
      <c r="E20" s="106">
        <v>0</v>
      </c>
      <c r="F20" s="106">
        <v>0</v>
      </c>
      <c r="G20" s="89">
        <v>0</v>
      </c>
      <c r="H20" s="106">
        <v>4034.4</v>
      </c>
      <c r="I20" s="95"/>
    </row>
    <row r="21" spans="1:9" x14ac:dyDescent="0.25">
      <c r="A21" s="12">
        <v>43423</v>
      </c>
      <c r="B21" s="89">
        <v>0</v>
      </c>
      <c r="C21" s="89">
        <v>20</v>
      </c>
      <c r="D21" s="89">
        <v>0</v>
      </c>
      <c r="E21" s="26">
        <v>0</v>
      </c>
      <c r="F21" s="26">
        <v>0</v>
      </c>
      <c r="G21" s="89">
        <v>0</v>
      </c>
      <c r="H21" s="26">
        <v>4034.4</v>
      </c>
      <c r="I21" s="95"/>
    </row>
    <row r="22" spans="1:9" x14ac:dyDescent="0.25">
      <c r="A22" s="12">
        <v>43424</v>
      </c>
      <c r="B22" s="89">
        <v>0</v>
      </c>
      <c r="C22" s="89">
        <v>20</v>
      </c>
      <c r="D22" s="89">
        <v>0</v>
      </c>
      <c r="E22" s="26">
        <v>0</v>
      </c>
      <c r="F22" s="26">
        <v>0</v>
      </c>
      <c r="G22" s="89">
        <v>0</v>
      </c>
      <c r="H22" s="26">
        <v>4034.42</v>
      </c>
      <c r="I22" s="95"/>
    </row>
    <row r="23" spans="1:9" x14ac:dyDescent="0.25">
      <c r="A23" s="12">
        <v>43425</v>
      </c>
      <c r="B23" s="89">
        <v>0</v>
      </c>
      <c r="C23" s="89">
        <v>20</v>
      </c>
      <c r="D23" s="89">
        <v>0</v>
      </c>
      <c r="E23" s="26">
        <v>0</v>
      </c>
      <c r="F23" s="26">
        <v>0</v>
      </c>
      <c r="G23" s="89">
        <v>0</v>
      </c>
      <c r="H23" s="26">
        <v>4034.42</v>
      </c>
      <c r="I23" s="95"/>
    </row>
    <row r="24" spans="1:9" x14ac:dyDescent="0.25">
      <c r="A24" s="12">
        <v>43426</v>
      </c>
      <c r="B24" s="89">
        <v>0</v>
      </c>
      <c r="C24" s="89">
        <v>20</v>
      </c>
      <c r="D24" s="89">
        <v>0</v>
      </c>
      <c r="E24" s="26">
        <v>0.05</v>
      </c>
      <c r="F24" s="26">
        <v>0</v>
      </c>
      <c r="G24" s="89">
        <v>0</v>
      </c>
      <c r="H24" s="26">
        <v>4034.42</v>
      </c>
      <c r="I24" s="95"/>
    </row>
    <row r="25" spans="1:9" x14ac:dyDescent="0.25">
      <c r="A25" s="12">
        <v>43427</v>
      </c>
      <c r="B25" s="89">
        <v>0</v>
      </c>
      <c r="C25" s="89">
        <v>20</v>
      </c>
      <c r="D25" s="89">
        <v>0</v>
      </c>
      <c r="E25" s="26">
        <v>0.27</v>
      </c>
      <c r="F25" s="26">
        <v>0</v>
      </c>
      <c r="G25" s="89">
        <v>0</v>
      </c>
      <c r="H25" s="26">
        <v>4034.44</v>
      </c>
      <c r="I25" s="95"/>
    </row>
    <row r="26" spans="1:9" x14ac:dyDescent="0.25">
      <c r="A26" s="12">
        <v>43428</v>
      </c>
      <c r="B26" s="89">
        <v>0</v>
      </c>
      <c r="C26" s="89">
        <v>20</v>
      </c>
      <c r="D26" s="89">
        <v>0</v>
      </c>
      <c r="E26" s="26">
        <v>0</v>
      </c>
      <c r="F26" s="26">
        <v>0</v>
      </c>
      <c r="G26" s="89">
        <v>0</v>
      </c>
      <c r="H26" s="26">
        <v>4034.44</v>
      </c>
      <c r="I26" s="95"/>
    </row>
    <row r="27" spans="1:9" x14ac:dyDescent="0.25">
      <c r="A27" s="12">
        <v>43429</v>
      </c>
      <c r="B27" s="89">
        <v>0</v>
      </c>
      <c r="C27" s="89">
        <v>20</v>
      </c>
      <c r="D27" s="89">
        <v>0</v>
      </c>
      <c r="E27" s="26">
        <v>0</v>
      </c>
      <c r="F27" s="26">
        <v>0</v>
      </c>
      <c r="G27" s="89">
        <v>0</v>
      </c>
      <c r="H27" s="26">
        <v>4034.44</v>
      </c>
      <c r="I27" s="95"/>
    </row>
    <row r="28" spans="1:9" x14ac:dyDescent="0.25">
      <c r="A28" s="12">
        <v>43430</v>
      </c>
      <c r="B28" s="89">
        <v>0</v>
      </c>
      <c r="C28" s="89">
        <v>20</v>
      </c>
      <c r="D28" s="89">
        <v>0</v>
      </c>
      <c r="E28" s="26">
        <v>0</v>
      </c>
      <c r="F28" s="26">
        <v>0</v>
      </c>
      <c r="G28" s="89">
        <v>0</v>
      </c>
      <c r="H28" s="26">
        <v>4034.46</v>
      </c>
      <c r="I28" s="95"/>
    </row>
    <row r="29" spans="1:9" x14ac:dyDescent="0.25">
      <c r="A29" s="12">
        <v>43431</v>
      </c>
      <c r="B29" s="89">
        <v>0</v>
      </c>
      <c r="C29" s="89">
        <v>20</v>
      </c>
      <c r="D29" s="89">
        <v>0</v>
      </c>
      <c r="E29" s="26">
        <v>0.17</v>
      </c>
      <c r="F29" s="26">
        <v>0</v>
      </c>
      <c r="G29" s="89">
        <v>0</v>
      </c>
      <c r="H29" s="26">
        <v>4034.48</v>
      </c>
      <c r="I29" s="95"/>
    </row>
    <row r="30" spans="1:9" x14ac:dyDescent="0.25">
      <c r="A30" s="12">
        <v>43432</v>
      </c>
      <c r="B30" s="89">
        <v>0</v>
      </c>
      <c r="C30" s="89">
        <v>20</v>
      </c>
      <c r="D30" s="89">
        <v>0</v>
      </c>
      <c r="E30" s="26">
        <v>0.02</v>
      </c>
      <c r="F30" s="26">
        <v>0</v>
      </c>
      <c r="G30" s="89">
        <v>0</v>
      </c>
      <c r="H30" s="26">
        <v>4034.5</v>
      </c>
      <c r="I30" s="95"/>
    </row>
    <row r="31" spans="1:9" x14ac:dyDescent="0.25">
      <c r="A31" s="12">
        <v>43433</v>
      </c>
      <c r="B31" s="89">
        <v>0</v>
      </c>
      <c r="C31" s="89">
        <v>20</v>
      </c>
      <c r="D31" s="89">
        <v>0</v>
      </c>
      <c r="E31" s="26">
        <v>0.27</v>
      </c>
      <c r="F31" s="26">
        <v>0</v>
      </c>
      <c r="G31" s="89">
        <v>0</v>
      </c>
      <c r="H31" s="26">
        <v>4034.52</v>
      </c>
      <c r="I31" s="95"/>
    </row>
    <row r="32" spans="1:9" ht="15.75" thickBot="1" x14ac:dyDescent="0.3">
      <c r="A32" s="12">
        <v>43434</v>
      </c>
      <c r="B32" s="89">
        <v>0</v>
      </c>
      <c r="C32" s="89">
        <v>20</v>
      </c>
      <c r="D32" s="89">
        <v>0</v>
      </c>
      <c r="E32" s="88">
        <v>0</v>
      </c>
      <c r="F32" s="88">
        <v>0</v>
      </c>
      <c r="G32" s="90">
        <v>0</v>
      </c>
      <c r="H32" s="26">
        <v>4034.52</v>
      </c>
      <c r="I32" s="95"/>
    </row>
    <row r="33" spans="1:15" s="11" customFormat="1" ht="15.75" thickTop="1" x14ac:dyDescent="0.25">
      <c r="A33" s="16" t="s">
        <v>8</v>
      </c>
      <c r="B33" s="17">
        <f t="shared" ref="B33:G33" si="0">SUM(B3:B32)</f>
        <v>495</v>
      </c>
      <c r="C33" s="17">
        <f t="shared" si="0"/>
        <v>292</v>
      </c>
      <c r="D33" s="17">
        <f t="shared" si="0"/>
        <v>780</v>
      </c>
      <c r="E33" s="18">
        <f t="shared" si="0"/>
        <v>0.78</v>
      </c>
      <c r="F33" s="18">
        <f t="shared" si="0"/>
        <v>0</v>
      </c>
      <c r="G33" s="17">
        <f t="shared" si="0"/>
        <v>220</v>
      </c>
      <c r="H33" s="18"/>
      <c r="I33"/>
    </row>
    <row r="34" spans="1:15" s="11" customFormat="1" x14ac:dyDescent="0.25">
      <c r="A34" s="19" t="s">
        <v>9</v>
      </c>
      <c r="B34" s="20">
        <f>SUM(B33+'Oct 2018'!B35)</f>
        <v>1047</v>
      </c>
      <c r="C34" s="20">
        <f>SUM(C33+'Oct 2018'!C35)</f>
        <v>458</v>
      </c>
      <c r="D34" s="20">
        <f>SUM(D33+'Oct 2018'!D35)</f>
        <v>780</v>
      </c>
      <c r="E34" s="21">
        <f>SUM(E33+'Oct 2018'!E35)</f>
        <v>1.35</v>
      </c>
      <c r="F34" s="21">
        <f>SUM(F33+'Oct 2018'!F35)</f>
        <v>0</v>
      </c>
      <c r="G34" s="20">
        <f>SUM(G33+'Oct 2018'!G35)</f>
        <v>5180</v>
      </c>
      <c r="H34" s="21"/>
    </row>
    <row r="35" spans="1:15" x14ac:dyDescent="0.25">
      <c r="I35" s="11"/>
    </row>
    <row r="36" spans="1:15" x14ac:dyDescent="0.25">
      <c r="A36" t="s">
        <v>10</v>
      </c>
      <c r="B36" s="23">
        <f>SUM(B3:B32)*1.9835</f>
        <v>981.83249999999998</v>
      </c>
      <c r="C36" s="23">
        <f>SUM(C3:C32)*1.9835</f>
        <v>579.18200000000002</v>
      </c>
      <c r="D36" s="23">
        <f>SUM(D3:D32)*1.9835</f>
        <v>1547.13</v>
      </c>
      <c r="E36" s="23"/>
      <c r="F36" s="23"/>
      <c r="G36" s="23"/>
      <c r="I36" s="22"/>
    </row>
    <row r="37" spans="1:15" x14ac:dyDescent="0.25">
      <c r="A37"/>
      <c r="B37"/>
      <c r="C37"/>
      <c r="D37"/>
      <c r="G37"/>
    </row>
    <row r="38" spans="1:15" x14ac:dyDescent="0.25">
      <c r="A38" t="s">
        <v>24</v>
      </c>
      <c r="B38" s="23">
        <f>SUM('Oct 2018'!B39+B36)</f>
        <v>2076.7245000000003</v>
      </c>
      <c r="C38" s="23">
        <f>SUM('Oct 2018'!C39+C36)</f>
        <v>908.44299999999998</v>
      </c>
      <c r="D38" s="23">
        <f>SUM('Oct 2018'!D39+D36)</f>
        <v>6724.0650000000005</v>
      </c>
      <c r="E38" s="23"/>
      <c r="F38" s="23"/>
      <c r="G38" s="23"/>
      <c r="I38" s="22"/>
    </row>
    <row r="39" spans="1:15" x14ac:dyDescent="0.25">
      <c r="A39"/>
      <c r="B39" s="23"/>
      <c r="C39" s="23"/>
      <c r="D39" s="24"/>
      <c r="E39" s="23"/>
      <c r="F39" s="23"/>
      <c r="G39" s="23"/>
      <c r="I39" s="22"/>
    </row>
    <row r="40" spans="1:15" ht="17.45" customHeight="1" x14ac:dyDescent="0.25">
      <c r="A40" s="155"/>
      <c r="B40" s="155"/>
      <c r="C40" s="155"/>
      <c r="D40" s="155"/>
      <c r="E40" s="155"/>
      <c r="F40" s="156"/>
      <c r="G40" s="157" t="s">
        <v>12</v>
      </c>
      <c r="H40" s="158"/>
      <c r="I40" s="30"/>
      <c r="J40" s="30"/>
      <c r="K40" s="30"/>
      <c r="L40" s="30"/>
      <c r="M40" s="30"/>
      <c r="N40" s="31"/>
      <c r="O40" s="30"/>
    </row>
    <row r="41" spans="1:15" ht="16.899999999999999" customHeight="1" x14ac:dyDescent="0.25">
      <c r="A41" s="29"/>
      <c r="B41" s="29"/>
      <c r="C41" s="29"/>
      <c r="D41" s="29"/>
      <c r="E41" s="29"/>
      <c r="F41" s="29"/>
      <c r="G41" s="157"/>
      <c r="H41" s="158"/>
      <c r="I41" s="30"/>
      <c r="J41" s="30"/>
      <c r="K41" s="30"/>
      <c r="L41" s="30"/>
      <c r="M41" s="30"/>
      <c r="N41" s="31"/>
      <c r="O41" s="30"/>
    </row>
    <row r="42" spans="1:15" ht="13.9" customHeight="1" x14ac:dyDescent="0.25">
      <c r="A42" s="160" t="s">
        <v>23</v>
      </c>
      <c r="B42" s="160"/>
      <c r="C42" s="160"/>
      <c r="D42" s="160"/>
      <c r="E42" s="160"/>
      <c r="F42" s="160"/>
      <c r="G42" s="160"/>
      <c r="H42" s="160"/>
      <c r="I42" s="160"/>
      <c r="J42" s="160"/>
      <c r="K42" s="32"/>
      <c r="L42" s="32"/>
      <c r="M42" s="32"/>
      <c r="N42" s="33"/>
      <c r="O42" s="34"/>
    </row>
    <row r="43" spans="1:15" ht="15.6" customHeight="1" x14ac:dyDescent="0.25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4"/>
      <c r="N43" s="33"/>
    </row>
    <row r="44" spans="1:15" x14ac:dyDescent="0.25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4"/>
      <c r="N44" s="33"/>
    </row>
    <row r="45" spans="1:15" x14ac:dyDescent="0.2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2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2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x14ac:dyDescent="0.2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ht="13.15" customHeight="1" x14ac:dyDescent="0.25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4"/>
      <c r="N49" s="33"/>
      <c r="O49" s="34"/>
    </row>
    <row r="50" spans="1:15" ht="15.75" thickBot="1" x14ac:dyDescent="0.3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26.25" x14ac:dyDescent="0.25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  <c r="J51" s="57"/>
    </row>
    <row r="52" spans="1:15" ht="15.75" x14ac:dyDescent="0.25">
      <c r="A52" s="58"/>
      <c r="B52" s="59"/>
      <c r="C52" s="60"/>
      <c r="D52" s="61"/>
      <c r="E52" s="62"/>
      <c r="F52" s="63"/>
      <c r="G52" s="64"/>
      <c r="H52" s="65"/>
      <c r="I52" s="66"/>
      <c r="J52" s="66"/>
    </row>
    <row r="53" spans="1:15" x14ac:dyDescent="0.25">
      <c r="A53" s="67"/>
      <c r="B53" s="68"/>
      <c r="C53" s="69"/>
      <c r="D53" s="61"/>
      <c r="E53" s="70"/>
      <c r="F53" s="71"/>
      <c r="G53" s="64"/>
      <c r="H53" s="65"/>
    </row>
    <row r="54" spans="1:15" x14ac:dyDescent="0.25">
      <c r="A54" s="67"/>
      <c r="B54" s="68"/>
      <c r="C54" s="69"/>
      <c r="D54" s="61"/>
      <c r="E54" s="72"/>
      <c r="F54" s="71"/>
      <c r="G54" s="64"/>
      <c r="H54" s="65"/>
    </row>
    <row r="55" spans="1:15" x14ac:dyDescent="0.25">
      <c r="A55" s="67"/>
      <c r="B55" s="68"/>
      <c r="C55" s="69"/>
      <c r="D55" s="61"/>
      <c r="E55" s="72"/>
      <c r="F55" s="71"/>
      <c r="G55" s="64"/>
      <c r="H55" s="65"/>
    </row>
    <row r="56" spans="1:15" ht="15.75" thickBot="1" x14ac:dyDescent="0.3">
      <c r="A56" s="73"/>
      <c r="B56" s="74"/>
      <c r="C56" s="75"/>
      <c r="D56" s="76"/>
      <c r="E56" s="75"/>
      <c r="F56" s="77"/>
      <c r="G56" s="64"/>
      <c r="H56" s="65"/>
      <c r="I56" s="78"/>
      <c r="J56" s="78"/>
    </row>
    <row r="57" spans="1:15" s="84" customFormat="1" ht="30" customHeight="1" x14ac:dyDescent="0.25">
      <c r="A57" s="161" t="s">
        <v>21</v>
      </c>
      <c r="B57" s="162"/>
      <c r="C57" s="163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J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9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3" sqref="H33"/>
    </sheetView>
  </sheetViews>
  <sheetFormatPr defaultRowHeight="15" x14ac:dyDescent="0.25"/>
  <cols>
    <col min="1" max="1" width="15.28515625" style="2" bestFit="1" customWidth="1"/>
    <col min="2" max="4" width="11.7109375" style="10" customWidth="1"/>
    <col min="5" max="6" width="11.7109375" style="8" customWidth="1"/>
    <col min="7" max="7" width="11.7109375" style="10" customWidth="1"/>
    <col min="8" max="8" width="15.140625" style="4" customWidth="1"/>
    <col min="9" max="9" width="30.85546875" customWidth="1"/>
  </cols>
  <sheetData>
    <row r="1" spans="1:9" s="1" customFormat="1" ht="56.25" x14ac:dyDescent="0.3">
      <c r="A1" s="110" t="s">
        <v>0</v>
      </c>
      <c r="B1" s="111" t="s">
        <v>5</v>
      </c>
      <c r="C1" s="111" t="s">
        <v>1</v>
      </c>
      <c r="D1" s="111" t="s">
        <v>2</v>
      </c>
      <c r="E1" s="112" t="s">
        <v>6</v>
      </c>
      <c r="F1" s="112" t="s">
        <v>7</v>
      </c>
      <c r="G1" s="111" t="s">
        <v>3</v>
      </c>
      <c r="H1" s="113" t="s">
        <v>4</v>
      </c>
      <c r="I1" s="113" t="s">
        <v>11</v>
      </c>
    </row>
    <row r="2" spans="1:9" s="1" customFormat="1" ht="18.75" x14ac:dyDescent="0.3">
      <c r="A2" s="114"/>
      <c r="B2" s="111" t="s">
        <v>25</v>
      </c>
      <c r="C2" s="111" t="s">
        <v>25</v>
      </c>
      <c r="D2" s="111" t="s">
        <v>25</v>
      </c>
      <c r="E2" s="112"/>
      <c r="F2" s="112"/>
      <c r="G2" s="111" t="s">
        <v>27</v>
      </c>
      <c r="H2" s="113"/>
      <c r="I2" s="115"/>
    </row>
    <row r="3" spans="1:9" ht="18.75" x14ac:dyDescent="0.3">
      <c r="A3" s="116">
        <v>43374</v>
      </c>
      <c r="B3" s="109">
        <v>13</v>
      </c>
      <c r="C3" s="109">
        <v>30</v>
      </c>
      <c r="D3" s="109">
        <v>138</v>
      </c>
      <c r="E3" s="117">
        <v>0.03</v>
      </c>
      <c r="F3" s="117">
        <v>0</v>
      </c>
      <c r="G3" s="109">
        <v>160</v>
      </c>
      <c r="H3" s="117">
        <v>4034.88</v>
      </c>
      <c r="I3" s="118" t="s">
        <v>28</v>
      </c>
    </row>
    <row r="4" spans="1:9" ht="18.75" x14ac:dyDescent="0.3">
      <c r="A4" s="116">
        <v>43375</v>
      </c>
      <c r="B4" s="109">
        <v>0</v>
      </c>
      <c r="C4" s="109">
        <v>0</v>
      </c>
      <c r="D4" s="109">
        <v>131</v>
      </c>
      <c r="E4" s="117">
        <v>0.01</v>
      </c>
      <c r="F4" s="117">
        <v>0</v>
      </c>
      <c r="G4" s="109">
        <v>160</v>
      </c>
      <c r="H4" s="117">
        <v>4034.88</v>
      </c>
      <c r="I4" s="118"/>
    </row>
    <row r="5" spans="1:9" ht="18.75" x14ac:dyDescent="0.3">
      <c r="A5" s="116">
        <v>43376</v>
      </c>
      <c r="B5" s="109">
        <v>0</v>
      </c>
      <c r="C5" s="109">
        <v>0</v>
      </c>
      <c r="D5" s="109">
        <v>131</v>
      </c>
      <c r="E5" s="117">
        <v>0.5</v>
      </c>
      <c r="F5" s="117">
        <v>0</v>
      </c>
      <c r="G5" s="109">
        <v>160</v>
      </c>
      <c r="H5" s="117">
        <v>4034.88</v>
      </c>
      <c r="I5" s="118"/>
    </row>
    <row r="6" spans="1:9" ht="18.75" x14ac:dyDescent="0.3">
      <c r="A6" s="116">
        <v>43377</v>
      </c>
      <c r="B6" s="109">
        <v>0</v>
      </c>
      <c r="C6" s="109">
        <v>0</v>
      </c>
      <c r="D6" s="109">
        <v>126</v>
      </c>
      <c r="E6" s="117">
        <v>0.02</v>
      </c>
      <c r="F6" s="117">
        <v>0</v>
      </c>
      <c r="G6" s="109">
        <v>160</v>
      </c>
      <c r="H6" s="117">
        <v>4034.9</v>
      </c>
      <c r="I6" s="118"/>
    </row>
    <row r="7" spans="1:9" ht="18.75" x14ac:dyDescent="0.3">
      <c r="A7" s="116">
        <v>43378</v>
      </c>
      <c r="B7" s="109">
        <v>0</v>
      </c>
      <c r="C7" s="109">
        <v>0</v>
      </c>
      <c r="D7" s="109">
        <v>127</v>
      </c>
      <c r="E7" s="117">
        <v>0.01</v>
      </c>
      <c r="F7" s="117">
        <v>0</v>
      </c>
      <c r="G7" s="109">
        <v>160</v>
      </c>
      <c r="H7" s="117">
        <v>4034.9</v>
      </c>
      <c r="I7" s="118"/>
    </row>
    <row r="8" spans="1:9" ht="18.75" x14ac:dyDescent="0.3">
      <c r="A8" s="116">
        <v>43379</v>
      </c>
      <c r="B8" s="109">
        <v>0</v>
      </c>
      <c r="C8" s="109">
        <v>0</v>
      </c>
      <c r="D8" s="109">
        <v>128</v>
      </c>
      <c r="E8" s="117">
        <v>0</v>
      </c>
      <c r="F8" s="117">
        <v>0</v>
      </c>
      <c r="G8" s="109">
        <v>160</v>
      </c>
      <c r="H8" s="117">
        <v>4034.9</v>
      </c>
      <c r="I8" s="118"/>
    </row>
    <row r="9" spans="1:9" ht="18.75" x14ac:dyDescent="0.3">
      <c r="A9" s="116">
        <v>43380</v>
      </c>
      <c r="B9" s="109">
        <v>0</v>
      </c>
      <c r="C9" s="109">
        <v>0</v>
      </c>
      <c r="D9" s="109">
        <v>123</v>
      </c>
      <c r="E9" s="117">
        <v>0</v>
      </c>
      <c r="F9" s="117">
        <v>0</v>
      </c>
      <c r="G9" s="109">
        <v>160</v>
      </c>
      <c r="H9" s="117">
        <v>4034.9</v>
      </c>
      <c r="I9" s="118"/>
    </row>
    <row r="10" spans="1:9" ht="18.75" x14ac:dyDescent="0.3">
      <c r="A10" s="116">
        <v>43381</v>
      </c>
      <c r="B10" s="109">
        <v>31</v>
      </c>
      <c r="C10" s="109">
        <v>0</v>
      </c>
      <c r="D10" s="109">
        <v>118</v>
      </c>
      <c r="E10" s="117">
        <v>0</v>
      </c>
      <c r="F10" s="117">
        <v>0</v>
      </c>
      <c r="G10" s="109">
        <v>160</v>
      </c>
      <c r="H10" s="117">
        <v>4034.9</v>
      </c>
      <c r="I10" s="118" t="s">
        <v>29</v>
      </c>
    </row>
    <row r="11" spans="1:9" ht="18.75" x14ac:dyDescent="0.3">
      <c r="A11" s="116">
        <v>43382</v>
      </c>
      <c r="B11" s="109">
        <v>27</v>
      </c>
      <c r="C11" s="109">
        <v>10</v>
      </c>
      <c r="D11" s="109">
        <v>107</v>
      </c>
      <c r="E11" s="117">
        <v>0</v>
      </c>
      <c r="F11" s="117">
        <v>0</v>
      </c>
      <c r="G11" s="109">
        <v>160</v>
      </c>
      <c r="H11" s="117">
        <v>4034.9</v>
      </c>
      <c r="I11" s="118" t="s">
        <v>30</v>
      </c>
    </row>
    <row r="12" spans="1:9" ht="18.75" x14ac:dyDescent="0.3">
      <c r="A12" s="116">
        <v>43383</v>
      </c>
      <c r="B12" s="109">
        <v>0</v>
      </c>
      <c r="C12" s="109">
        <v>45</v>
      </c>
      <c r="D12" s="109">
        <v>96</v>
      </c>
      <c r="E12" s="117">
        <v>0</v>
      </c>
      <c r="F12" s="117">
        <v>0</v>
      </c>
      <c r="G12" s="109">
        <v>160</v>
      </c>
      <c r="H12" s="117">
        <v>4034.9</v>
      </c>
      <c r="I12" s="118"/>
    </row>
    <row r="13" spans="1:9" ht="18.75" x14ac:dyDescent="0.3">
      <c r="A13" s="116">
        <v>43384</v>
      </c>
      <c r="B13" s="109">
        <v>0</v>
      </c>
      <c r="C13" s="109">
        <v>34</v>
      </c>
      <c r="D13" s="109">
        <v>95</v>
      </c>
      <c r="E13" s="117">
        <v>0</v>
      </c>
      <c r="F13" s="117">
        <v>0</v>
      </c>
      <c r="G13" s="109">
        <v>160</v>
      </c>
      <c r="H13" s="117">
        <v>4034.9</v>
      </c>
      <c r="I13" s="118"/>
    </row>
    <row r="14" spans="1:9" ht="18.75" x14ac:dyDescent="0.3">
      <c r="A14" s="116">
        <v>43385</v>
      </c>
      <c r="B14" s="109">
        <v>0</v>
      </c>
      <c r="C14" s="109">
        <v>35</v>
      </c>
      <c r="D14" s="109">
        <v>63</v>
      </c>
      <c r="E14" s="117">
        <v>0</v>
      </c>
      <c r="F14" s="117">
        <v>0</v>
      </c>
      <c r="G14" s="109">
        <v>160</v>
      </c>
      <c r="H14" s="117">
        <v>4034.9</v>
      </c>
      <c r="I14" s="118"/>
    </row>
    <row r="15" spans="1:9" ht="18.75" x14ac:dyDescent="0.3">
      <c r="A15" s="116">
        <v>43386</v>
      </c>
      <c r="B15" s="109">
        <v>0</v>
      </c>
      <c r="C15" s="109">
        <v>12</v>
      </c>
      <c r="D15" s="109">
        <v>66</v>
      </c>
      <c r="E15" s="117">
        <v>0</v>
      </c>
      <c r="F15" s="117">
        <v>0</v>
      </c>
      <c r="G15" s="109">
        <v>160</v>
      </c>
      <c r="H15" s="117">
        <v>4034.9</v>
      </c>
      <c r="I15" s="118"/>
    </row>
    <row r="16" spans="1:9" ht="18.75" x14ac:dyDescent="0.3">
      <c r="A16" s="116">
        <v>43387</v>
      </c>
      <c r="B16" s="109">
        <v>0</v>
      </c>
      <c r="C16" s="109">
        <v>0</v>
      </c>
      <c r="D16" s="109">
        <v>71</v>
      </c>
      <c r="E16" s="117">
        <v>0</v>
      </c>
      <c r="F16" s="117">
        <v>0</v>
      </c>
      <c r="G16" s="109">
        <v>160</v>
      </c>
      <c r="H16" s="117">
        <v>4034.9</v>
      </c>
      <c r="I16" s="118"/>
    </row>
    <row r="17" spans="1:9" ht="18.75" x14ac:dyDescent="0.3">
      <c r="A17" s="116">
        <v>43388</v>
      </c>
      <c r="B17" s="109">
        <v>17</v>
      </c>
      <c r="C17" s="109">
        <v>0</v>
      </c>
      <c r="D17" s="109">
        <v>58</v>
      </c>
      <c r="E17" s="117">
        <v>0</v>
      </c>
      <c r="F17" s="117">
        <v>0</v>
      </c>
      <c r="G17" s="109">
        <v>160</v>
      </c>
      <c r="H17" s="117">
        <v>4034.9</v>
      </c>
      <c r="I17" s="118" t="s">
        <v>31</v>
      </c>
    </row>
    <row r="18" spans="1:9" ht="18.75" x14ac:dyDescent="0.3">
      <c r="A18" s="116">
        <v>43389</v>
      </c>
      <c r="B18" s="109">
        <v>25</v>
      </c>
      <c r="C18" s="109">
        <v>0</v>
      </c>
      <c r="D18" s="109">
        <v>57</v>
      </c>
      <c r="E18" s="117">
        <v>0</v>
      </c>
      <c r="F18" s="117">
        <v>0</v>
      </c>
      <c r="G18" s="109">
        <v>160</v>
      </c>
      <c r="H18" s="117">
        <v>4034.89</v>
      </c>
      <c r="I18" s="118"/>
    </row>
    <row r="19" spans="1:9" ht="18.75" x14ac:dyDescent="0.3">
      <c r="A19" s="116">
        <v>43390</v>
      </c>
      <c r="B19" s="109">
        <v>25</v>
      </c>
      <c r="C19" s="109">
        <v>0</v>
      </c>
      <c r="D19" s="109">
        <v>92</v>
      </c>
      <c r="E19" s="117">
        <v>0</v>
      </c>
      <c r="F19" s="117">
        <v>0</v>
      </c>
      <c r="G19" s="109">
        <v>160</v>
      </c>
      <c r="H19" s="117">
        <v>4034.88</v>
      </c>
      <c r="I19" s="119"/>
    </row>
    <row r="20" spans="1:9" ht="18.75" x14ac:dyDescent="0.3">
      <c r="A20" s="116">
        <v>43391</v>
      </c>
      <c r="B20" s="109">
        <v>25</v>
      </c>
      <c r="C20" s="109">
        <v>0</v>
      </c>
      <c r="D20" s="109">
        <v>90</v>
      </c>
      <c r="E20" s="117">
        <v>0</v>
      </c>
      <c r="F20" s="117">
        <v>0</v>
      </c>
      <c r="G20" s="109">
        <v>160</v>
      </c>
      <c r="H20" s="117">
        <v>4034.87</v>
      </c>
      <c r="I20" s="118"/>
    </row>
    <row r="21" spans="1:9" ht="18.75" x14ac:dyDescent="0.3">
      <c r="A21" s="116">
        <v>43392</v>
      </c>
      <c r="B21" s="109">
        <v>12</v>
      </c>
      <c r="C21" s="109">
        <v>0</v>
      </c>
      <c r="D21" s="109">
        <v>57</v>
      </c>
      <c r="E21" s="117">
        <v>0</v>
      </c>
      <c r="F21" s="117">
        <v>0</v>
      </c>
      <c r="G21" s="109">
        <v>160</v>
      </c>
      <c r="H21" s="117">
        <v>4034.86</v>
      </c>
      <c r="I21" s="118" t="s">
        <v>32</v>
      </c>
    </row>
    <row r="22" spans="1:9" ht="18.75" x14ac:dyDescent="0.3">
      <c r="A22" s="116">
        <v>43393</v>
      </c>
      <c r="B22" s="109">
        <v>0</v>
      </c>
      <c r="C22" s="109">
        <v>0</v>
      </c>
      <c r="D22" s="109">
        <v>63</v>
      </c>
      <c r="E22" s="117">
        <v>0</v>
      </c>
      <c r="F22" s="117">
        <v>0</v>
      </c>
      <c r="G22" s="109">
        <v>160</v>
      </c>
      <c r="H22" s="117">
        <v>4034.85</v>
      </c>
      <c r="I22" s="118"/>
    </row>
    <row r="23" spans="1:9" ht="18.75" x14ac:dyDescent="0.3">
      <c r="A23" s="116">
        <v>43394</v>
      </c>
      <c r="B23" s="109">
        <v>0</v>
      </c>
      <c r="C23" s="109">
        <v>0</v>
      </c>
      <c r="D23" s="109">
        <v>31</v>
      </c>
      <c r="E23" s="117">
        <v>0</v>
      </c>
      <c r="F23" s="117">
        <v>0</v>
      </c>
      <c r="G23" s="109">
        <v>160</v>
      </c>
      <c r="H23" s="117">
        <v>4034.84</v>
      </c>
      <c r="I23" s="118"/>
    </row>
    <row r="24" spans="1:9" ht="18.75" x14ac:dyDescent="0.3">
      <c r="A24" s="116">
        <v>43395</v>
      </c>
      <c r="B24" s="109">
        <v>0</v>
      </c>
      <c r="C24" s="109">
        <v>0</v>
      </c>
      <c r="D24" s="109">
        <v>47</v>
      </c>
      <c r="E24" s="117">
        <v>0</v>
      </c>
      <c r="F24" s="117">
        <v>0</v>
      </c>
      <c r="G24" s="109">
        <v>160</v>
      </c>
      <c r="H24" s="117">
        <v>4034.83</v>
      </c>
      <c r="I24" s="118"/>
    </row>
    <row r="25" spans="1:9" ht="18.75" x14ac:dyDescent="0.3">
      <c r="A25" s="116">
        <v>43396</v>
      </c>
      <c r="B25" s="109">
        <v>13</v>
      </c>
      <c r="C25" s="109">
        <v>0</v>
      </c>
      <c r="D25" s="109">
        <v>55</v>
      </c>
      <c r="E25" s="117">
        <v>0</v>
      </c>
      <c r="F25" s="117">
        <v>0</v>
      </c>
      <c r="G25" s="109">
        <v>160</v>
      </c>
      <c r="H25" s="117">
        <v>4034.8</v>
      </c>
      <c r="I25" s="118" t="s">
        <v>33</v>
      </c>
    </row>
    <row r="26" spans="1:9" ht="18.75" x14ac:dyDescent="0.3">
      <c r="A26" s="116">
        <v>43397</v>
      </c>
      <c r="B26" s="109">
        <v>25</v>
      </c>
      <c r="C26" s="109">
        <v>0</v>
      </c>
      <c r="D26" s="109">
        <v>59</v>
      </c>
      <c r="E26" s="117">
        <v>0</v>
      </c>
      <c r="F26" s="117">
        <v>0</v>
      </c>
      <c r="G26" s="109">
        <v>160</v>
      </c>
      <c r="H26" s="117">
        <v>4034.77</v>
      </c>
      <c r="I26" s="118"/>
    </row>
    <row r="27" spans="1:9" ht="18.75" x14ac:dyDescent="0.3">
      <c r="A27" s="116">
        <v>43398</v>
      </c>
      <c r="B27" s="109">
        <v>39</v>
      </c>
      <c r="C27" s="109">
        <v>0</v>
      </c>
      <c r="D27" s="109">
        <v>68</v>
      </c>
      <c r="E27" s="117">
        <v>0</v>
      </c>
      <c r="F27" s="117">
        <v>0</v>
      </c>
      <c r="G27" s="109">
        <v>160</v>
      </c>
      <c r="H27" s="117">
        <v>4034.74</v>
      </c>
      <c r="I27" s="118" t="s">
        <v>34</v>
      </c>
    </row>
    <row r="28" spans="1:9" ht="18.75" x14ac:dyDescent="0.3">
      <c r="A28" s="116">
        <v>43399</v>
      </c>
      <c r="B28" s="109">
        <v>50</v>
      </c>
      <c r="C28" s="109">
        <v>0</v>
      </c>
      <c r="D28" s="109">
        <v>70</v>
      </c>
      <c r="E28" s="117">
        <v>0</v>
      </c>
      <c r="F28" s="117">
        <v>0</v>
      </c>
      <c r="G28" s="109">
        <v>160</v>
      </c>
      <c r="H28" s="117">
        <v>4034.72</v>
      </c>
      <c r="I28" s="118"/>
    </row>
    <row r="29" spans="1:9" ht="18.75" x14ac:dyDescent="0.3">
      <c r="A29" s="116">
        <v>43400</v>
      </c>
      <c r="B29" s="109">
        <v>50</v>
      </c>
      <c r="C29" s="109">
        <v>0</v>
      </c>
      <c r="D29" s="109">
        <v>74</v>
      </c>
      <c r="E29" s="117">
        <v>0</v>
      </c>
      <c r="F29" s="117">
        <v>0</v>
      </c>
      <c r="G29" s="109">
        <v>160</v>
      </c>
      <c r="H29" s="117">
        <v>4034.66</v>
      </c>
      <c r="I29" s="118"/>
    </row>
    <row r="30" spans="1:9" ht="18.75" x14ac:dyDescent="0.3">
      <c r="A30" s="116">
        <v>43401</v>
      </c>
      <c r="B30" s="109">
        <v>50</v>
      </c>
      <c r="C30" s="109">
        <v>0</v>
      </c>
      <c r="D30" s="109">
        <v>72</v>
      </c>
      <c r="E30" s="117">
        <v>0</v>
      </c>
      <c r="F30" s="117">
        <v>0</v>
      </c>
      <c r="G30" s="109">
        <v>160</v>
      </c>
      <c r="H30" s="117">
        <v>4034.62</v>
      </c>
      <c r="I30" s="118"/>
    </row>
    <row r="31" spans="1:9" ht="18.75" x14ac:dyDescent="0.3">
      <c r="A31" s="116">
        <v>43402</v>
      </c>
      <c r="B31" s="109">
        <v>50</v>
      </c>
      <c r="C31" s="109">
        <v>0</v>
      </c>
      <c r="D31" s="109">
        <v>70</v>
      </c>
      <c r="E31" s="117">
        <v>0</v>
      </c>
      <c r="F31" s="117">
        <v>0</v>
      </c>
      <c r="G31" s="109">
        <v>160</v>
      </c>
      <c r="H31" s="117">
        <v>4034.58</v>
      </c>
      <c r="I31" s="118"/>
    </row>
    <row r="32" spans="1:9" ht="18.75" x14ac:dyDescent="0.3">
      <c r="A32" s="116">
        <v>43403</v>
      </c>
      <c r="B32" s="109">
        <v>50</v>
      </c>
      <c r="C32" s="109">
        <v>0</v>
      </c>
      <c r="D32" s="109">
        <v>63</v>
      </c>
      <c r="E32" s="117">
        <v>0</v>
      </c>
      <c r="F32" s="117">
        <v>0</v>
      </c>
      <c r="G32" s="109">
        <v>160</v>
      </c>
      <c r="H32" s="117">
        <v>4034.54</v>
      </c>
      <c r="I32" s="118"/>
    </row>
    <row r="33" spans="1:14" ht="19.5" thickBot="1" x14ac:dyDescent="0.35">
      <c r="A33" s="116">
        <v>43404</v>
      </c>
      <c r="B33" s="109">
        <v>50</v>
      </c>
      <c r="C33" s="109">
        <v>0</v>
      </c>
      <c r="D33" s="109">
        <v>64</v>
      </c>
      <c r="E33" s="117">
        <v>0</v>
      </c>
      <c r="F33" s="117">
        <v>0</v>
      </c>
      <c r="G33" s="109">
        <v>160</v>
      </c>
      <c r="H33" s="117">
        <v>4034.51</v>
      </c>
      <c r="I33" s="118"/>
    </row>
    <row r="34" spans="1:14" ht="19.5" thickTop="1" x14ac:dyDescent="0.3">
      <c r="A34" s="120" t="s">
        <v>8</v>
      </c>
      <c r="B34" s="109">
        <f t="shared" ref="B34:G34" si="0">SUM(B3:B33)</f>
        <v>552</v>
      </c>
      <c r="C34" s="109">
        <f t="shared" si="0"/>
        <v>166</v>
      </c>
      <c r="D34" s="109">
        <v>0</v>
      </c>
      <c r="E34" s="109">
        <f t="shared" si="0"/>
        <v>0.57000000000000006</v>
      </c>
      <c r="F34" s="109">
        <f t="shared" si="0"/>
        <v>0</v>
      </c>
      <c r="G34" s="109">
        <f t="shared" si="0"/>
        <v>4960</v>
      </c>
      <c r="H34" s="109"/>
      <c r="I34" s="121"/>
      <c r="J34" s="11"/>
    </row>
    <row r="35" spans="1:14" s="11" customFormat="1" ht="28.5" customHeight="1" x14ac:dyDescent="0.3">
      <c r="A35" s="122" t="s">
        <v>9</v>
      </c>
      <c r="B35" s="123">
        <f>SUM(B34+'Oct 2018'!B36)</f>
        <v>552</v>
      </c>
      <c r="C35" s="123">
        <f>SUM(C34+'Oct 2018'!C36)</f>
        <v>166</v>
      </c>
      <c r="D35" s="123">
        <f>SUM(D34+'Oct 2018'!D36)</f>
        <v>0</v>
      </c>
      <c r="E35" s="124">
        <f>SUM(E34+'Oct 2018'!E36)</f>
        <v>0.57000000000000006</v>
      </c>
      <c r="F35" s="124">
        <f>SUM(F34+'Oct 2018'!F36)</f>
        <v>0</v>
      </c>
      <c r="G35" s="123">
        <f>SUM(G34+'Oct 2018'!G36)</f>
        <v>4960</v>
      </c>
      <c r="H35" s="124"/>
      <c r="I35" s="125"/>
    </row>
    <row r="36" spans="1:14" s="11" customFormat="1" ht="18.75" x14ac:dyDescent="0.3">
      <c r="A36" s="126"/>
      <c r="B36" s="127"/>
      <c r="C36" s="127"/>
      <c r="D36" s="127"/>
      <c r="E36" s="121"/>
      <c r="F36" s="121"/>
      <c r="G36" s="127"/>
      <c r="H36" s="121"/>
      <c r="I36" s="125"/>
      <c r="J36"/>
    </row>
    <row r="37" spans="1:14" ht="18.75" x14ac:dyDescent="0.3">
      <c r="A37" s="121" t="s">
        <v>10</v>
      </c>
      <c r="B37" s="128">
        <f>SUM(B3:B33)*1.9835</f>
        <v>1094.8920000000001</v>
      </c>
      <c r="C37" s="128">
        <f>SUM(C3:C33)*1.9835</f>
        <v>329.26100000000002</v>
      </c>
      <c r="D37" s="128">
        <f>SUM(D3:D33)*1.9835</f>
        <v>5176.9350000000004</v>
      </c>
      <c r="E37" s="128"/>
      <c r="F37" s="128"/>
      <c r="G37" s="128"/>
      <c r="H37" s="121"/>
      <c r="I37" s="129"/>
    </row>
    <row r="38" spans="1:14" ht="18.75" x14ac:dyDescent="0.3">
      <c r="A38" s="121"/>
      <c r="B38" s="121"/>
      <c r="C38" s="121"/>
      <c r="D38" s="121"/>
      <c r="E38" s="121"/>
      <c r="F38" s="121"/>
      <c r="G38" s="121"/>
      <c r="H38" s="121"/>
      <c r="I38" s="121"/>
    </row>
    <row r="39" spans="1:14" ht="18.75" x14ac:dyDescent="0.3">
      <c r="A39" s="121" t="s">
        <v>24</v>
      </c>
      <c r="B39" s="128">
        <f>SUM('Oct 2018'!B40+B37)</f>
        <v>1094.8920000000001</v>
      </c>
      <c r="C39" s="128">
        <f>SUM('Oct 2018'!C40+C37)</f>
        <v>329.26100000000002</v>
      </c>
      <c r="D39" s="128">
        <f>SUM('Oct 2018'!D40+D37)</f>
        <v>5176.9350000000004</v>
      </c>
      <c r="E39" s="128"/>
      <c r="F39" s="128"/>
      <c r="G39" s="128"/>
      <c r="H39" s="121"/>
      <c r="I39" s="129"/>
    </row>
    <row r="40" spans="1:14" x14ac:dyDescent="0.25">
      <c r="A40"/>
      <c r="B40" s="23"/>
      <c r="C40" s="23"/>
      <c r="D40" s="24"/>
      <c r="E40" s="23"/>
      <c r="F40" s="23"/>
      <c r="G40" s="23"/>
      <c r="H40"/>
      <c r="I40" s="22"/>
    </row>
    <row r="41" spans="1:14" ht="15" customHeight="1" x14ac:dyDescent="0.25">
      <c r="A41" s="155"/>
      <c r="B41" s="155"/>
      <c r="C41" s="155"/>
      <c r="D41" s="155"/>
      <c r="E41" s="155"/>
      <c r="F41" s="156"/>
      <c r="G41" s="157" t="s">
        <v>12</v>
      </c>
      <c r="H41" s="158"/>
      <c r="I41" s="30"/>
      <c r="J41" s="30"/>
    </row>
    <row r="42" spans="1:14" ht="17.45" customHeight="1" x14ac:dyDescent="0.25">
      <c r="A42" s="29"/>
      <c r="B42" s="29"/>
      <c r="C42" s="29"/>
      <c r="D42" s="29"/>
      <c r="E42" s="29"/>
      <c r="F42" s="29"/>
      <c r="G42" s="157"/>
      <c r="H42" s="158"/>
      <c r="I42" s="30"/>
      <c r="J42" s="30"/>
      <c r="K42" s="30"/>
      <c r="L42" s="30"/>
      <c r="M42" s="31"/>
      <c r="N42" s="30"/>
    </row>
    <row r="43" spans="1:14" ht="16.899999999999999" customHeight="1" x14ac:dyDescent="0.25">
      <c r="A43" s="160" t="s">
        <v>23</v>
      </c>
      <c r="B43" s="160"/>
      <c r="C43" s="160"/>
      <c r="D43" s="160"/>
      <c r="E43" s="160"/>
      <c r="F43" s="160"/>
      <c r="G43" s="160"/>
      <c r="H43" s="160"/>
      <c r="I43" s="160"/>
      <c r="J43" s="160"/>
      <c r="K43" s="30"/>
      <c r="L43" s="30"/>
      <c r="M43" s="31"/>
      <c r="N43" s="30"/>
    </row>
    <row r="44" spans="1:14" ht="13.9" customHeight="1" x14ac:dyDescent="0.25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2"/>
      <c r="L44" s="32"/>
      <c r="M44" s="33"/>
      <c r="N44" s="34"/>
    </row>
    <row r="45" spans="1:14" ht="15.6" customHeight="1" x14ac:dyDescent="0.2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2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2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2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x14ac:dyDescent="0.25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3"/>
    </row>
    <row r="50" spans="1:14" x14ac:dyDescent="0.25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3"/>
    </row>
    <row r="51" spans="1:14" ht="13.15" customHeight="1" thickBot="1" x14ac:dyDescent="0.3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3"/>
      <c r="N51" s="34"/>
    </row>
    <row r="52" spans="1:14" ht="26.25" x14ac:dyDescent="0.2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  <c r="K52" s="34"/>
      <c r="L52" s="34"/>
      <c r="M52" s="33"/>
      <c r="N52" s="34"/>
    </row>
    <row r="53" spans="1:14" ht="15.75" x14ac:dyDescent="0.25">
      <c r="A53" s="58"/>
      <c r="B53" s="59"/>
      <c r="C53" s="60"/>
      <c r="D53" s="61"/>
      <c r="E53" s="62"/>
      <c r="F53" s="63"/>
      <c r="G53" s="64"/>
      <c r="H53" s="65"/>
      <c r="I53" s="66"/>
      <c r="J53" s="66"/>
    </row>
    <row r="54" spans="1:14" x14ac:dyDescent="0.25">
      <c r="A54" s="67"/>
      <c r="B54" s="68"/>
      <c r="C54" s="69"/>
      <c r="D54" s="61"/>
      <c r="E54" s="70"/>
      <c r="F54" s="71"/>
      <c r="G54" s="64"/>
      <c r="H54" s="65"/>
    </row>
    <row r="55" spans="1:14" x14ac:dyDescent="0.25">
      <c r="A55" s="67"/>
      <c r="B55" s="68"/>
      <c r="C55" s="69"/>
      <c r="D55" s="61"/>
      <c r="E55" s="72"/>
      <c r="F55" s="71"/>
      <c r="G55" s="64"/>
      <c r="H55" s="65"/>
    </row>
    <row r="56" spans="1:14" x14ac:dyDescent="0.25">
      <c r="A56" s="67"/>
      <c r="B56" s="68"/>
      <c r="C56" s="69"/>
      <c r="D56" s="61"/>
      <c r="E56" s="72"/>
      <c r="F56" s="71"/>
      <c r="G56" s="64"/>
      <c r="H56" s="65"/>
    </row>
    <row r="57" spans="1:14" ht="15.75" thickBot="1" x14ac:dyDescent="0.3">
      <c r="A57" s="73"/>
      <c r="B57" s="74"/>
      <c r="C57" s="75"/>
      <c r="D57" s="76"/>
      <c r="E57" s="75"/>
      <c r="F57" s="77"/>
      <c r="G57" s="64"/>
      <c r="H57" s="65"/>
      <c r="I57" s="78"/>
      <c r="J57" s="78"/>
    </row>
    <row r="58" spans="1:14" ht="26.25" thickBot="1" x14ac:dyDescent="0.3">
      <c r="A58" s="161" t="s">
        <v>21</v>
      </c>
      <c r="B58" s="162"/>
      <c r="C58" s="163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  <c r="I58" s="84"/>
      <c r="J58" s="84"/>
    </row>
    <row r="59" spans="1:14" s="84" customFormat="1" ht="30" customHeight="1" x14ac:dyDescent="0.25">
      <c r="A59" s="161" t="s">
        <v>21</v>
      </c>
      <c r="B59" s="162"/>
      <c r="C59" s="163"/>
      <c r="D59" s="79">
        <f>SUM(D54:D58)</f>
        <v>0</v>
      </c>
      <c r="E59" s="80" t="s">
        <v>22</v>
      </c>
      <c r="F59" s="81">
        <f>SUM(F54:F58)</f>
        <v>0</v>
      </c>
      <c r="G59" s="82"/>
      <c r="H59" s="83"/>
    </row>
  </sheetData>
  <mergeCells count="5">
    <mergeCell ref="A59:C59"/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Sep 2019</vt:lpstr>
      <vt:lpstr>Aug 2019</vt:lpstr>
      <vt:lpstr>Jul 2019</vt:lpstr>
      <vt:lpstr>Jun 2019</vt:lpstr>
      <vt:lpstr>May 2019</vt:lpstr>
      <vt:lpstr>Apr 2019</vt:lpstr>
      <vt:lpstr>Mar 2019</vt:lpstr>
      <vt:lpstr>Feb 2019</vt:lpstr>
      <vt:lpstr>Jan 2019</vt:lpstr>
      <vt:lpstr>Dec 2018</vt:lpstr>
      <vt:lpstr>Nov 2018</vt:lpstr>
      <vt:lpstr>Oct 2018</vt:lpstr>
      <vt:lpstr>'Apr 2019'!Print_Area</vt:lpstr>
      <vt:lpstr>'Aug 2019'!Print_Area</vt:lpstr>
      <vt:lpstr>'Feb 2019'!Print_Area</vt:lpstr>
      <vt:lpstr>'Jan 2019'!Print_Area</vt:lpstr>
      <vt:lpstr>'Jul 2019'!Print_Area</vt:lpstr>
      <vt:lpstr>'Jun 2019'!Print_Area</vt:lpstr>
      <vt:lpstr>'Mar 2019'!Print_Area</vt:lpstr>
      <vt:lpstr>'Nov 2018'!Print_Area</vt:lpstr>
      <vt:lpstr>'Oct 2018'!Print_Area</vt:lpstr>
      <vt:lpstr>'Sep 2019'!Print_Area</vt:lpstr>
    </vt:vector>
  </TitlesOfParts>
  <Company>Bureau of Reclamation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Birri</dc:creator>
  <cp:lastModifiedBy>Ron</cp:lastModifiedBy>
  <cp:lastPrinted>2019-08-21T16:01:02Z</cp:lastPrinted>
  <dcterms:created xsi:type="dcterms:W3CDTF">2010-05-21T17:05:57Z</dcterms:created>
  <dcterms:modified xsi:type="dcterms:W3CDTF">2019-10-07T15:44:55Z</dcterms:modified>
</cp:coreProperties>
</file>