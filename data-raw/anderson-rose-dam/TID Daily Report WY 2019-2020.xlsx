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-15" windowWidth="28815" windowHeight="14160" tabRatio="868"/>
  </bookViews>
  <sheets>
    <sheet name="Sep 2020" sheetId="12" r:id="rId1"/>
    <sheet name="Aug 2020" sheetId="11" r:id="rId2"/>
    <sheet name="Jul 2020" sheetId="10" r:id="rId3"/>
    <sheet name="Jun 2020" sheetId="9" r:id="rId4"/>
    <sheet name="May 2020" sheetId="8" r:id="rId5"/>
    <sheet name="Apr 2020" sheetId="7" r:id="rId6"/>
    <sheet name="Mar 2020" sheetId="6" r:id="rId7"/>
    <sheet name="Feb 2020" sheetId="5" r:id="rId8"/>
    <sheet name="Jan 2020" sheetId="4" r:id="rId9"/>
    <sheet name="Dec 2019" sheetId="3" r:id="rId10"/>
    <sheet name="Nov 2019" sheetId="2" r:id="rId11"/>
    <sheet name="Oct 2019" sheetId="1" r:id="rId12"/>
  </sheets>
  <definedNames>
    <definedName name="_xlnm.Print_Area" localSheetId="5">'Apr 2020'!$A$1:$H$34</definedName>
    <definedName name="_xlnm.Print_Area" localSheetId="1">'Aug 2020'!$A$1:$H$39</definedName>
    <definedName name="_xlnm.Print_Area" localSheetId="7">'Feb 2020'!$A$1:$H$33</definedName>
    <definedName name="_xlnm.Print_Area" localSheetId="8">'Jan 2020'!$A$1:$H$35</definedName>
    <definedName name="_xlnm.Print_Area" localSheetId="2">'Jul 2020'!$A$1:$H$39</definedName>
    <definedName name="_xlnm.Print_Area" localSheetId="3">'Jun 2020'!$A$1:$H$38</definedName>
    <definedName name="_xlnm.Print_Area" localSheetId="6">'Mar 2020'!$A$1:$H$35</definedName>
    <definedName name="_xlnm.Print_Area" localSheetId="10">'Nov 2019'!$A$1:$H$38</definedName>
    <definedName name="_xlnm.Print_Area" localSheetId="11">'Oct 2019'!$A$1:$H$40</definedName>
    <definedName name="_xlnm.Print_Area" localSheetId="0">'Sep 2020'!$A$1:$H$38</definedName>
  </definedNames>
  <calcPr calcId="145621"/>
</workbook>
</file>

<file path=xl/calcChain.xml><?xml version="1.0" encoding="utf-8"?>
<calcChain xmlns="http://schemas.openxmlformats.org/spreadsheetml/2006/main">
  <c r="C34" i="4" l="1"/>
  <c r="G33" i="12" l="1"/>
  <c r="F33" i="12"/>
  <c r="E33" i="12"/>
  <c r="D33" i="12"/>
  <c r="C33" i="12"/>
  <c r="B33" i="12"/>
  <c r="D37" i="11"/>
  <c r="C37" i="11"/>
  <c r="B37" i="11"/>
  <c r="G33" i="9"/>
  <c r="F33" i="9"/>
  <c r="E33" i="9"/>
  <c r="D33" i="9"/>
  <c r="C33" i="9"/>
  <c r="G33" i="2"/>
  <c r="G34" i="1"/>
  <c r="G35" i="1" s="1"/>
  <c r="C37" i="1" l="1"/>
  <c r="D37" i="1"/>
  <c r="D39" i="1" s="1"/>
  <c r="B37" i="1"/>
  <c r="B39" i="1" s="1"/>
  <c r="G32" i="5" l="1"/>
  <c r="B33" i="7"/>
  <c r="B36" i="7" s="1"/>
  <c r="C33" i="7"/>
  <c r="C36" i="7" s="1"/>
  <c r="D33" i="7"/>
  <c r="D36" i="7" s="1"/>
  <c r="E33" i="7"/>
  <c r="F33" i="7"/>
  <c r="G33" i="7"/>
  <c r="F44" i="7"/>
  <c r="H44" i="7" s="1"/>
  <c r="G44" i="7"/>
  <c r="F45" i="7"/>
  <c r="G45" i="7"/>
  <c r="F46" i="7"/>
  <c r="G46" i="7"/>
  <c r="F47" i="7"/>
  <c r="G47" i="7"/>
  <c r="F48" i="7"/>
  <c r="G48" i="7"/>
  <c r="H48" i="7"/>
  <c r="F52" i="7"/>
  <c r="F53" i="7"/>
  <c r="F54" i="7"/>
  <c r="F55" i="7"/>
  <c r="F56" i="7"/>
  <c r="D57" i="7"/>
  <c r="B34" i="11"/>
  <c r="C34" i="11"/>
  <c r="D34" i="11"/>
  <c r="E34" i="11"/>
  <c r="F34" i="11"/>
  <c r="G34" i="11"/>
  <c r="F45" i="11"/>
  <c r="G45" i="11"/>
  <c r="F46" i="11"/>
  <c r="G46" i="11"/>
  <c r="F47" i="11"/>
  <c r="G47" i="11"/>
  <c r="F48" i="11"/>
  <c r="G48" i="11"/>
  <c r="F49" i="11"/>
  <c r="G49" i="11"/>
  <c r="F53" i="11"/>
  <c r="F54" i="11"/>
  <c r="F55" i="11"/>
  <c r="F56" i="11"/>
  <c r="F57" i="11"/>
  <c r="D58" i="11"/>
  <c r="B34" i="3"/>
  <c r="C34" i="3"/>
  <c r="D34" i="3"/>
  <c r="E34" i="3"/>
  <c r="F34" i="3"/>
  <c r="G34" i="3"/>
  <c r="B37" i="3"/>
  <c r="C37" i="3"/>
  <c r="D37" i="3"/>
  <c r="F45" i="3"/>
  <c r="H45" i="3" s="1"/>
  <c r="G45" i="3"/>
  <c r="F46" i="3"/>
  <c r="G46" i="3"/>
  <c r="F47" i="3"/>
  <c r="H47" i="3" s="1"/>
  <c r="G47" i="3"/>
  <c r="F48" i="3"/>
  <c r="G48" i="3"/>
  <c r="F49" i="3"/>
  <c r="G49" i="3"/>
  <c r="D58" i="3"/>
  <c r="F58" i="3"/>
  <c r="B32" i="5"/>
  <c r="C32" i="5"/>
  <c r="D32" i="5"/>
  <c r="E32" i="5"/>
  <c r="F32" i="5"/>
  <c r="B35" i="5"/>
  <c r="C35" i="5"/>
  <c r="D35" i="5"/>
  <c r="F43" i="5"/>
  <c r="G43" i="5"/>
  <c r="H43" i="5" s="1"/>
  <c r="F44" i="5"/>
  <c r="G44" i="5"/>
  <c r="F45" i="5"/>
  <c r="G45" i="5"/>
  <c r="H45" i="5" s="1"/>
  <c r="F46" i="5"/>
  <c r="G46" i="5"/>
  <c r="H46" i="5" s="1"/>
  <c r="F47" i="5"/>
  <c r="G47" i="5"/>
  <c r="F51" i="5"/>
  <c r="F52" i="5"/>
  <c r="F53" i="5"/>
  <c r="F54" i="5"/>
  <c r="F55" i="5"/>
  <c r="D56" i="5"/>
  <c r="B34" i="4"/>
  <c r="D34" i="4"/>
  <c r="E34" i="4"/>
  <c r="F34" i="4"/>
  <c r="G34" i="4"/>
  <c r="B37" i="4"/>
  <c r="C37" i="4"/>
  <c r="D37" i="4"/>
  <c r="F45" i="4"/>
  <c r="H45" i="4" s="1"/>
  <c r="G45" i="4"/>
  <c r="F46" i="4"/>
  <c r="G46" i="4"/>
  <c r="F47" i="4"/>
  <c r="H47" i="4" s="1"/>
  <c r="G47" i="4"/>
  <c r="F48" i="4"/>
  <c r="G48" i="4"/>
  <c r="F49" i="4"/>
  <c r="G49" i="4"/>
  <c r="F53" i="4"/>
  <c r="F54" i="4"/>
  <c r="F55" i="4"/>
  <c r="F56" i="4"/>
  <c r="F57" i="4"/>
  <c r="D58" i="4"/>
  <c r="B34" i="10"/>
  <c r="C34" i="10"/>
  <c r="D34" i="10"/>
  <c r="E34" i="10"/>
  <c r="F34" i="10"/>
  <c r="G34" i="10"/>
  <c r="B37" i="10"/>
  <c r="C37" i="10"/>
  <c r="D37" i="10"/>
  <c r="F45" i="10"/>
  <c r="G45" i="10"/>
  <c r="F46" i="10"/>
  <c r="H46" i="10" s="1"/>
  <c r="G46" i="10"/>
  <c r="F47" i="10"/>
  <c r="G47" i="10"/>
  <c r="F48" i="10"/>
  <c r="G48" i="10"/>
  <c r="F49" i="10"/>
  <c r="G49" i="10"/>
  <c r="F53" i="10"/>
  <c r="F54" i="10"/>
  <c r="F58" i="10" s="1"/>
  <c r="F55" i="10"/>
  <c r="F56" i="10"/>
  <c r="F57" i="10"/>
  <c r="D58" i="10"/>
  <c r="B33" i="9"/>
  <c r="B36" i="9"/>
  <c r="C36" i="9"/>
  <c r="D36" i="9"/>
  <c r="F44" i="9"/>
  <c r="G44" i="9"/>
  <c r="H44" i="9" s="1"/>
  <c r="F45" i="9"/>
  <c r="G45" i="9"/>
  <c r="F46" i="9"/>
  <c r="G46" i="9"/>
  <c r="F47" i="9"/>
  <c r="G47" i="9"/>
  <c r="F48" i="9"/>
  <c r="G48" i="9"/>
  <c r="F52" i="9"/>
  <c r="F53" i="9"/>
  <c r="F54" i="9"/>
  <c r="F55" i="9"/>
  <c r="F56" i="9"/>
  <c r="D57" i="9"/>
  <c r="B34" i="6"/>
  <c r="C34" i="6"/>
  <c r="D34" i="6"/>
  <c r="E34" i="6"/>
  <c r="F34" i="6"/>
  <c r="G34" i="6"/>
  <c r="B37" i="6"/>
  <c r="C37" i="6"/>
  <c r="D37" i="6"/>
  <c r="F45" i="6"/>
  <c r="G45" i="6"/>
  <c r="H45" i="6" s="1"/>
  <c r="F46" i="6"/>
  <c r="G46" i="6"/>
  <c r="F47" i="6"/>
  <c r="G47" i="6"/>
  <c r="H47" i="6" s="1"/>
  <c r="F48" i="6"/>
  <c r="G48" i="6"/>
  <c r="H48" i="6" s="1"/>
  <c r="F49" i="6"/>
  <c r="G49" i="6"/>
  <c r="H49" i="6" s="1"/>
  <c r="F53" i="6"/>
  <c r="F54" i="6"/>
  <c r="F55" i="6"/>
  <c r="F56" i="6"/>
  <c r="F57" i="6"/>
  <c r="D58" i="6"/>
  <c r="B34" i="8"/>
  <c r="C34" i="8"/>
  <c r="D34" i="8"/>
  <c r="E34" i="8"/>
  <c r="F34" i="8"/>
  <c r="G34" i="8"/>
  <c r="B37" i="8"/>
  <c r="C37" i="8"/>
  <c r="D37" i="8"/>
  <c r="F45" i="8"/>
  <c r="H45" i="8" s="1"/>
  <c r="G45" i="8"/>
  <c r="F46" i="8"/>
  <c r="G46" i="8"/>
  <c r="F47" i="8"/>
  <c r="G47" i="8"/>
  <c r="F48" i="8"/>
  <c r="G48" i="8"/>
  <c r="F49" i="8"/>
  <c r="H49" i="8" s="1"/>
  <c r="G49" i="8"/>
  <c r="F53" i="8"/>
  <c r="F54" i="8"/>
  <c r="F55" i="8"/>
  <c r="F56" i="8"/>
  <c r="F57" i="8"/>
  <c r="D58" i="8"/>
  <c r="B33" i="2"/>
  <c r="C33" i="2"/>
  <c r="D33" i="2"/>
  <c r="E33" i="2"/>
  <c r="F33" i="2"/>
  <c r="G34" i="2"/>
  <c r="B36" i="2"/>
  <c r="C36" i="2"/>
  <c r="D36" i="2"/>
  <c r="D38" i="2" s="1"/>
  <c r="F44" i="2"/>
  <c r="G44" i="2"/>
  <c r="F45" i="2"/>
  <c r="G45" i="2"/>
  <c r="F46" i="2"/>
  <c r="G46" i="2"/>
  <c r="H46" i="2" s="1"/>
  <c r="F47" i="2"/>
  <c r="G47" i="2"/>
  <c r="H47" i="2" s="1"/>
  <c r="F48" i="2"/>
  <c r="G48" i="2"/>
  <c r="D57" i="2"/>
  <c r="F57" i="2"/>
  <c r="B34" i="1"/>
  <c r="B35" i="1" s="1"/>
  <c r="C34" i="1"/>
  <c r="C35" i="1" s="1"/>
  <c r="D34" i="1"/>
  <c r="D35" i="1" s="1"/>
  <c r="E34" i="1"/>
  <c r="E35" i="1" s="1"/>
  <c r="F34" i="1"/>
  <c r="F35" i="1" s="1"/>
  <c r="C39" i="1"/>
  <c r="F45" i="1"/>
  <c r="G45" i="1"/>
  <c r="F46" i="1"/>
  <c r="G46" i="1"/>
  <c r="H46" i="1" s="1"/>
  <c r="F47" i="1"/>
  <c r="G47" i="1"/>
  <c r="H47" i="1" s="1"/>
  <c r="F48" i="1"/>
  <c r="G48" i="1"/>
  <c r="F49" i="1"/>
  <c r="G49" i="1"/>
  <c r="H49" i="1" s="1"/>
  <c r="D58" i="1"/>
  <c r="D59" i="1" s="1"/>
  <c r="F58" i="1"/>
  <c r="F59" i="1" s="1"/>
  <c r="B36" i="12"/>
  <c r="C36" i="12"/>
  <c r="D36" i="12"/>
  <c r="F44" i="12"/>
  <c r="G44" i="12"/>
  <c r="H44" i="12" s="1"/>
  <c r="F45" i="12"/>
  <c r="G45" i="12"/>
  <c r="F46" i="12"/>
  <c r="G46" i="12"/>
  <c r="F47" i="12"/>
  <c r="H47" i="12" s="1"/>
  <c r="G47" i="12"/>
  <c r="F48" i="12"/>
  <c r="G48" i="12"/>
  <c r="F52" i="12"/>
  <c r="F53" i="12"/>
  <c r="F54" i="12"/>
  <c r="F55" i="12"/>
  <c r="F56" i="12"/>
  <c r="D57" i="12"/>
  <c r="D39" i="3" l="1"/>
  <c r="D39" i="4" s="1"/>
  <c r="D37" i="5" s="1"/>
  <c r="D39" i="6" s="1"/>
  <c r="D38" i="7" s="1"/>
  <c r="D39" i="8" s="1"/>
  <c r="D38" i="9" s="1"/>
  <c r="D39" i="10" s="1"/>
  <c r="D39" i="11" s="1"/>
  <c r="D38" i="12" s="1"/>
  <c r="H47" i="8"/>
  <c r="H46" i="6"/>
  <c r="H47" i="9"/>
  <c r="H45" i="9"/>
  <c r="H45" i="10"/>
  <c r="F56" i="5"/>
  <c r="H48" i="3"/>
  <c r="F57" i="12"/>
  <c r="H45" i="12"/>
  <c r="H48" i="8"/>
  <c r="H46" i="8"/>
  <c r="H48" i="9"/>
  <c r="H45" i="1"/>
  <c r="H48" i="2"/>
  <c r="H45" i="2"/>
  <c r="F57" i="9"/>
  <c r="H46" i="9"/>
  <c r="H48" i="10"/>
  <c r="H49" i="4"/>
  <c r="H49" i="3"/>
  <c r="H44" i="2"/>
  <c r="F58" i="8"/>
  <c r="H49" i="10"/>
  <c r="H47" i="10"/>
  <c r="H48" i="4"/>
  <c r="F57" i="7"/>
  <c r="H46" i="7"/>
  <c r="H48" i="12"/>
  <c r="H46" i="12"/>
  <c r="H48" i="1"/>
  <c r="F58" i="4"/>
  <c r="H46" i="4"/>
  <c r="H47" i="5"/>
  <c r="H44" i="5"/>
  <c r="H46" i="3"/>
  <c r="H47" i="7"/>
  <c r="H45" i="7"/>
  <c r="F58" i="6"/>
  <c r="H46" i="11"/>
  <c r="H49" i="11"/>
  <c r="H47" i="11"/>
  <c r="H45" i="11"/>
  <c r="H48" i="11"/>
  <c r="F58" i="11"/>
  <c r="B34" i="2"/>
  <c r="B35" i="3" s="1"/>
  <c r="B35" i="4" s="1"/>
  <c r="B33" i="5" s="1"/>
  <c r="B35" i="6" s="1"/>
  <c r="B34" i="7" s="1"/>
  <c r="B35" i="8" s="1"/>
  <c r="B34" i="9" s="1"/>
  <c r="B35" i="10" s="1"/>
  <c r="B35" i="11" s="1"/>
  <c r="B34" i="12" s="1"/>
  <c r="B38" i="2"/>
  <c r="B39" i="3" s="1"/>
  <c r="B39" i="4" s="1"/>
  <c r="B37" i="5" s="1"/>
  <c r="B39" i="6" s="1"/>
  <c r="B38" i="7" s="1"/>
  <c r="B39" i="8" s="1"/>
  <c r="B38" i="9" s="1"/>
  <c r="B39" i="10" s="1"/>
  <c r="B39" i="11" s="1"/>
  <c r="B38" i="12" s="1"/>
  <c r="C38" i="2"/>
  <c r="C39" i="3" s="1"/>
  <c r="C39" i="4" s="1"/>
  <c r="C37" i="5" s="1"/>
  <c r="C39" i="6" s="1"/>
  <c r="C38" i="7" s="1"/>
  <c r="C39" i="8" s="1"/>
  <c r="C38" i="9" s="1"/>
  <c r="C39" i="10" s="1"/>
  <c r="C39" i="11" s="1"/>
  <c r="C38" i="12" s="1"/>
  <c r="C34" i="2"/>
  <c r="C35" i="3" s="1"/>
  <c r="C35" i="4" s="1"/>
  <c r="C33" i="5" s="1"/>
  <c r="C35" i="6" s="1"/>
  <c r="C34" i="7" s="1"/>
  <c r="C35" i="8" s="1"/>
  <c r="C34" i="9" s="1"/>
  <c r="C35" i="10" s="1"/>
  <c r="C35" i="11" s="1"/>
  <c r="C34" i="12" s="1"/>
  <c r="F34" i="2"/>
  <c r="F35" i="3" s="1"/>
  <c r="F35" i="4" s="1"/>
  <c r="F33" i="5" s="1"/>
  <c r="F35" i="6" s="1"/>
  <c r="F34" i="7" s="1"/>
  <c r="F35" i="8" s="1"/>
  <c r="F34" i="9" s="1"/>
  <c r="F35" i="10" s="1"/>
  <c r="F35" i="11" s="1"/>
  <c r="F34" i="12" s="1"/>
  <c r="G35" i="3"/>
  <c r="G35" i="4" s="1"/>
  <c r="G33" i="5" s="1"/>
  <c r="G35" i="6" s="1"/>
  <c r="G34" i="7" s="1"/>
  <c r="G35" i="8" s="1"/>
  <c r="G34" i="9" s="1"/>
  <c r="G35" i="10" s="1"/>
  <c r="G35" i="11" s="1"/>
  <c r="G34" i="12" s="1"/>
  <c r="E34" i="2"/>
  <c r="E35" i="3" s="1"/>
  <c r="E35" i="4" s="1"/>
  <c r="E33" i="5" s="1"/>
  <c r="E35" i="6" s="1"/>
  <c r="E34" i="7" s="1"/>
  <c r="E35" i="8" s="1"/>
  <c r="E34" i="9" s="1"/>
  <c r="E35" i="10" s="1"/>
  <c r="E35" i="11" s="1"/>
  <c r="E34" i="12" s="1"/>
  <c r="D34" i="2"/>
  <c r="D35" i="3" s="1"/>
  <c r="D35" i="4" s="1"/>
  <c r="D33" i="5" s="1"/>
  <c r="D35" i="6" s="1"/>
  <c r="D34" i="7" s="1"/>
  <c r="D35" i="8" s="1"/>
  <c r="D34" i="9" s="1"/>
  <c r="D35" i="10" s="1"/>
  <c r="D35" i="11" s="1"/>
  <c r="D34" i="12" s="1"/>
</calcChain>
</file>

<file path=xl/sharedStrings.xml><?xml version="1.0" encoding="utf-8"?>
<sst xmlns="http://schemas.openxmlformats.org/spreadsheetml/2006/main" count="543" uniqueCount="139">
  <si>
    <t>DATE</t>
  </si>
  <si>
    <t>ANDERSON-ROSE</t>
  </si>
  <si>
    <t>J CANAL</t>
  </si>
  <si>
    <t>D PLANT</t>
  </si>
  <si>
    <t>TULE LAKE ELEV.</t>
  </si>
  <si>
    <t>STATION 48</t>
  </si>
  <si>
    <t>TULE LAKE PRECIP</t>
  </si>
  <si>
    <t>TULE LAKE SNOW</t>
  </si>
  <si>
    <t>Monthly Total</t>
  </si>
  <si>
    <t>WY Total</t>
  </si>
  <si>
    <t>Acre Feet</t>
  </si>
  <si>
    <t>CHANGES @ STATION 48</t>
  </si>
  <si>
    <t>*  COMPUTATIONAL PURPOSES ONLY!  Do Not Enter Data in the Red Columns</t>
  </si>
  <si>
    <t>Time</t>
  </si>
  <si>
    <t>Current CFS</t>
  </si>
  <si>
    <t>Hours Run</t>
  </si>
  <si>
    <t>+/- cfs</t>
  </si>
  <si>
    <t>Sta 48</t>
  </si>
  <si>
    <t>Use for more than 1 change in a day.</t>
  </si>
  <si>
    <t>**Station 48:</t>
  </si>
  <si>
    <t>Sub-total cfs</t>
  </si>
  <si>
    <t>Total Hours Run</t>
  </si>
  <si>
    <t>Total/Day cfs</t>
  </si>
  <si>
    <t>*This is computation purposes only for Station 48</t>
  </si>
  <si>
    <t>WY AF Total</t>
  </si>
  <si>
    <t>(in CFS)</t>
  </si>
  <si>
    <t>(in AF)</t>
  </si>
  <si>
    <t xml:space="preserve"> </t>
  </si>
  <si>
    <t>Correction to Anderson Rose River Spill</t>
  </si>
  <si>
    <t>* 13:00 0/50</t>
  </si>
  <si>
    <t>* 0830 50/75 2100 75/125</t>
  </si>
  <si>
    <t>* 0800 125/75</t>
  </si>
  <si>
    <t>* 10:00 75/100</t>
  </si>
  <si>
    <t>* 08:00 100/125</t>
  </si>
  <si>
    <t>* 08:00 125/175 * start 2nd unit D plant 09:40 *16:00 175/225</t>
  </si>
  <si>
    <t>*0800 225/300</t>
  </si>
  <si>
    <t>* 13.30 300/250</t>
  </si>
  <si>
    <t>* 16:00 250/200</t>
  </si>
  <si>
    <t>station 48 corrected from 283</t>
  </si>
  <si>
    <t>* 12:00 200/150</t>
  </si>
  <si>
    <t>* 16:00 125/100</t>
  </si>
  <si>
    <t>*18:00 100/75</t>
  </si>
  <si>
    <t>* 16:00 150/125</t>
  </si>
  <si>
    <t>*9:00 75/100 * 16:00 100/175</t>
  </si>
  <si>
    <t>*12:00 175/150  * 15:00 150/125</t>
  </si>
  <si>
    <t>*12:00 125/100</t>
  </si>
  <si>
    <t>*13:30 100/75</t>
  </si>
  <si>
    <t>T</t>
  </si>
  <si>
    <t>* 09:00 75/25 *12:00 25/50 (1 unit off D plant)</t>
  </si>
  <si>
    <t>* 09:00 50/0 * (D Plant OFF)</t>
  </si>
  <si>
    <t>1 Unit D-Plant 08:40</t>
  </si>
  <si>
    <t>D-Plant off 09:25</t>
  </si>
  <si>
    <t>*09:00 0/20</t>
  </si>
  <si>
    <t>*1200 20/30</t>
  </si>
  <si>
    <t>* 10:00 30/40 correction 50 to 40 cfs</t>
  </si>
  <si>
    <t>*13:00 40/30</t>
  </si>
  <si>
    <t>* 08:30 30/40</t>
  </si>
  <si>
    <t>* 08:30 40/50</t>
  </si>
  <si>
    <t>* 08:00 50/75</t>
  </si>
  <si>
    <t>* 13:00 75/100</t>
  </si>
  <si>
    <t>* 00:00 100/150 * 12:00 150/100</t>
  </si>
  <si>
    <t>* 08:00 100/50 * 14:00 50/75</t>
  </si>
  <si>
    <t>* 18:00 75/100</t>
  </si>
  <si>
    <t>correction moved to 4/20</t>
  </si>
  <si>
    <t>* 09:00 100/75</t>
  </si>
  <si>
    <t>* 12:00 100/75 00:00 75/100</t>
  </si>
  <si>
    <t>* 22:30 100/125</t>
  </si>
  <si>
    <t>* 16:30 125/100</t>
  </si>
  <si>
    <t>* 03:30 100/75 * 16:30 75/50</t>
  </si>
  <si>
    <t>* 23:00 50/100</t>
  </si>
  <si>
    <t>* 14:00 100/125</t>
  </si>
  <si>
    <t xml:space="preserve"> *10:00 125/75 * 15:30 75/50</t>
  </si>
  <si>
    <t>*10:00 50/28</t>
  </si>
  <si>
    <t>* 15:00 28/50</t>
  </si>
  <si>
    <t>* 17:00 50/75</t>
  </si>
  <si>
    <t>* 06:30 75/100</t>
  </si>
  <si>
    <t>* 08:00 100/75</t>
  </si>
  <si>
    <t>* 08:00 75/50</t>
  </si>
  <si>
    <t>* 06:00 50/25</t>
  </si>
  <si>
    <t>* 09:00 25/18 * 11:00 18/0</t>
  </si>
  <si>
    <t>* 00:00 0/25</t>
  </si>
  <si>
    <t>* 15:30 25/18</t>
  </si>
  <si>
    <t>* 08:30 18/0</t>
  </si>
  <si>
    <t>Correction D-Plant 0</t>
  </si>
  <si>
    <t>* 06:00 0/50</t>
  </si>
  <si>
    <t>*07:00 50/100</t>
  </si>
  <si>
    <t>* 12:00 100/75</t>
  </si>
  <si>
    <t>* 12:00 75/125</t>
  </si>
  <si>
    <t>* 16:00 125/150</t>
  </si>
  <si>
    <t>* 02:30 150/200</t>
  </si>
  <si>
    <t>* correction Station 48 15:00 200/300</t>
  </si>
  <si>
    <t>* 18:00 300/350</t>
  </si>
  <si>
    <t>* 17:00 350/300</t>
  </si>
  <si>
    <t>* 05:00 300/350</t>
  </si>
  <si>
    <t>* 21:00 350/300</t>
  </si>
  <si>
    <t>* 08:00 300/250</t>
  </si>
  <si>
    <t>* 15:00 250/225 * 16:30 225/200</t>
  </si>
  <si>
    <t>* 15:30 200/150</t>
  </si>
  <si>
    <t>* 07:00 150/200</t>
  </si>
  <si>
    <t>* 15:00 200/100</t>
  </si>
  <si>
    <t>* 14:30 100/75</t>
  </si>
  <si>
    <t>* 15:00 75/125 STATION 48 CORRECTED</t>
  </si>
  <si>
    <t>* 15:30 125/100</t>
  </si>
  <si>
    <t>* 09:30 100/125 *14:30 125/150</t>
  </si>
  <si>
    <t>* 15:00 150/100</t>
  </si>
  <si>
    <t>* 17:00 100/125</t>
  </si>
  <si>
    <t>* 12:00 125/100</t>
  </si>
  <si>
    <t>* 15:30 100/150</t>
  </si>
  <si>
    <t>* 15:00 150/200</t>
  </si>
  <si>
    <t>* 15:00 200/175</t>
  </si>
  <si>
    <t>* 06:00 175/200 * 19:00 200/250</t>
  </si>
  <si>
    <t>* 15:00 250/175</t>
  </si>
  <si>
    <t>* 16:00 175/150</t>
  </si>
  <si>
    <t>* 08:00 150/100</t>
  </si>
  <si>
    <t>* 15:00 100/125</t>
  </si>
  <si>
    <t>* 10:00 125/225</t>
  </si>
  <si>
    <t>* 15:00 225/250</t>
  </si>
  <si>
    <t>* 12:00 250/225</t>
  </si>
  <si>
    <t>* 10:00 225/250</t>
  </si>
  <si>
    <t>Sump 1A - 100</t>
  </si>
  <si>
    <t>* 10:00 Sta 48 for Sump 1A - 0/100</t>
  </si>
  <si>
    <t>* 14:00 Sump 1A - 100/0 * 16:00 Sump 1A - 0/50</t>
  </si>
  <si>
    <t>* 14:00 250/150 * 16:00 150/200</t>
  </si>
  <si>
    <t>Sump 1A - 50</t>
  </si>
  <si>
    <t>* 15:00 200/250</t>
  </si>
  <si>
    <t>* 16:00 250/225</t>
  </si>
  <si>
    <t>* 11:00 175/150</t>
  </si>
  <si>
    <t xml:space="preserve">* 13:00 225/200 * 16:00 200/175  Correction to J-canal </t>
  </si>
  <si>
    <t xml:space="preserve">* 10:00 150/100 * 14:00 100/125 </t>
  </si>
  <si>
    <t>* 12:00 125/150</t>
  </si>
  <si>
    <t>* 10:00 150/175</t>
  </si>
  <si>
    <t>* 12:00 175/200</t>
  </si>
  <si>
    <t>* 18:00 200/175</t>
  </si>
  <si>
    <t>* 09:00 175/150</t>
  </si>
  <si>
    <t>* 13:30 150/125 * 18:30 125/100</t>
  </si>
  <si>
    <t>*10:00 100/75 * 16:00 75/100</t>
  </si>
  <si>
    <t>* 09:00 100/75 * 14:00 75/100</t>
  </si>
  <si>
    <t>* 14:00 100/75</t>
  </si>
  <si>
    <t>*12:00 75/100 * 18:00 100/125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</si>
</sst>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"/>
    <numFmt numFmtId="166" formatCode="0_);[Red]\(0\)"/>
    <numFmt numFmtId="167" formatCode="h:mm;@"/>
  </numFmts>
  <fonts count="2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0"/>
      <color indexed="10"/>
      <name val="MS Sans Serif"/>
      <family val="2"/>
    </font>
    <font>
      <b/>
      <sz val="8"/>
      <color indexed="10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b/>
      <sz val="10"/>
      <color indexed="12"/>
      <name val="MS Sans Serif"/>
      <family val="2"/>
    </font>
    <font>
      <b/>
      <sz val="10"/>
      <color indexed="58"/>
      <name val="MS Sans Serif"/>
      <family val="2"/>
    </font>
    <font>
      <b/>
      <sz val="10"/>
      <color indexed="8"/>
      <name val="MS Sans Serif"/>
      <family val="2"/>
    </font>
    <font>
      <sz val="10"/>
      <color indexed="10"/>
      <name val="MS Sans Serif"/>
      <family val="2"/>
    </font>
    <font>
      <sz val="10"/>
      <name val="MS Sans Serif"/>
      <family val="2"/>
    </font>
    <font>
      <b/>
      <sz val="12"/>
      <color indexed="12"/>
      <name val="MS Sans Serif"/>
      <family val="2"/>
    </font>
    <font>
      <sz val="10"/>
      <color indexed="12"/>
      <name val="MS Sans Serif"/>
      <family val="2"/>
    </font>
    <font>
      <sz val="10"/>
      <color indexed="58"/>
      <name val="MS Sans Serif"/>
      <family val="2"/>
    </font>
    <font>
      <sz val="12"/>
      <color indexed="12"/>
      <name val="MS Sans Serif"/>
      <family val="2"/>
    </font>
    <font>
      <b/>
      <sz val="10"/>
      <color indexed="12"/>
      <name val="MS Sans Serif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rgb="FF002060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</fills>
  <borders count="2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2" fillId="0" borderId="0"/>
  </cellStyleXfs>
  <cellXfs count="122">
    <xf numFmtId="0" fontId="0" fillId="0" borderId="0" xfId="0"/>
    <xf numFmtId="0" fontId="6" fillId="0" borderId="0" xfId="0" applyFont="1" applyAlignment="1">
      <alignment wrapText="1"/>
    </xf>
    <xf numFmtId="14" fontId="0" fillId="0" borderId="0" xfId="0" applyNumberFormat="1"/>
    <xf numFmtId="4" fontId="3" fillId="2" borderId="1" xfId="1" applyNumberFormat="1" applyFont="1" applyFill="1" applyBorder="1" applyAlignment="1">
      <alignment horizontal="center" wrapText="1"/>
    </xf>
    <xf numFmtId="4" fontId="0" fillId="0" borderId="0" xfId="0" applyNumberFormat="1"/>
    <xf numFmtId="3" fontId="3" fillId="2" borderId="1" xfId="1" applyNumberFormat="1" applyFont="1" applyFill="1" applyBorder="1" applyAlignment="1">
      <alignment horizontal="center" wrapText="1"/>
    </xf>
    <xf numFmtId="3" fontId="0" fillId="0" borderId="0" xfId="0" applyNumberFormat="1"/>
    <xf numFmtId="2" fontId="3" fillId="2" borderId="1" xfId="1" applyNumberFormat="1" applyFont="1" applyFill="1" applyBorder="1" applyAlignment="1">
      <alignment horizontal="center" wrapText="1"/>
    </xf>
    <xf numFmtId="2" fontId="0" fillId="0" borderId="0" xfId="0" applyNumberFormat="1"/>
    <xf numFmtId="1" fontId="3" fillId="2" borderId="1" xfId="1" applyNumberFormat="1" applyFont="1" applyFill="1" applyBorder="1" applyAlignment="1">
      <alignment horizontal="center" wrapText="1"/>
    </xf>
    <xf numFmtId="1" fontId="0" fillId="0" borderId="0" xfId="0" applyNumberFormat="1"/>
    <xf numFmtId="0" fontId="6" fillId="0" borderId="0" xfId="0" applyFont="1"/>
    <xf numFmtId="14" fontId="4" fillId="0" borderId="1" xfId="2" applyNumberFormat="1" applyFont="1" applyFill="1" applyBorder="1" applyAlignment="1">
      <alignment horizontal="right" wrapText="1"/>
    </xf>
    <xf numFmtId="1" fontId="4" fillId="0" borderId="1" xfId="2" applyNumberFormat="1" applyFont="1" applyFill="1" applyBorder="1" applyAlignment="1">
      <alignment horizontal="right" wrapText="1"/>
    </xf>
    <xf numFmtId="2" fontId="4" fillId="0" borderId="1" xfId="2" applyNumberFormat="1" applyFont="1" applyFill="1" applyBorder="1" applyAlignment="1">
      <alignment horizontal="right" wrapText="1"/>
    </xf>
    <xf numFmtId="4" fontId="4" fillId="0" borderId="1" xfId="2" applyNumberFormat="1" applyFont="1" applyFill="1" applyBorder="1" applyAlignment="1">
      <alignment horizontal="right" wrapText="1"/>
    </xf>
    <xf numFmtId="14" fontId="6" fillId="0" borderId="2" xfId="0" applyNumberFormat="1" applyFont="1" applyBorder="1"/>
    <xf numFmtId="3" fontId="6" fillId="0" borderId="2" xfId="0" applyNumberFormat="1" applyFont="1" applyBorder="1"/>
    <xf numFmtId="4" fontId="6" fillId="0" borderId="2" xfId="0" applyNumberFormat="1" applyFont="1" applyBorder="1"/>
    <xf numFmtId="14" fontId="6" fillId="0" borderId="1" xfId="0" applyNumberFormat="1" applyFont="1" applyBorder="1"/>
    <xf numFmtId="3" fontId="6" fillId="0" borderId="1" xfId="0" applyNumberFormat="1" applyFont="1" applyBorder="1"/>
    <xf numFmtId="4" fontId="6" fillId="0" borderId="1" xfId="0" applyNumberFormat="1" applyFont="1" applyBorder="1"/>
    <xf numFmtId="165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 applyFill="1" applyAlignment="1">
      <alignment horizontal="center"/>
    </xf>
    <xf numFmtId="1" fontId="1" fillId="0" borderId="1" xfId="3" applyNumberFormat="1" applyFont="1" applyFill="1" applyBorder="1" applyAlignment="1">
      <alignment horizontal="right" wrapText="1"/>
    </xf>
    <xf numFmtId="2" fontId="1" fillId="0" borderId="1" xfId="3" applyNumberFormat="1" applyFont="1" applyFill="1" applyBorder="1" applyAlignment="1">
      <alignment horizontal="right" wrapText="1"/>
    </xf>
    <xf numFmtId="4" fontId="1" fillId="0" borderId="1" xfId="3" applyNumberFormat="1" applyFont="1" applyFill="1" applyBorder="1" applyAlignment="1">
      <alignment horizontal="right" wrapText="1"/>
    </xf>
    <xf numFmtId="14" fontId="1" fillId="0" borderId="1" xfId="3" applyNumberFormat="1" applyFont="1" applyFill="1" applyBorder="1" applyAlignment="1">
      <alignment horizontal="right" wrapText="1"/>
    </xf>
    <xf numFmtId="0" fontId="7" fillId="0" borderId="0" xfId="0" applyFont="1" applyBorder="1" applyAlignment="1">
      <alignment horizontal="center"/>
    </xf>
    <xf numFmtId="0" fontId="9" fillId="0" borderId="0" xfId="2" applyFont="1" applyBorder="1" applyProtection="1"/>
    <xf numFmtId="166" fontId="9" fillId="0" borderId="0" xfId="2" applyNumberFormat="1" applyFont="1" applyBorder="1" applyProtection="1"/>
    <xf numFmtId="0" fontId="10" fillId="0" borderId="0" xfId="0" applyFont="1" applyBorder="1"/>
    <xf numFmtId="166" fontId="10" fillId="0" borderId="0" xfId="0" applyNumberFormat="1" applyFont="1"/>
    <xf numFmtId="0" fontId="10" fillId="0" borderId="0" xfId="0" applyFont="1"/>
    <xf numFmtId="14" fontId="10" fillId="0" borderId="3" xfId="0" applyNumberFormat="1" applyFont="1" applyBorder="1" applyAlignment="1">
      <alignment horizontal="right"/>
    </xf>
    <xf numFmtId="167" fontId="10" fillId="0" borderId="4" xfId="0" applyNumberFormat="1" applyFont="1" applyFill="1" applyBorder="1" applyAlignment="1">
      <alignment horizontal="right"/>
    </xf>
    <xf numFmtId="0" fontId="10" fillId="0" borderId="4" xfId="0" applyFont="1" applyBorder="1"/>
    <xf numFmtId="38" fontId="10" fillId="0" borderId="5" xfId="0" applyNumberFormat="1" applyFont="1" applyFill="1" applyBorder="1" applyAlignment="1">
      <alignment horizontal="right"/>
    </xf>
    <xf numFmtId="0" fontId="14" fillId="0" borderId="3" xfId="0" applyFont="1" applyBorder="1"/>
    <xf numFmtId="1" fontId="14" fillId="0" borderId="4" xfId="0" applyNumberFormat="1" applyFont="1" applyBorder="1"/>
    <xf numFmtId="1" fontId="14" fillId="0" borderId="6" xfId="0" applyNumberFormat="1" applyFont="1" applyBorder="1"/>
    <xf numFmtId="14" fontId="11" fillId="0" borderId="3" xfId="0" applyNumberFormat="1" applyFont="1" applyBorder="1" applyAlignment="1">
      <alignment horizontal="left"/>
    </xf>
    <xf numFmtId="38" fontId="10" fillId="0" borderId="6" xfId="0" applyNumberFormat="1" applyFont="1" applyFill="1" applyBorder="1" applyAlignment="1">
      <alignment horizontal="right"/>
    </xf>
    <xf numFmtId="14" fontId="15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" fontId="10" fillId="0" borderId="0" xfId="0" applyNumberFormat="1" applyFont="1" applyAlignment="1">
      <alignment horizontal="center"/>
    </xf>
    <xf numFmtId="1" fontId="10" fillId="0" borderId="0" xfId="0" quotePrefix="1" applyNumberFormat="1" applyFont="1" applyAlignment="1">
      <alignment horizontal="center"/>
    </xf>
    <xf numFmtId="14" fontId="11" fillId="0" borderId="8" xfId="0" applyNumberFormat="1" applyFont="1" applyBorder="1" applyAlignment="1">
      <alignment horizontal="center" wrapText="1"/>
    </xf>
    <xf numFmtId="167" fontId="11" fillId="0" borderId="9" xfId="0" applyNumberFormat="1" applyFont="1" applyFill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1" fillId="0" borderId="9" xfId="0" quotePrefix="1" applyFont="1" applyFill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166" fontId="12" fillId="0" borderId="11" xfId="0" applyNumberFormat="1" applyFont="1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14" fontId="15" fillId="0" borderId="12" xfId="0" applyNumberFormat="1" applyFont="1" applyBorder="1" applyAlignment="1">
      <alignment horizontal="right"/>
    </xf>
    <xf numFmtId="167" fontId="15" fillId="0" borderId="4" xfId="0" applyNumberFormat="1" applyFont="1" applyFill="1" applyBorder="1" applyAlignment="1">
      <alignment horizontal="right"/>
    </xf>
    <xf numFmtId="0" fontId="15" fillId="0" borderId="4" xfId="0" applyFont="1" applyBorder="1"/>
    <xf numFmtId="0" fontId="17" fillId="0" borderId="4" xfId="0" applyFont="1" applyBorder="1"/>
    <xf numFmtId="38" fontId="15" fillId="0" borderId="4" xfId="0" applyNumberFormat="1" applyFont="1" applyFill="1" applyBorder="1" applyAlignment="1">
      <alignment horizontal="right"/>
    </xf>
    <xf numFmtId="164" fontId="17" fillId="0" borderId="13" xfId="0" applyNumberFormat="1" applyFont="1" applyBorder="1"/>
    <xf numFmtId="166" fontId="18" fillId="0" borderId="11" xfId="0" applyNumberFormat="1" applyFont="1" applyBorder="1"/>
    <xf numFmtId="164" fontId="18" fillId="0" borderId="0" xfId="0" applyNumberFormat="1" applyFont="1" applyBorder="1"/>
    <xf numFmtId="0" fontId="19" fillId="0" borderId="0" xfId="0" applyFont="1"/>
    <xf numFmtId="14" fontId="15" fillId="0" borderId="3" xfId="0" applyNumberFormat="1" applyFont="1" applyBorder="1"/>
    <xf numFmtId="20" fontId="15" fillId="0" borderId="4" xfId="0" applyNumberFormat="1" applyFont="1" applyBorder="1"/>
    <xf numFmtId="1" fontId="15" fillId="0" borderId="4" xfId="0" applyNumberFormat="1" applyFont="1" applyBorder="1"/>
    <xf numFmtId="38" fontId="15" fillId="0" borderId="4" xfId="0" applyNumberFormat="1" applyFont="1" applyBorder="1"/>
    <xf numFmtId="164" fontId="17" fillId="0" borderId="6" xfId="0" applyNumberFormat="1" applyFont="1" applyBorder="1"/>
    <xf numFmtId="38" fontId="15" fillId="0" borderId="14" xfId="0" applyNumberFormat="1" applyFont="1" applyBorder="1"/>
    <xf numFmtId="0" fontId="15" fillId="0" borderId="15" xfId="0" applyFont="1" applyBorder="1"/>
    <xf numFmtId="20" fontId="15" fillId="0" borderId="16" xfId="0" applyNumberFormat="1" applyFont="1" applyBorder="1"/>
    <xf numFmtId="1" fontId="15" fillId="0" borderId="16" xfId="0" applyNumberFormat="1" applyFont="1" applyBorder="1"/>
    <xf numFmtId="0" fontId="17" fillId="0" borderId="16" xfId="0" applyFont="1" applyBorder="1"/>
    <xf numFmtId="164" fontId="17" fillId="0" borderId="17" xfId="0" applyNumberFormat="1" applyFont="1" applyBorder="1"/>
    <xf numFmtId="0" fontId="0" fillId="0" borderId="0" xfId="0" applyBorder="1"/>
    <xf numFmtId="1" fontId="20" fillId="0" borderId="9" xfId="0" applyNumberFormat="1" applyFont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164" fontId="17" fillId="3" borderId="18" xfId="0" applyNumberFormat="1" applyFont="1" applyFill="1" applyBorder="1" applyAlignment="1">
      <alignment vertical="center"/>
    </xf>
    <xf numFmtId="166" fontId="18" fillId="0" borderId="11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" fontId="3" fillId="2" borderId="0" xfId="1" applyNumberFormat="1" applyFont="1" applyFill="1" applyBorder="1" applyAlignment="1">
      <alignment horizontal="center" wrapText="1"/>
    </xf>
    <xf numFmtId="14" fontId="3" fillId="2" borderId="19" xfId="1" applyNumberFormat="1" applyFont="1" applyFill="1" applyBorder="1" applyAlignment="1">
      <alignment wrapText="1"/>
    </xf>
    <xf numFmtId="14" fontId="3" fillId="2" borderId="20" xfId="1" applyNumberFormat="1" applyFont="1" applyFill="1" applyBorder="1" applyAlignment="1">
      <alignment horizontal="center" wrapText="1"/>
    </xf>
    <xf numFmtId="1" fontId="1" fillId="0" borderId="21" xfId="3" applyNumberFormat="1" applyFont="1" applyFill="1" applyBorder="1" applyAlignment="1">
      <alignment horizontal="right" wrapText="1"/>
    </xf>
    <xf numFmtId="2" fontId="1" fillId="0" borderId="21" xfId="3" applyNumberFormat="1" applyFont="1" applyFill="1" applyBorder="1" applyAlignment="1">
      <alignment horizontal="right" wrapText="1"/>
    </xf>
    <xf numFmtId="3" fontId="1" fillId="0" borderId="1" xfId="3" applyNumberFormat="1" applyFont="1" applyFill="1" applyBorder="1" applyAlignment="1">
      <alignment horizontal="right" wrapText="1"/>
    </xf>
    <xf numFmtId="3" fontId="1" fillId="0" borderId="21" xfId="3" applyNumberFormat="1" applyFont="1" applyFill="1" applyBorder="1" applyAlignment="1">
      <alignment horizontal="right" wrapText="1"/>
    </xf>
    <xf numFmtId="1" fontId="21" fillId="0" borderId="1" xfId="3" applyNumberFormat="1" applyFont="1" applyFill="1" applyBorder="1" applyAlignment="1">
      <alignment horizontal="right" wrapText="1"/>
    </xf>
    <xf numFmtId="4" fontId="21" fillId="0" borderId="1" xfId="3" applyNumberFormat="1" applyFont="1" applyFill="1" applyBorder="1" applyAlignment="1">
      <alignment horizontal="right" wrapText="1"/>
    </xf>
    <xf numFmtId="14" fontId="22" fillId="2" borderId="20" xfId="1" applyNumberFormat="1" applyFont="1" applyFill="1" applyBorder="1" applyAlignment="1">
      <alignment horizontal="center" wrapText="1"/>
    </xf>
    <xf numFmtId="3" fontId="22" fillId="2" borderId="1" xfId="1" applyNumberFormat="1" applyFont="1" applyFill="1" applyBorder="1" applyAlignment="1">
      <alignment horizontal="center" wrapText="1"/>
    </xf>
    <xf numFmtId="2" fontId="22" fillId="2" borderId="1" xfId="1" applyNumberFormat="1" applyFont="1" applyFill="1" applyBorder="1" applyAlignment="1">
      <alignment horizontal="center" wrapText="1"/>
    </xf>
    <xf numFmtId="4" fontId="22" fillId="2" borderId="1" xfId="1" applyNumberFormat="1" applyFont="1" applyFill="1" applyBorder="1" applyAlignment="1">
      <alignment horizontal="center" wrapText="1"/>
    </xf>
    <xf numFmtId="14" fontId="22" fillId="2" borderId="19" xfId="1" applyNumberFormat="1" applyFont="1" applyFill="1" applyBorder="1" applyAlignment="1">
      <alignment wrapText="1"/>
    </xf>
    <xf numFmtId="3" fontId="23" fillId="0" borderId="1" xfId="3" applyNumberFormat="1" applyFont="1" applyFill="1" applyBorder="1" applyAlignment="1">
      <alignment horizontal="right" wrapText="1"/>
    </xf>
    <xf numFmtId="2" fontId="23" fillId="0" borderId="1" xfId="3" applyNumberFormat="1" applyFont="1" applyFill="1" applyBorder="1" applyAlignment="1">
      <alignment horizontal="right" wrapText="1"/>
    </xf>
    <xf numFmtId="14" fontId="22" fillId="0" borderId="2" xfId="0" applyNumberFormat="1" applyFont="1" applyBorder="1"/>
    <xf numFmtId="14" fontId="22" fillId="0" borderId="1" xfId="0" applyNumberFormat="1" applyFont="1" applyBorder="1"/>
    <xf numFmtId="3" fontId="22" fillId="0" borderId="1" xfId="0" applyNumberFormat="1" applyFont="1" applyBorder="1"/>
    <xf numFmtId="4" fontId="22" fillId="0" borderId="1" xfId="0" applyNumberFormat="1" applyFont="1" applyBorder="1"/>
    <xf numFmtId="14" fontId="23" fillId="0" borderId="1" xfId="3" applyNumberFormat="1" applyFont="1" applyFill="1" applyBorder="1" applyAlignment="1">
      <alignment horizontal="right" wrapText="1"/>
    </xf>
    <xf numFmtId="1" fontId="1" fillId="0" borderId="1" xfId="2" applyNumberFormat="1" applyFont="1" applyFill="1" applyBorder="1" applyAlignment="1">
      <alignment horizontal="right" wrapText="1"/>
    </xf>
    <xf numFmtId="2" fontId="1" fillId="0" borderId="1" xfId="2" applyNumberFormat="1" applyFont="1" applyFill="1" applyBorder="1" applyAlignment="1">
      <alignment horizontal="right" wrapText="1"/>
    </xf>
    <xf numFmtId="0" fontId="24" fillId="0" borderId="0" xfId="0" applyFont="1"/>
    <xf numFmtId="1" fontId="25" fillId="0" borderId="1" xfId="3" applyNumberFormat="1" applyFont="1" applyFill="1" applyBorder="1" applyAlignment="1">
      <alignment horizontal="right" wrapText="1"/>
    </xf>
    <xf numFmtId="0" fontId="26" fillId="0" borderId="0" xfId="0" applyFont="1"/>
    <xf numFmtId="20" fontId="24" fillId="0" borderId="0" xfId="0" applyNumberFormat="1" applyFont="1"/>
    <xf numFmtId="18" fontId="24" fillId="0" borderId="0" xfId="0" applyNumberFormat="1" applyFont="1"/>
    <xf numFmtId="0" fontId="7" fillId="0" borderId="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8" fillId="0" borderId="23" xfId="2" applyFont="1" applyBorder="1" applyAlignment="1" applyProtection="1">
      <alignment horizontal="center" wrapText="1"/>
    </xf>
    <xf numFmtId="0" fontId="8" fillId="0" borderId="22" xfId="2" applyFont="1" applyBorder="1" applyAlignment="1" applyProtection="1">
      <alignment horizontal="center" wrapText="1"/>
    </xf>
    <xf numFmtId="14" fontId="7" fillId="0" borderId="24" xfId="0" applyNumberFormat="1" applyFont="1" applyBorder="1" applyAlignment="1">
      <alignment horizontal="center"/>
    </xf>
    <xf numFmtId="14" fontId="7" fillId="0" borderId="0" xfId="0" applyNumberFormat="1" applyFont="1" applyBorder="1" applyAlignment="1">
      <alignment horizontal="center"/>
    </xf>
    <xf numFmtId="1" fontId="13" fillId="0" borderId="25" xfId="0" applyNumberFormat="1" applyFont="1" applyBorder="1" applyAlignment="1">
      <alignment horizontal="right" vertical="center" wrapText="1"/>
    </xf>
    <xf numFmtId="1" fontId="13" fillId="0" borderId="26" xfId="0" applyNumberFormat="1" applyFont="1" applyBorder="1" applyAlignment="1">
      <alignment horizontal="right" vertical="center" wrapText="1"/>
    </xf>
    <xf numFmtId="1" fontId="13" fillId="0" borderId="27" xfId="0" applyNumberFormat="1" applyFont="1" applyBorder="1" applyAlignment="1">
      <alignment horizontal="right" vertical="center" wrapText="1"/>
    </xf>
  </cellXfs>
  <cellStyles count="4">
    <cellStyle name="Normal" xfId="0" builtinId="0"/>
    <cellStyle name="Normal_Sheet1" xfId="1"/>
    <cellStyle name="Normal_Sheet1_1" xfId="2"/>
    <cellStyle name="Normal_Sheet1_1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7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34" sqref="K34"/>
    </sheetView>
  </sheetViews>
  <sheetFormatPr defaultRowHeight="15" x14ac:dyDescent="0.25"/>
  <cols>
    <col min="1" max="1" width="13.5703125" bestFit="1" customWidth="1"/>
    <col min="2" max="8" width="11.7109375" customWidth="1"/>
    <col min="9" max="9" width="47.5703125" customWidth="1"/>
  </cols>
  <sheetData>
    <row r="1" spans="1:10" s="1" customFormat="1" ht="30" x14ac:dyDescent="0.25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10" s="1" customFormat="1" x14ac:dyDescent="0.25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10" x14ac:dyDescent="0.25">
      <c r="A3" s="28">
        <v>44075</v>
      </c>
      <c r="B3" s="25">
        <v>200</v>
      </c>
      <c r="C3" s="25">
        <v>75</v>
      </c>
      <c r="D3" s="25">
        <v>217</v>
      </c>
      <c r="E3" s="26">
        <v>0</v>
      </c>
      <c r="F3" s="26">
        <v>0</v>
      </c>
      <c r="G3" s="25">
        <v>0</v>
      </c>
      <c r="H3" s="27">
        <v>4034.28</v>
      </c>
      <c r="I3" s="108"/>
      <c r="J3" s="108" t="s">
        <v>123</v>
      </c>
    </row>
    <row r="4" spans="1:10" x14ac:dyDescent="0.25">
      <c r="A4" s="28">
        <v>44076</v>
      </c>
      <c r="B4" s="25">
        <v>219</v>
      </c>
      <c r="C4" s="25">
        <v>50</v>
      </c>
      <c r="D4" s="25">
        <v>200</v>
      </c>
      <c r="E4" s="26">
        <v>0</v>
      </c>
      <c r="F4" s="26">
        <v>0</v>
      </c>
      <c r="G4" s="25">
        <v>0</v>
      </c>
      <c r="H4" s="27">
        <v>4034.3</v>
      </c>
      <c r="I4" s="108" t="s">
        <v>124</v>
      </c>
      <c r="J4" s="108" t="s">
        <v>123</v>
      </c>
    </row>
    <row r="5" spans="1:10" x14ac:dyDescent="0.25">
      <c r="A5" s="28">
        <v>44077</v>
      </c>
      <c r="B5" s="25">
        <v>250</v>
      </c>
      <c r="C5" s="25">
        <v>50</v>
      </c>
      <c r="D5" s="25">
        <v>200</v>
      </c>
      <c r="E5" s="26">
        <v>0</v>
      </c>
      <c r="F5" s="26">
        <v>0</v>
      </c>
      <c r="G5" s="25">
        <v>0</v>
      </c>
      <c r="H5" s="27">
        <v>4034.32</v>
      </c>
      <c r="I5" s="108"/>
      <c r="J5" s="108" t="s">
        <v>123</v>
      </c>
    </row>
    <row r="6" spans="1:10" x14ac:dyDescent="0.25">
      <c r="A6" s="28">
        <v>44078</v>
      </c>
      <c r="B6" s="25">
        <v>242</v>
      </c>
      <c r="C6" s="25">
        <v>50</v>
      </c>
      <c r="D6" s="25">
        <v>181</v>
      </c>
      <c r="E6" s="26">
        <v>0</v>
      </c>
      <c r="F6" s="26">
        <v>0</v>
      </c>
      <c r="G6" s="25">
        <v>0</v>
      </c>
      <c r="H6" s="27">
        <v>4034.33</v>
      </c>
      <c r="I6" s="108" t="s">
        <v>125</v>
      </c>
      <c r="J6" s="108" t="s">
        <v>123</v>
      </c>
    </row>
    <row r="7" spans="1:10" x14ac:dyDescent="0.25">
      <c r="A7" s="28">
        <v>44079</v>
      </c>
      <c r="B7" s="25">
        <v>225</v>
      </c>
      <c r="C7" s="25">
        <v>50</v>
      </c>
      <c r="D7" s="25">
        <v>184</v>
      </c>
      <c r="E7" s="26">
        <v>0</v>
      </c>
      <c r="F7" s="26">
        <v>0</v>
      </c>
      <c r="G7" s="25">
        <v>0</v>
      </c>
      <c r="H7" s="27">
        <v>4034.34</v>
      </c>
      <c r="I7" s="108"/>
      <c r="J7" s="108" t="s">
        <v>123</v>
      </c>
    </row>
    <row r="8" spans="1:10" x14ac:dyDescent="0.25">
      <c r="A8" s="28">
        <v>44080</v>
      </c>
      <c r="B8" s="25">
        <v>225</v>
      </c>
      <c r="C8" s="25">
        <v>50</v>
      </c>
      <c r="D8" s="25">
        <v>168</v>
      </c>
      <c r="E8" s="26">
        <v>0</v>
      </c>
      <c r="F8" s="26">
        <v>0</v>
      </c>
      <c r="G8" s="25">
        <v>0</v>
      </c>
      <c r="H8" s="27">
        <v>4034.34</v>
      </c>
      <c r="I8" s="108"/>
      <c r="J8" s="108" t="s">
        <v>123</v>
      </c>
    </row>
    <row r="9" spans="1:10" x14ac:dyDescent="0.25">
      <c r="A9" s="28">
        <v>44081</v>
      </c>
      <c r="B9" s="25">
        <v>225</v>
      </c>
      <c r="C9" s="25">
        <v>50</v>
      </c>
      <c r="D9" s="25">
        <v>168</v>
      </c>
      <c r="E9" s="26">
        <v>0</v>
      </c>
      <c r="F9" s="26">
        <v>0</v>
      </c>
      <c r="G9" s="25">
        <v>0</v>
      </c>
      <c r="H9" s="27">
        <v>4034.35</v>
      </c>
      <c r="I9" s="108"/>
      <c r="J9" s="108" t="s">
        <v>123</v>
      </c>
    </row>
    <row r="10" spans="1:10" x14ac:dyDescent="0.25">
      <c r="A10" s="28">
        <v>44082</v>
      </c>
      <c r="B10" s="25">
        <v>225</v>
      </c>
      <c r="C10" s="25">
        <v>50</v>
      </c>
      <c r="D10" s="25">
        <v>186</v>
      </c>
      <c r="E10" s="26">
        <v>0</v>
      </c>
      <c r="F10" s="26">
        <v>0</v>
      </c>
      <c r="G10" s="25">
        <v>0</v>
      </c>
      <c r="H10" s="27">
        <v>4034.36</v>
      </c>
      <c r="I10" s="108"/>
      <c r="J10" s="108" t="s">
        <v>123</v>
      </c>
    </row>
    <row r="11" spans="1:10" x14ac:dyDescent="0.25">
      <c r="A11" s="28">
        <v>44083</v>
      </c>
      <c r="B11" s="25">
        <v>225</v>
      </c>
      <c r="C11" s="25">
        <v>50</v>
      </c>
      <c r="D11" s="25">
        <v>172</v>
      </c>
      <c r="E11" s="26">
        <v>0</v>
      </c>
      <c r="F11" s="26">
        <v>0</v>
      </c>
      <c r="G11" s="25">
        <v>0</v>
      </c>
      <c r="H11" s="27">
        <v>4034.36</v>
      </c>
      <c r="I11" s="108"/>
      <c r="J11" s="108" t="s">
        <v>123</v>
      </c>
    </row>
    <row r="12" spans="1:10" x14ac:dyDescent="0.25">
      <c r="A12" s="28">
        <v>44084</v>
      </c>
      <c r="B12" s="25">
        <v>225</v>
      </c>
      <c r="C12" s="25">
        <v>50</v>
      </c>
      <c r="D12" s="25">
        <v>154</v>
      </c>
      <c r="E12" s="26">
        <v>0</v>
      </c>
      <c r="F12" s="26">
        <v>0</v>
      </c>
      <c r="G12" s="25">
        <v>0</v>
      </c>
      <c r="H12" s="27">
        <v>4034.37</v>
      </c>
      <c r="I12" s="108"/>
      <c r="J12" s="108" t="s">
        <v>123</v>
      </c>
    </row>
    <row r="13" spans="1:10" x14ac:dyDescent="0.25">
      <c r="A13" s="28">
        <v>44085</v>
      </c>
      <c r="B13" s="25">
        <v>205</v>
      </c>
      <c r="C13" s="25">
        <v>50</v>
      </c>
      <c r="D13" s="25">
        <v>164</v>
      </c>
      <c r="E13" s="26">
        <v>0</v>
      </c>
      <c r="F13" s="26">
        <v>0</v>
      </c>
      <c r="G13" s="25">
        <v>0</v>
      </c>
      <c r="H13" s="27">
        <v>4034.37</v>
      </c>
      <c r="I13" s="108" t="s">
        <v>127</v>
      </c>
      <c r="J13" s="108" t="s">
        <v>123</v>
      </c>
    </row>
    <row r="14" spans="1:10" x14ac:dyDescent="0.25">
      <c r="A14" s="28">
        <v>44086</v>
      </c>
      <c r="B14" s="25">
        <v>161</v>
      </c>
      <c r="C14" s="25">
        <v>61</v>
      </c>
      <c r="D14" s="25">
        <v>158</v>
      </c>
      <c r="E14" s="26">
        <v>0</v>
      </c>
      <c r="F14" s="26">
        <v>0</v>
      </c>
      <c r="G14" s="25">
        <v>0</v>
      </c>
      <c r="H14" s="27">
        <v>4034.37</v>
      </c>
      <c r="I14" s="108" t="s">
        <v>126</v>
      </c>
      <c r="J14" s="108" t="s">
        <v>123</v>
      </c>
    </row>
    <row r="15" spans="1:10" x14ac:dyDescent="0.25">
      <c r="A15" s="28">
        <v>44087</v>
      </c>
      <c r="B15" s="25">
        <v>131</v>
      </c>
      <c r="C15" s="25">
        <v>55</v>
      </c>
      <c r="D15" s="25">
        <v>166</v>
      </c>
      <c r="E15" s="26">
        <v>0</v>
      </c>
      <c r="F15" s="26">
        <v>0</v>
      </c>
      <c r="G15" s="25">
        <v>0</v>
      </c>
      <c r="H15" s="27">
        <v>4034.38</v>
      </c>
      <c r="I15" s="108" t="s">
        <v>128</v>
      </c>
      <c r="J15" s="108" t="s">
        <v>123</v>
      </c>
    </row>
    <row r="16" spans="1:10" x14ac:dyDescent="0.25">
      <c r="A16" s="28">
        <v>44088</v>
      </c>
      <c r="B16" s="25">
        <v>138</v>
      </c>
      <c r="C16" s="25">
        <v>50</v>
      </c>
      <c r="D16" s="25">
        <v>183</v>
      </c>
      <c r="E16" s="26">
        <v>0</v>
      </c>
      <c r="F16" s="26">
        <v>0</v>
      </c>
      <c r="G16" s="25">
        <v>0</v>
      </c>
      <c r="H16" s="27">
        <v>4034.39</v>
      </c>
      <c r="I16" s="108" t="s">
        <v>129</v>
      </c>
      <c r="J16" s="108" t="s">
        <v>123</v>
      </c>
    </row>
    <row r="17" spans="1:10" x14ac:dyDescent="0.25">
      <c r="A17" s="28">
        <v>44089</v>
      </c>
      <c r="B17" s="25">
        <v>150</v>
      </c>
      <c r="C17" s="25">
        <v>50</v>
      </c>
      <c r="D17" s="25">
        <v>175</v>
      </c>
      <c r="E17" s="26">
        <v>0</v>
      </c>
      <c r="F17" s="26">
        <v>0</v>
      </c>
      <c r="G17" s="25">
        <v>0</v>
      </c>
      <c r="H17" s="27">
        <v>4034.4</v>
      </c>
      <c r="I17" s="108"/>
      <c r="J17" s="108" t="s">
        <v>123</v>
      </c>
    </row>
    <row r="18" spans="1:10" x14ac:dyDescent="0.25">
      <c r="A18" s="28">
        <v>44090</v>
      </c>
      <c r="B18" s="25">
        <v>165</v>
      </c>
      <c r="C18" s="25">
        <v>50</v>
      </c>
      <c r="D18" s="25">
        <v>172</v>
      </c>
      <c r="E18" s="26">
        <v>0</v>
      </c>
      <c r="F18" s="26">
        <v>0</v>
      </c>
      <c r="G18" s="25">
        <v>0</v>
      </c>
      <c r="H18" s="27">
        <v>4034.42</v>
      </c>
      <c r="I18" s="108" t="s">
        <v>130</v>
      </c>
      <c r="J18" s="108" t="s">
        <v>123</v>
      </c>
    </row>
    <row r="19" spans="1:10" x14ac:dyDescent="0.25">
      <c r="A19" s="28">
        <v>44091</v>
      </c>
      <c r="B19" s="25">
        <v>188</v>
      </c>
      <c r="C19" s="25">
        <v>50</v>
      </c>
      <c r="D19" s="25">
        <v>156</v>
      </c>
      <c r="E19" s="26">
        <v>0</v>
      </c>
      <c r="F19" s="26">
        <v>0</v>
      </c>
      <c r="G19" s="25">
        <v>0</v>
      </c>
      <c r="H19" s="27">
        <v>4034.44</v>
      </c>
      <c r="I19" s="108" t="s">
        <v>131</v>
      </c>
      <c r="J19" s="108" t="s">
        <v>123</v>
      </c>
    </row>
    <row r="20" spans="1:10" x14ac:dyDescent="0.25">
      <c r="A20" s="28">
        <v>44092</v>
      </c>
      <c r="B20" s="25">
        <v>194</v>
      </c>
      <c r="C20" s="25">
        <v>50</v>
      </c>
      <c r="D20" s="25">
        <v>140</v>
      </c>
      <c r="E20" s="26">
        <v>0</v>
      </c>
      <c r="F20" s="26">
        <v>0</v>
      </c>
      <c r="G20" s="25">
        <v>0</v>
      </c>
      <c r="H20" s="27">
        <v>4034.46</v>
      </c>
      <c r="I20" s="108" t="s">
        <v>132</v>
      </c>
      <c r="J20" s="108" t="s">
        <v>123</v>
      </c>
    </row>
    <row r="21" spans="1:10" x14ac:dyDescent="0.25">
      <c r="A21" s="28">
        <v>44093</v>
      </c>
      <c r="B21" s="25">
        <v>160</v>
      </c>
      <c r="C21" s="25">
        <v>50</v>
      </c>
      <c r="D21" s="25">
        <v>136</v>
      </c>
      <c r="E21" s="26">
        <v>0</v>
      </c>
      <c r="F21" s="26">
        <v>0</v>
      </c>
      <c r="G21" s="25">
        <v>0</v>
      </c>
      <c r="H21" s="27">
        <v>4034.48</v>
      </c>
      <c r="I21" s="108" t="s">
        <v>133</v>
      </c>
      <c r="J21" s="108" t="s">
        <v>123</v>
      </c>
    </row>
    <row r="22" spans="1:10" x14ac:dyDescent="0.25">
      <c r="A22" s="28">
        <v>44094</v>
      </c>
      <c r="B22" s="25">
        <v>133</v>
      </c>
      <c r="C22" s="25">
        <v>50</v>
      </c>
      <c r="D22" s="25">
        <v>120</v>
      </c>
      <c r="E22" s="26">
        <v>0</v>
      </c>
      <c r="F22" s="26">
        <v>0</v>
      </c>
      <c r="G22" s="25">
        <v>0</v>
      </c>
      <c r="H22" s="27">
        <v>4034.5</v>
      </c>
      <c r="I22" s="108" t="s">
        <v>134</v>
      </c>
      <c r="J22" s="108" t="s">
        <v>123</v>
      </c>
    </row>
    <row r="23" spans="1:10" x14ac:dyDescent="0.25">
      <c r="A23" s="28">
        <v>44095</v>
      </c>
      <c r="B23" s="25">
        <v>94</v>
      </c>
      <c r="C23" s="25">
        <v>67</v>
      </c>
      <c r="D23" s="25">
        <v>119</v>
      </c>
      <c r="E23" s="26">
        <v>0</v>
      </c>
      <c r="F23" s="26">
        <v>0</v>
      </c>
      <c r="G23" s="25">
        <v>0</v>
      </c>
      <c r="H23" s="27">
        <v>4034.52</v>
      </c>
      <c r="I23" s="108" t="s">
        <v>135</v>
      </c>
      <c r="J23" s="108" t="s">
        <v>123</v>
      </c>
    </row>
    <row r="24" spans="1:10" x14ac:dyDescent="0.25">
      <c r="A24" s="28">
        <v>44096</v>
      </c>
      <c r="B24" s="25">
        <v>100</v>
      </c>
      <c r="C24" s="25">
        <v>50</v>
      </c>
      <c r="D24" s="25">
        <v>128</v>
      </c>
      <c r="E24" s="26">
        <v>0</v>
      </c>
      <c r="F24" s="26">
        <v>0</v>
      </c>
      <c r="G24" s="25">
        <v>0</v>
      </c>
      <c r="H24" s="27">
        <v>4034.54</v>
      </c>
      <c r="I24" s="108"/>
      <c r="J24" s="108" t="s">
        <v>123</v>
      </c>
    </row>
    <row r="25" spans="1:10" x14ac:dyDescent="0.25">
      <c r="A25" s="28">
        <v>44097</v>
      </c>
      <c r="B25" s="25">
        <v>95</v>
      </c>
      <c r="C25" s="25">
        <v>50</v>
      </c>
      <c r="D25" s="25">
        <v>114</v>
      </c>
      <c r="E25" s="26">
        <v>0</v>
      </c>
      <c r="F25" s="26">
        <v>0</v>
      </c>
      <c r="G25" s="25">
        <v>0</v>
      </c>
      <c r="H25" s="27">
        <v>4034.56</v>
      </c>
      <c r="I25" s="108" t="s">
        <v>136</v>
      </c>
      <c r="J25" s="108" t="s">
        <v>123</v>
      </c>
    </row>
    <row r="26" spans="1:10" x14ac:dyDescent="0.25">
      <c r="A26" s="28">
        <v>44098</v>
      </c>
      <c r="B26" s="25">
        <v>100</v>
      </c>
      <c r="C26" s="25">
        <v>50</v>
      </c>
      <c r="D26" s="25">
        <v>111</v>
      </c>
      <c r="E26" s="26">
        <v>0</v>
      </c>
      <c r="F26" s="26">
        <v>0</v>
      </c>
      <c r="G26" s="25">
        <v>0</v>
      </c>
      <c r="H26" s="27">
        <v>4034.58</v>
      </c>
      <c r="I26" s="108"/>
      <c r="J26" s="108" t="s">
        <v>123</v>
      </c>
    </row>
    <row r="27" spans="1:10" x14ac:dyDescent="0.25">
      <c r="A27" s="28">
        <v>44099</v>
      </c>
      <c r="B27" s="25">
        <v>100</v>
      </c>
      <c r="C27" s="25">
        <v>50</v>
      </c>
      <c r="D27" s="25">
        <v>96</v>
      </c>
      <c r="E27" s="26">
        <v>0</v>
      </c>
      <c r="F27" s="26">
        <v>0</v>
      </c>
      <c r="G27" s="25">
        <v>0</v>
      </c>
      <c r="H27" s="27">
        <v>4034.59</v>
      </c>
      <c r="I27" s="108"/>
      <c r="J27" s="108" t="s">
        <v>123</v>
      </c>
    </row>
    <row r="28" spans="1:10" x14ac:dyDescent="0.25">
      <c r="A28" s="28">
        <v>44100</v>
      </c>
      <c r="B28" s="25">
        <v>90</v>
      </c>
      <c r="C28" s="25">
        <v>50</v>
      </c>
      <c r="D28" s="25">
        <v>101</v>
      </c>
      <c r="E28" s="26">
        <v>0</v>
      </c>
      <c r="F28" s="26">
        <v>0</v>
      </c>
      <c r="G28" s="25">
        <v>0</v>
      </c>
      <c r="H28" s="27">
        <v>4034.56</v>
      </c>
      <c r="I28" s="108" t="s">
        <v>137</v>
      </c>
      <c r="J28" s="108" t="s">
        <v>123</v>
      </c>
    </row>
    <row r="29" spans="1:10" x14ac:dyDescent="0.25">
      <c r="A29" s="28">
        <v>44101</v>
      </c>
      <c r="B29" s="13">
        <v>75</v>
      </c>
      <c r="C29" s="13">
        <v>50</v>
      </c>
      <c r="D29" s="13">
        <v>93</v>
      </c>
      <c r="E29" s="14">
        <v>0</v>
      </c>
      <c r="F29" s="14">
        <v>0</v>
      </c>
      <c r="G29" s="13">
        <v>0</v>
      </c>
      <c r="H29" s="15">
        <v>4034.53</v>
      </c>
      <c r="I29" s="108"/>
      <c r="J29" s="108" t="s">
        <v>123</v>
      </c>
    </row>
    <row r="30" spans="1:10" x14ac:dyDescent="0.25">
      <c r="A30" s="28">
        <v>44102</v>
      </c>
      <c r="B30" s="13">
        <v>75</v>
      </c>
      <c r="C30" s="13">
        <v>50</v>
      </c>
      <c r="D30" s="13">
        <v>108</v>
      </c>
      <c r="E30" s="14">
        <v>0</v>
      </c>
      <c r="F30" s="14">
        <v>0</v>
      </c>
      <c r="G30" s="13">
        <v>0</v>
      </c>
      <c r="H30" s="15">
        <v>4034.51</v>
      </c>
      <c r="I30" s="108"/>
      <c r="J30" s="108" t="s">
        <v>123</v>
      </c>
    </row>
    <row r="31" spans="1:10" x14ac:dyDescent="0.25">
      <c r="A31" s="28">
        <v>44103</v>
      </c>
      <c r="B31" s="106">
        <v>94</v>
      </c>
      <c r="C31" s="13">
        <v>50</v>
      </c>
      <c r="D31" s="13">
        <v>127</v>
      </c>
      <c r="E31" s="14">
        <v>0</v>
      </c>
      <c r="F31" s="14">
        <v>0</v>
      </c>
      <c r="G31" s="13">
        <v>0</v>
      </c>
      <c r="H31" s="15">
        <v>4034.49</v>
      </c>
      <c r="I31" s="108" t="s">
        <v>138</v>
      </c>
      <c r="J31" s="108" t="s">
        <v>123</v>
      </c>
    </row>
    <row r="32" spans="1:10" ht="15.75" thickBot="1" x14ac:dyDescent="0.3">
      <c r="A32" s="28">
        <v>44104</v>
      </c>
      <c r="B32" s="106">
        <v>125</v>
      </c>
      <c r="C32" s="13">
        <v>50</v>
      </c>
      <c r="D32" s="13">
        <v>131</v>
      </c>
      <c r="E32" s="14">
        <v>0</v>
      </c>
      <c r="F32" s="14">
        <v>0</v>
      </c>
      <c r="G32" s="13">
        <v>0</v>
      </c>
      <c r="H32" s="15">
        <v>4034.47</v>
      </c>
      <c r="I32" s="108"/>
      <c r="J32" s="108" t="s">
        <v>123</v>
      </c>
    </row>
    <row r="33" spans="1:14" s="11" customFormat="1" ht="15.75" thickTop="1" x14ac:dyDescent="0.25">
      <c r="A33" s="16" t="s">
        <v>8</v>
      </c>
      <c r="B33" s="17">
        <f t="shared" ref="B33:G33" si="0">SUM(B3:B32)</f>
        <v>4834</v>
      </c>
      <c r="C33" s="17">
        <f t="shared" si="0"/>
        <v>1558</v>
      </c>
      <c r="D33" s="17">
        <f t="shared" si="0"/>
        <v>4528</v>
      </c>
      <c r="E33" s="18">
        <f t="shared" si="0"/>
        <v>0</v>
      </c>
      <c r="F33" s="18">
        <f t="shared" si="0"/>
        <v>0</v>
      </c>
      <c r="G33" s="17">
        <f t="shared" si="0"/>
        <v>0</v>
      </c>
      <c r="H33" s="18"/>
    </row>
    <row r="34" spans="1:14" s="11" customFormat="1" x14ac:dyDescent="0.25">
      <c r="A34" s="19" t="s">
        <v>9</v>
      </c>
      <c r="B34" s="20">
        <f>SUM(B33+'Aug 2020'!B35)</f>
        <v>28283</v>
      </c>
      <c r="C34" s="20">
        <f>SUM(C33+'Aug 2020'!C35)</f>
        <v>7395</v>
      </c>
      <c r="D34" s="20">
        <f>SUM(D33+'Aug 2020'!D35)</f>
        <v>34365</v>
      </c>
      <c r="E34" s="21">
        <f>SUM(E33+'Aug 2020'!E35)</f>
        <v>5.53</v>
      </c>
      <c r="F34" s="21">
        <f>SUM(F33+'Aug 2020'!F35)</f>
        <v>14.6</v>
      </c>
      <c r="G34" s="20">
        <f>SUM(G33+'Aug 2020'!G35)</f>
        <v>14754</v>
      </c>
      <c r="H34" s="21"/>
    </row>
    <row r="36" spans="1:14" x14ac:dyDescent="0.25">
      <c r="A36" t="s">
        <v>10</v>
      </c>
      <c r="B36" s="23">
        <f>SUM(B3:B32)*1.9835</f>
        <v>9588.2389999999996</v>
      </c>
      <c r="C36" s="23">
        <f>SUM(C3:C32)*1.9835</f>
        <v>3090.2930000000001</v>
      </c>
      <c r="D36" s="23">
        <f>SUM(D3:D32)*1.9835</f>
        <v>8981.2880000000005</v>
      </c>
      <c r="E36" s="23"/>
      <c r="F36" s="23"/>
      <c r="G36" s="23"/>
    </row>
    <row r="37" spans="1:14" x14ac:dyDescent="0.25">
      <c r="B37" s="23"/>
      <c r="C37" s="23"/>
      <c r="D37" s="24"/>
      <c r="E37" s="23"/>
      <c r="F37" s="23"/>
      <c r="G37" s="23"/>
    </row>
    <row r="38" spans="1:14" x14ac:dyDescent="0.25">
      <c r="A38" t="s">
        <v>24</v>
      </c>
      <c r="B38" s="23">
        <f>SUM(B36+'Aug 2020'!B39)</f>
        <v>60359.888500000001</v>
      </c>
      <c r="C38" s="23">
        <f>SUM(C36+'Aug 2020'!C39)</f>
        <v>16677.268000000004</v>
      </c>
      <c r="D38" s="23">
        <f>SUM(D36+'Aug 2020'!D39)</f>
        <v>75745.898000000001</v>
      </c>
      <c r="E38" s="23"/>
      <c r="F38" s="23"/>
      <c r="G38" s="23"/>
    </row>
    <row r="40" spans="1:14" ht="17.45" customHeight="1" x14ac:dyDescent="0.25">
      <c r="A40" s="113"/>
      <c r="B40" s="113"/>
      <c r="C40" s="113"/>
      <c r="D40" s="113"/>
      <c r="E40" s="113"/>
      <c r="F40" s="114"/>
      <c r="G40" s="115" t="s">
        <v>12</v>
      </c>
      <c r="H40" s="116"/>
      <c r="I40" s="30"/>
      <c r="J40" s="30"/>
      <c r="K40" s="30"/>
      <c r="L40" s="30"/>
      <c r="M40" s="31"/>
      <c r="N40" s="30"/>
    </row>
    <row r="41" spans="1:14" ht="16.899999999999999" customHeight="1" x14ac:dyDescent="0.25">
      <c r="A41" s="29"/>
      <c r="B41" s="29"/>
      <c r="C41" s="29"/>
      <c r="D41" s="29"/>
      <c r="E41" s="29"/>
      <c r="F41" s="29"/>
      <c r="G41" s="115"/>
      <c r="H41" s="116"/>
      <c r="I41" s="30"/>
      <c r="J41" s="30"/>
      <c r="K41" s="30"/>
      <c r="L41" s="30"/>
      <c r="M41" s="31"/>
      <c r="N41" s="30"/>
    </row>
    <row r="42" spans="1:14" ht="13.9" customHeight="1" thickBot="1" x14ac:dyDescent="0.3">
      <c r="A42" s="117" t="s">
        <v>23</v>
      </c>
      <c r="B42" s="117"/>
      <c r="C42" s="117"/>
      <c r="D42" s="117"/>
      <c r="E42" s="117"/>
      <c r="F42" s="117"/>
      <c r="G42" s="117"/>
      <c r="H42" s="117"/>
      <c r="I42" s="118"/>
      <c r="J42" s="32"/>
      <c r="K42" s="32"/>
      <c r="L42" s="32"/>
      <c r="M42" s="33"/>
      <c r="N42" s="34"/>
    </row>
    <row r="43" spans="1:14" ht="15.6" customHeight="1" x14ac:dyDescent="0.25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3"/>
    </row>
    <row r="44" spans="1:14" x14ac:dyDescent="0.25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3"/>
    </row>
    <row r="45" spans="1:14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ht="13.15" customHeight="1" x14ac:dyDescent="0.25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3"/>
      <c r="N49" s="34"/>
    </row>
    <row r="50" spans="1:14" ht="15.75" thickBot="1" x14ac:dyDescent="0.3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3"/>
      <c r="N50" s="34"/>
    </row>
    <row r="51" spans="1:14" ht="26.25" x14ac:dyDescent="0.2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</row>
    <row r="52" spans="1:14" ht="15.75" x14ac:dyDescent="0.25">
      <c r="A52" s="58"/>
      <c r="B52" s="59"/>
      <c r="C52" s="60"/>
      <c r="D52" s="61"/>
      <c r="E52" s="62"/>
      <c r="F52" s="63">
        <f>SUM(C52/24*D52)</f>
        <v>0</v>
      </c>
      <c r="G52" s="64"/>
      <c r="H52" s="65"/>
      <c r="I52" s="66"/>
    </row>
    <row r="53" spans="1:14" x14ac:dyDescent="0.25">
      <c r="A53" s="67"/>
      <c r="B53" s="68"/>
      <c r="C53" s="69"/>
      <c r="D53" s="61"/>
      <c r="E53" s="70"/>
      <c r="F53" s="71">
        <f>SUM(C53/24*D53)</f>
        <v>0</v>
      </c>
      <c r="G53" s="64"/>
      <c r="H53" s="65"/>
    </row>
    <row r="54" spans="1:14" x14ac:dyDescent="0.25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4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ht="15.75" thickBot="1" x14ac:dyDescent="0.3">
      <c r="A56" s="73"/>
      <c r="B56" s="74"/>
      <c r="C56" s="75"/>
      <c r="D56" s="76"/>
      <c r="E56" s="75"/>
      <c r="F56" s="77">
        <f>SUM(C56/24*D56)</f>
        <v>0</v>
      </c>
      <c r="G56" s="64"/>
      <c r="H56" s="65"/>
      <c r="I56" s="78"/>
    </row>
    <row r="57" spans="1:14" s="84" customFormat="1" ht="30" customHeight="1" x14ac:dyDescent="0.25">
      <c r="A57" s="119" t="s">
        <v>21</v>
      </c>
      <c r="B57" s="120"/>
      <c r="C57" s="121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I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5" outlineLevelRow="2" x14ac:dyDescent="0.25"/>
  <cols>
    <col min="1" max="1" width="13.5703125" bestFit="1" customWidth="1"/>
    <col min="2" max="8" width="11.7109375" customWidth="1"/>
    <col min="9" max="9" width="37.5703125" customWidth="1"/>
  </cols>
  <sheetData>
    <row r="1" spans="1:10" s="1" customFormat="1" ht="30" x14ac:dyDescent="0.25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10" s="1" customFormat="1" x14ac:dyDescent="0.25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10" outlineLevel="1" x14ac:dyDescent="0.25">
      <c r="A3" s="12">
        <v>44044</v>
      </c>
      <c r="B3" s="25">
        <v>175</v>
      </c>
      <c r="C3" s="25">
        <v>0</v>
      </c>
      <c r="D3" s="25">
        <v>194</v>
      </c>
      <c r="E3" s="26">
        <v>0</v>
      </c>
      <c r="F3" s="26">
        <v>0</v>
      </c>
      <c r="G3" s="25">
        <v>0</v>
      </c>
      <c r="H3" s="27">
        <v>4034.18</v>
      </c>
      <c r="I3" s="108"/>
    </row>
    <row r="4" spans="1:10" outlineLevel="2" x14ac:dyDescent="0.25">
      <c r="A4" s="12">
        <v>44045</v>
      </c>
      <c r="B4" s="25">
        <v>167</v>
      </c>
      <c r="C4" s="25">
        <v>0</v>
      </c>
      <c r="D4" s="25">
        <v>159</v>
      </c>
      <c r="E4" s="26">
        <v>0</v>
      </c>
      <c r="F4" s="26">
        <v>0</v>
      </c>
      <c r="G4" s="25">
        <v>0</v>
      </c>
      <c r="H4" s="27">
        <v>4034.17</v>
      </c>
      <c r="I4" s="108" t="s">
        <v>112</v>
      </c>
    </row>
    <row r="5" spans="1:10" outlineLevel="2" x14ac:dyDescent="0.25">
      <c r="A5" s="12">
        <v>44046</v>
      </c>
      <c r="B5" s="25">
        <v>150</v>
      </c>
      <c r="C5" s="25">
        <v>0</v>
      </c>
      <c r="D5" s="25">
        <v>160</v>
      </c>
      <c r="E5" s="26">
        <v>0</v>
      </c>
      <c r="F5" s="26">
        <v>0</v>
      </c>
      <c r="G5" s="25">
        <v>0</v>
      </c>
      <c r="H5" s="27">
        <v>4034.17</v>
      </c>
      <c r="I5" s="108"/>
    </row>
    <row r="6" spans="1:10" outlineLevel="2" x14ac:dyDescent="0.25">
      <c r="A6" s="12">
        <v>44047</v>
      </c>
      <c r="B6" s="25">
        <v>150</v>
      </c>
      <c r="C6" s="25">
        <v>0</v>
      </c>
      <c r="D6" s="25">
        <v>153</v>
      </c>
      <c r="E6" s="26">
        <v>0</v>
      </c>
      <c r="F6" s="26">
        <v>0</v>
      </c>
      <c r="G6" s="25">
        <v>0</v>
      </c>
      <c r="H6" s="27">
        <v>4034.16</v>
      </c>
      <c r="I6" s="108"/>
    </row>
    <row r="7" spans="1:10" outlineLevel="2" x14ac:dyDescent="0.25">
      <c r="A7" s="12">
        <v>44048</v>
      </c>
      <c r="B7" s="25">
        <v>150</v>
      </c>
      <c r="C7" s="25">
        <v>0</v>
      </c>
      <c r="D7" s="25">
        <v>166</v>
      </c>
      <c r="E7" s="26">
        <v>0</v>
      </c>
      <c r="F7" s="26">
        <v>0</v>
      </c>
      <c r="G7" s="25">
        <v>0</v>
      </c>
      <c r="H7" s="27">
        <v>4034.15</v>
      </c>
      <c r="I7" s="108"/>
    </row>
    <row r="8" spans="1:10" outlineLevel="2" x14ac:dyDescent="0.25">
      <c r="A8" s="12">
        <v>44049</v>
      </c>
      <c r="B8" s="25">
        <v>150</v>
      </c>
      <c r="C8" s="25">
        <v>0</v>
      </c>
      <c r="D8" s="25">
        <v>181</v>
      </c>
      <c r="E8" s="26">
        <v>0</v>
      </c>
      <c r="F8" s="26">
        <v>0</v>
      </c>
      <c r="G8" s="25">
        <v>0</v>
      </c>
      <c r="H8" s="27">
        <v>4034.14</v>
      </c>
      <c r="I8" s="108"/>
    </row>
    <row r="9" spans="1:10" outlineLevel="2" x14ac:dyDescent="0.25">
      <c r="A9" s="12">
        <v>44050</v>
      </c>
      <c r="B9" s="25">
        <v>150</v>
      </c>
      <c r="C9" s="25">
        <v>0</v>
      </c>
      <c r="D9" s="25">
        <v>166</v>
      </c>
      <c r="E9" s="26">
        <v>0</v>
      </c>
      <c r="F9" s="26">
        <v>0</v>
      </c>
      <c r="G9" s="25">
        <v>0</v>
      </c>
      <c r="H9" s="27">
        <v>4034.13</v>
      </c>
      <c r="I9" s="108"/>
    </row>
    <row r="10" spans="1:10" outlineLevel="2" x14ac:dyDescent="0.25">
      <c r="A10" s="12">
        <v>44051</v>
      </c>
      <c r="B10" s="25">
        <v>150</v>
      </c>
      <c r="C10" s="25">
        <v>0</v>
      </c>
      <c r="D10" s="25">
        <v>164</v>
      </c>
      <c r="E10" s="26">
        <v>0</v>
      </c>
      <c r="F10" s="26">
        <v>0</v>
      </c>
      <c r="G10" s="25">
        <v>0</v>
      </c>
      <c r="H10" s="27">
        <v>4034.11</v>
      </c>
      <c r="I10" s="108"/>
    </row>
    <row r="11" spans="1:10" outlineLevel="2" x14ac:dyDescent="0.25">
      <c r="A11" s="12">
        <v>44052</v>
      </c>
      <c r="B11" s="25">
        <v>117</v>
      </c>
      <c r="C11" s="25">
        <v>0</v>
      </c>
      <c r="D11" s="25">
        <v>138</v>
      </c>
      <c r="E11" s="26">
        <v>0</v>
      </c>
      <c r="F11" s="26">
        <v>0</v>
      </c>
      <c r="G11" s="25">
        <v>0</v>
      </c>
      <c r="H11" s="27">
        <v>4034.09</v>
      </c>
      <c r="I11" s="108" t="s">
        <v>113</v>
      </c>
    </row>
    <row r="12" spans="1:10" outlineLevel="2" x14ac:dyDescent="0.25">
      <c r="A12" s="12">
        <v>44053</v>
      </c>
      <c r="B12" s="25">
        <v>109</v>
      </c>
      <c r="C12" s="25">
        <v>0</v>
      </c>
      <c r="D12" s="25">
        <v>134</v>
      </c>
      <c r="E12" s="26">
        <v>0</v>
      </c>
      <c r="F12" s="26">
        <v>0</v>
      </c>
      <c r="G12" s="25">
        <v>0</v>
      </c>
      <c r="H12" s="27">
        <v>4034.08</v>
      </c>
      <c r="I12" s="108" t="s">
        <v>114</v>
      </c>
    </row>
    <row r="13" spans="1:10" outlineLevel="2" x14ac:dyDescent="0.25">
      <c r="A13" s="12">
        <v>44054</v>
      </c>
      <c r="B13" s="25">
        <v>183</v>
      </c>
      <c r="C13" s="25">
        <v>0</v>
      </c>
      <c r="D13" s="25">
        <v>131</v>
      </c>
      <c r="E13" s="26">
        <v>0</v>
      </c>
      <c r="F13" s="26">
        <v>0</v>
      </c>
      <c r="G13" s="25">
        <v>0</v>
      </c>
      <c r="H13" s="27">
        <v>4034.06</v>
      </c>
      <c r="I13" s="108" t="s">
        <v>115</v>
      </c>
      <c r="J13" s="108" t="s">
        <v>120</v>
      </c>
    </row>
    <row r="14" spans="1:10" outlineLevel="2" x14ac:dyDescent="0.25">
      <c r="A14" s="12">
        <v>44055</v>
      </c>
      <c r="B14" s="25">
        <v>225</v>
      </c>
      <c r="C14" s="25">
        <v>58</v>
      </c>
      <c r="D14" s="25">
        <v>123</v>
      </c>
      <c r="E14" s="26">
        <v>0</v>
      </c>
      <c r="F14" s="26">
        <v>0</v>
      </c>
      <c r="G14" s="25">
        <v>0</v>
      </c>
      <c r="H14" s="27">
        <v>4034.04</v>
      </c>
      <c r="I14" s="108"/>
      <c r="J14" s="108" t="s">
        <v>119</v>
      </c>
    </row>
    <row r="15" spans="1:10" outlineLevel="2" x14ac:dyDescent="0.25">
      <c r="A15" s="12">
        <v>44056</v>
      </c>
      <c r="B15" s="25">
        <v>225</v>
      </c>
      <c r="C15" s="25">
        <v>100</v>
      </c>
      <c r="D15" s="25">
        <v>107</v>
      </c>
      <c r="E15" s="26">
        <v>0</v>
      </c>
      <c r="F15" s="26">
        <v>0</v>
      </c>
      <c r="G15" s="25">
        <v>0</v>
      </c>
      <c r="H15" s="27">
        <v>4034.03</v>
      </c>
      <c r="I15" s="108"/>
      <c r="J15" s="108" t="s">
        <v>119</v>
      </c>
    </row>
    <row r="16" spans="1:10" outlineLevel="2" x14ac:dyDescent="0.25">
      <c r="A16" s="12">
        <v>44057</v>
      </c>
      <c r="B16" s="25">
        <v>234</v>
      </c>
      <c r="C16" s="25">
        <v>100</v>
      </c>
      <c r="D16" s="25">
        <v>115</v>
      </c>
      <c r="E16" s="26">
        <v>0</v>
      </c>
      <c r="F16" s="26">
        <v>0</v>
      </c>
      <c r="G16" s="25">
        <v>0</v>
      </c>
      <c r="H16" s="27">
        <v>4034.02</v>
      </c>
      <c r="I16" s="108" t="s">
        <v>116</v>
      </c>
      <c r="J16" s="108" t="s">
        <v>119</v>
      </c>
    </row>
    <row r="17" spans="1:10" outlineLevel="2" x14ac:dyDescent="0.25">
      <c r="A17" s="12">
        <v>44058</v>
      </c>
      <c r="B17" s="25">
        <v>238</v>
      </c>
      <c r="C17" s="25">
        <v>100</v>
      </c>
      <c r="D17" s="25">
        <v>123</v>
      </c>
      <c r="E17" s="26">
        <v>0</v>
      </c>
      <c r="F17" s="26">
        <v>0</v>
      </c>
      <c r="G17" s="25">
        <v>0</v>
      </c>
      <c r="H17" s="27">
        <v>4034.01</v>
      </c>
      <c r="I17" s="108" t="s">
        <v>117</v>
      </c>
      <c r="J17" s="108" t="s">
        <v>119</v>
      </c>
    </row>
    <row r="18" spans="1:10" outlineLevel="2" x14ac:dyDescent="0.25">
      <c r="A18" s="12">
        <v>44059</v>
      </c>
      <c r="B18" s="25">
        <v>225</v>
      </c>
      <c r="C18" s="25">
        <v>100</v>
      </c>
      <c r="D18" s="25">
        <v>127</v>
      </c>
      <c r="E18" s="26" t="s">
        <v>47</v>
      </c>
      <c r="F18" s="26">
        <v>0</v>
      </c>
      <c r="G18" s="25">
        <v>0</v>
      </c>
      <c r="H18" s="27">
        <v>4034</v>
      </c>
      <c r="I18" s="108"/>
      <c r="J18" s="108" t="s">
        <v>119</v>
      </c>
    </row>
    <row r="19" spans="1:10" outlineLevel="2" x14ac:dyDescent="0.25">
      <c r="A19" s="12">
        <v>44060</v>
      </c>
      <c r="B19" s="25">
        <v>225</v>
      </c>
      <c r="C19" s="25">
        <v>100</v>
      </c>
      <c r="D19" s="25">
        <v>173</v>
      </c>
      <c r="E19" s="26">
        <v>0</v>
      </c>
      <c r="F19" s="26">
        <v>0</v>
      </c>
      <c r="G19" s="25">
        <v>0</v>
      </c>
      <c r="H19" s="27">
        <v>4034</v>
      </c>
      <c r="I19" s="108"/>
      <c r="J19" s="108" t="s">
        <v>119</v>
      </c>
    </row>
    <row r="20" spans="1:10" outlineLevel="2" x14ac:dyDescent="0.25">
      <c r="A20" s="12">
        <v>44061</v>
      </c>
      <c r="B20" s="25">
        <v>225</v>
      </c>
      <c r="C20" s="25">
        <v>100</v>
      </c>
      <c r="D20" s="25">
        <v>191</v>
      </c>
      <c r="E20" s="26">
        <v>0</v>
      </c>
      <c r="F20" s="26">
        <v>0</v>
      </c>
      <c r="G20" s="25">
        <v>0</v>
      </c>
      <c r="H20" s="27">
        <v>4034.01</v>
      </c>
      <c r="I20" s="108"/>
      <c r="J20" s="108" t="s">
        <v>119</v>
      </c>
    </row>
    <row r="21" spans="1:10" outlineLevel="2" x14ac:dyDescent="0.25">
      <c r="A21" s="12">
        <v>44062</v>
      </c>
      <c r="B21" s="25">
        <v>225</v>
      </c>
      <c r="C21" s="25">
        <v>100</v>
      </c>
      <c r="D21" s="25">
        <v>217</v>
      </c>
      <c r="E21" s="26">
        <v>0</v>
      </c>
      <c r="F21" s="26">
        <v>0</v>
      </c>
      <c r="G21" s="25">
        <v>0</v>
      </c>
      <c r="H21" s="27">
        <v>4034.02</v>
      </c>
      <c r="I21" s="108"/>
      <c r="J21" s="108" t="s">
        <v>119</v>
      </c>
    </row>
    <row r="22" spans="1:10" outlineLevel="2" x14ac:dyDescent="0.25">
      <c r="A22" s="12">
        <v>44063</v>
      </c>
      <c r="B22" s="25">
        <v>225</v>
      </c>
      <c r="C22" s="25">
        <v>100</v>
      </c>
      <c r="D22" s="25">
        <v>227</v>
      </c>
      <c r="E22" s="26">
        <v>0</v>
      </c>
      <c r="F22" s="26">
        <v>0</v>
      </c>
      <c r="G22" s="25">
        <v>0</v>
      </c>
      <c r="H22" s="27">
        <v>4034.04</v>
      </c>
      <c r="I22" s="108"/>
      <c r="J22" s="108" t="s">
        <v>119</v>
      </c>
    </row>
    <row r="23" spans="1:10" outlineLevel="2" x14ac:dyDescent="0.25">
      <c r="A23" s="12">
        <v>44064</v>
      </c>
      <c r="B23" s="25">
        <v>225</v>
      </c>
      <c r="C23" s="25">
        <v>100</v>
      </c>
      <c r="D23" s="25">
        <v>243</v>
      </c>
      <c r="E23" s="26">
        <v>0</v>
      </c>
      <c r="F23" s="26">
        <v>0</v>
      </c>
      <c r="G23" s="25">
        <v>0</v>
      </c>
      <c r="H23" s="27">
        <v>4034.06</v>
      </c>
      <c r="I23" s="108"/>
      <c r="J23" s="108" t="s">
        <v>119</v>
      </c>
    </row>
    <row r="24" spans="1:10" outlineLevel="2" x14ac:dyDescent="0.25">
      <c r="A24" s="12">
        <v>44065</v>
      </c>
      <c r="B24" s="25">
        <v>240</v>
      </c>
      <c r="C24" s="25">
        <v>100</v>
      </c>
      <c r="D24" s="25">
        <v>226</v>
      </c>
      <c r="E24" s="26">
        <v>0</v>
      </c>
      <c r="F24" s="26">
        <v>0</v>
      </c>
      <c r="G24" s="25">
        <v>0</v>
      </c>
      <c r="H24" s="27">
        <v>4034.08</v>
      </c>
      <c r="I24" s="108" t="s">
        <v>118</v>
      </c>
      <c r="J24" s="108" t="s">
        <v>119</v>
      </c>
    </row>
    <row r="25" spans="1:10" outlineLevel="2" x14ac:dyDescent="0.25">
      <c r="A25" s="12">
        <v>44066</v>
      </c>
      <c r="B25" s="25">
        <v>250</v>
      </c>
      <c r="C25" s="25">
        <v>100</v>
      </c>
      <c r="D25" s="25">
        <v>195</v>
      </c>
      <c r="E25" s="26">
        <v>0</v>
      </c>
      <c r="F25" s="26">
        <v>0</v>
      </c>
      <c r="G25" s="25">
        <v>0</v>
      </c>
      <c r="H25" s="27">
        <v>4034.1</v>
      </c>
      <c r="I25" s="108"/>
      <c r="J25" s="108" t="s">
        <v>119</v>
      </c>
    </row>
    <row r="26" spans="1:10" outlineLevel="2" x14ac:dyDescent="0.25">
      <c r="A26" s="12">
        <v>44067</v>
      </c>
      <c r="B26" s="25">
        <v>250</v>
      </c>
      <c r="C26" s="25">
        <v>100</v>
      </c>
      <c r="D26" s="25">
        <v>167</v>
      </c>
      <c r="E26" s="26">
        <v>0</v>
      </c>
      <c r="F26" s="26">
        <v>0</v>
      </c>
      <c r="G26" s="25">
        <v>0</v>
      </c>
      <c r="H26" s="27">
        <v>4034.12</v>
      </c>
      <c r="I26" s="108"/>
      <c r="J26" s="108" t="s">
        <v>119</v>
      </c>
    </row>
    <row r="27" spans="1:10" outlineLevel="2" x14ac:dyDescent="0.25">
      <c r="A27" s="12">
        <v>44068</v>
      </c>
      <c r="B27" s="25">
        <v>250</v>
      </c>
      <c r="C27" s="25">
        <v>100</v>
      </c>
      <c r="D27" s="25">
        <v>182</v>
      </c>
      <c r="E27" s="26">
        <v>0</v>
      </c>
      <c r="F27" s="26">
        <v>0</v>
      </c>
      <c r="G27" s="25">
        <v>0</v>
      </c>
      <c r="H27" s="27">
        <v>4034.14</v>
      </c>
      <c r="I27" s="108"/>
      <c r="J27" s="108" t="s">
        <v>119</v>
      </c>
    </row>
    <row r="28" spans="1:10" outlineLevel="2" x14ac:dyDescent="0.25">
      <c r="A28" s="12">
        <v>44069</v>
      </c>
      <c r="B28" s="25">
        <v>250</v>
      </c>
      <c r="C28" s="25">
        <v>100</v>
      </c>
      <c r="D28" s="25">
        <v>210</v>
      </c>
      <c r="E28" s="26" t="s">
        <v>47</v>
      </c>
      <c r="F28" s="26">
        <v>0</v>
      </c>
      <c r="G28" s="25">
        <v>0</v>
      </c>
      <c r="H28" s="27">
        <v>4034.16</v>
      </c>
      <c r="I28" s="108"/>
      <c r="J28" s="108" t="s">
        <v>119</v>
      </c>
    </row>
    <row r="29" spans="1:10" outlineLevel="2" x14ac:dyDescent="0.25">
      <c r="A29" s="12">
        <v>44070</v>
      </c>
      <c r="B29" s="25">
        <v>250</v>
      </c>
      <c r="C29" s="25">
        <v>100</v>
      </c>
      <c r="D29" s="25">
        <v>214</v>
      </c>
      <c r="E29" s="26">
        <v>0</v>
      </c>
      <c r="F29" s="26">
        <v>0</v>
      </c>
      <c r="G29" s="25">
        <v>0</v>
      </c>
      <c r="H29" s="27">
        <v>4034.18</v>
      </c>
      <c r="I29" s="108"/>
      <c r="J29" s="108" t="s">
        <v>119</v>
      </c>
    </row>
    <row r="30" spans="1:10" outlineLevel="2" x14ac:dyDescent="0.25">
      <c r="A30" s="12">
        <v>44071</v>
      </c>
      <c r="B30" s="25">
        <v>250</v>
      </c>
      <c r="C30" s="25">
        <v>100</v>
      </c>
      <c r="D30" s="25">
        <v>223</v>
      </c>
      <c r="E30" s="26">
        <v>0</v>
      </c>
      <c r="F30" s="26">
        <v>0</v>
      </c>
      <c r="G30" s="25">
        <v>0</v>
      </c>
      <c r="H30" s="27">
        <v>4034.2</v>
      </c>
      <c r="I30" s="108"/>
      <c r="J30" s="108" t="s">
        <v>119</v>
      </c>
    </row>
    <row r="31" spans="1:10" outlineLevel="2" x14ac:dyDescent="0.25">
      <c r="A31" s="12">
        <v>44072</v>
      </c>
      <c r="B31" s="25">
        <v>250</v>
      </c>
      <c r="C31" s="25">
        <v>100</v>
      </c>
      <c r="D31" s="25">
        <v>213</v>
      </c>
      <c r="E31" s="26">
        <v>0</v>
      </c>
      <c r="F31" s="26">
        <v>0</v>
      </c>
      <c r="G31" s="25">
        <v>0</v>
      </c>
      <c r="H31" s="27">
        <v>4034.22</v>
      </c>
      <c r="I31" s="108"/>
      <c r="J31" s="108" t="s">
        <v>119</v>
      </c>
    </row>
    <row r="32" spans="1:10" outlineLevel="2" x14ac:dyDescent="0.25">
      <c r="A32" s="12">
        <v>44073</v>
      </c>
      <c r="B32" s="25">
        <v>250</v>
      </c>
      <c r="C32" s="25">
        <v>100</v>
      </c>
      <c r="D32" s="25">
        <v>190</v>
      </c>
      <c r="E32" s="26">
        <v>0</v>
      </c>
      <c r="F32" s="26">
        <v>0</v>
      </c>
      <c r="G32" s="25">
        <v>0</v>
      </c>
      <c r="H32" s="27">
        <v>4034.24</v>
      </c>
      <c r="I32" s="108"/>
      <c r="J32" s="108" t="s">
        <v>119</v>
      </c>
    </row>
    <row r="33" spans="1:14" ht="15.75" outlineLevel="2" thickBot="1" x14ac:dyDescent="0.3">
      <c r="A33" s="12">
        <v>44074</v>
      </c>
      <c r="B33" s="25">
        <v>225</v>
      </c>
      <c r="C33" s="25">
        <v>100</v>
      </c>
      <c r="D33" s="25">
        <v>206</v>
      </c>
      <c r="E33" s="26">
        <v>0</v>
      </c>
      <c r="F33" s="26">
        <v>0</v>
      </c>
      <c r="G33" s="25">
        <v>0</v>
      </c>
      <c r="H33" s="27">
        <v>4034.26</v>
      </c>
      <c r="I33" s="108" t="s">
        <v>122</v>
      </c>
      <c r="J33" s="108" t="s">
        <v>121</v>
      </c>
    </row>
    <row r="34" spans="1:14" s="11" customFormat="1" ht="15.75" outlineLevel="1" thickTop="1" x14ac:dyDescent="0.25">
      <c r="A34" s="16" t="s">
        <v>8</v>
      </c>
      <c r="B34" s="17">
        <f t="shared" ref="B34:G34" si="0">SUM(B3:B33)</f>
        <v>6388</v>
      </c>
      <c r="C34" s="17">
        <f t="shared" si="0"/>
        <v>1958</v>
      </c>
      <c r="D34" s="17">
        <f t="shared" si="0"/>
        <v>5418</v>
      </c>
      <c r="E34" s="18">
        <f t="shared" si="0"/>
        <v>0</v>
      </c>
      <c r="F34" s="18">
        <f t="shared" si="0"/>
        <v>0</v>
      </c>
      <c r="G34" s="17">
        <f t="shared" si="0"/>
        <v>0</v>
      </c>
      <c r="H34" s="18"/>
    </row>
    <row r="35" spans="1:14" s="11" customFormat="1" outlineLevel="1" x14ac:dyDescent="0.25">
      <c r="A35" s="19" t="s">
        <v>9</v>
      </c>
      <c r="B35" s="20">
        <f>SUM(B34+'Jul 2020'!B35)</f>
        <v>23449</v>
      </c>
      <c r="C35" s="20">
        <f>SUM(C34+'Jul 2020'!C35)</f>
        <v>5837</v>
      </c>
      <c r="D35" s="20">
        <f>SUM(D34+'Jul 2020'!D35)</f>
        <v>29837</v>
      </c>
      <c r="E35" s="21">
        <f>SUM(E34+'Jul 2020'!E35)</f>
        <v>5.53</v>
      </c>
      <c r="F35" s="21">
        <f>SUM(F34+'Jul 2020'!F35)</f>
        <v>14.6</v>
      </c>
      <c r="G35" s="20">
        <f>SUM(G34+'Jul 2020'!G35)</f>
        <v>14754</v>
      </c>
      <c r="H35" s="21"/>
    </row>
    <row r="36" spans="1:14" outlineLevel="1" x14ac:dyDescent="0.25"/>
    <row r="37" spans="1:14" x14ac:dyDescent="0.25">
      <c r="A37" t="s">
        <v>10</v>
      </c>
      <c r="B37" s="23">
        <f>SUM(B3:B33)*1.9835</f>
        <v>12670.598</v>
      </c>
      <c r="C37" s="23">
        <f>SUM(C3:C33)*1.9835</f>
        <v>3883.6930000000002</v>
      </c>
      <c r="D37" s="23">
        <f>SUM(D3:D33)*1.9835</f>
        <v>10746.603000000001</v>
      </c>
      <c r="E37" s="23"/>
      <c r="F37" s="23"/>
      <c r="G37" s="23"/>
    </row>
    <row r="38" spans="1:14" x14ac:dyDescent="0.25">
      <c r="B38" s="23"/>
      <c r="C38" s="23"/>
      <c r="D38" s="24"/>
      <c r="E38" s="23"/>
      <c r="F38" s="23"/>
      <c r="G38" s="23"/>
    </row>
    <row r="39" spans="1:14" x14ac:dyDescent="0.25">
      <c r="A39" t="s">
        <v>24</v>
      </c>
      <c r="B39" s="23">
        <f>SUM(B37+'Jul 2020'!B39)</f>
        <v>50771.6495</v>
      </c>
      <c r="C39" s="23">
        <f>SUM(C37+'Jul 2020'!C39)</f>
        <v>13586.975000000002</v>
      </c>
      <c r="D39" s="23">
        <f>SUM(D37+'Jul 2020'!D39)</f>
        <v>66764.61</v>
      </c>
      <c r="E39" s="23"/>
      <c r="F39" s="23"/>
      <c r="G39" s="23"/>
    </row>
    <row r="41" spans="1:14" ht="17.45" customHeight="1" x14ac:dyDescent="0.25">
      <c r="A41" s="113"/>
      <c r="B41" s="113"/>
      <c r="C41" s="113"/>
      <c r="D41" s="113"/>
      <c r="E41" s="113"/>
      <c r="F41" s="114"/>
      <c r="G41" s="115" t="s">
        <v>12</v>
      </c>
      <c r="H41" s="116"/>
      <c r="I41" s="30"/>
      <c r="J41" s="30"/>
      <c r="K41" s="30"/>
      <c r="L41" s="30"/>
      <c r="M41" s="31"/>
      <c r="N41" s="30"/>
    </row>
    <row r="42" spans="1:14" ht="16.899999999999999" customHeight="1" x14ac:dyDescent="0.25">
      <c r="A42" s="29"/>
      <c r="B42" s="29"/>
      <c r="C42" s="29"/>
      <c r="D42" s="29"/>
      <c r="E42" s="29"/>
      <c r="F42" s="29"/>
      <c r="G42" s="115"/>
      <c r="H42" s="116"/>
      <c r="I42" s="30"/>
      <c r="J42" s="30"/>
      <c r="K42" s="30"/>
      <c r="L42" s="30"/>
      <c r="M42" s="31"/>
      <c r="N42" s="30"/>
    </row>
    <row r="43" spans="1:14" ht="13.9" customHeight="1" thickBot="1" x14ac:dyDescent="0.3">
      <c r="A43" s="117" t="s">
        <v>23</v>
      </c>
      <c r="B43" s="117"/>
      <c r="C43" s="117"/>
      <c r="D43" s="117"/>
      <c r="E43" s="117"/>
      <c r="F43" s="117"/>
      <c r="G43" s="117"/>
      <c r="H43" s="117"/>
      <c r="I43" s="118"/>
      <c r="J43" s="32"/>
      <c r="K43" s="32"/>
      <c r="L43" s="32"/>
      <c r="M43" s="33"/>
      <c r="N43" s="34"/>
    </row>
    <row r="44" spans="1:14" ht="15.6" customHeight="1" x14ac:dyDescent="0.25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3"/>
    </row>
    <row r="45" spans="1:14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x14ac:dyDescent="0.25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3"/>
    </row>
    <row r="50" spans="1:14" ht="13.15" customHeight="1" x14ac:dyDescent="0.25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3"/>
      <c r="N50" s="34"/>
    </row>
    <row r="51" spans="1:14" ht="15.75" thickBot="1" x14ac:dyDescent="0.3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3"/>
      <c r="N51" s="34"/>
    </row>
    <row r="52" spans="1:14" ht="26.25" x14ac:dyDescent="0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</row>
    <row r="53" spans="1:14" ht="15.75" outlineLevel="1" x14ac:dyDescent="0.25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66"/>
    </row>
    <row r="54" spans="1:14" outlineLevel="1" x14ac:dyDescent="0.25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4" outlineLevel="1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outlineLevel="1" x14ac:dyDescent="0.25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4" ht="15.75" outlineLevel="1" thickBot="1" x14ac:dyDescent="0.3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</row>
    <row r="58" spans="1:14" s="84" customFormat="1" ht="30" customHeight="1" x14ac:dyDescent="0.25">
      <c r="A58" s="119" t="s">
        <v>21</v>
      </c>
      <c r="B58" s="120"/>
      <c r="C58" s="121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I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5" x14ac:dyDescent="0.25"/>
  <cols>
    <col min="1" max="1" width="13.5703125" bestFit="1" customWidth="1"/>
    <col min="2" max="8" width="11.7109375" customWidth="1"/>
    <col min="9" max="9" width="30" customWidth="1"/>
  </cols>
  <sheetData>
    <row r="1" spans="1:9" s="1" customFormat="1" ht="30" x14ac:dyDescent="0.25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25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25">
      <c r="A3" s="28">
        <v>44013</v>
      </c>
      <c r="B3" s="25">
        <v>180</v>
      </c>
      <c r="C3" s="25">
        <v>0</v>
      </c>
      <c r="D3" s="25">
        <v>207</v>
      </c>
      <c r="E3" s="26">
        <v>0</v>
      </c>
      <c r="F3" s="26">
        <v>0</v>
      </c>
      <c r="G3" s="25">
        <v>0</v>
      </c>
      <c r="H3" s="27">
        <v>4034.44</v>
      </c>
      <c r="I3" s="112" t="s">
        <v>97</v>
      </c>
    </row>
    <row r="4" spans="1:9" x14ac:dyDescent="0.25">
      <c r="A4" s="28">
        <v>44014</v>
      </c>
      <c r="B4" s="25">
        <v>185</v>
      </c>
      <c r="C4" s="25">
        <v>0</v>
      </c>
      <c r="D4" s="25">
        <v>157</v>
      </c>
      <c r="E4" s="26">
        <v>0</v>
      </c>
      <c r="F4" s="26">
        <v>0</v>
      </c>
      <c r="G4" s="25">
        <v>0</v>
      </c>
      <c r="H4" s="27">
        <v>4034.42</v>
      </c>
      <c r="I4" s="108" t="s">
        <v>98</v>
      </c>
    </row>
    <row r="5" spans="1:9" x14ac:dyDescent="0.25">
      <c r="A5" s="28">
        <v>44015</v>
      </c>
      <c r="B5" s="25">
        <v>163</v>
      </c>
      <c r="C5" s="25">
        <v>0</v>
      </c>
      <c r="D5" s="25">
        <v>135</v>
      </c>
      <c r="E5" s="26">
        <v>0</v>
      </c>
      <c r="F5" s="26">
        <v>0</v>
      </c>
      <c r="G5" s="25">
        <v>0</v>
      </c>
      <c r="H5" s="27">
        <v>4034.42</v>
      </c>
      <c r="I5" s="108" t="s">
        <v>99</v>
      </c>
    </row>
    <row r="6" spans="1:9" x14ac:dyDescent="0.25">
      <c r="A6" s="28">
        <v>44016</v>
      </c>
      <c r="B6" s="25">
        <v>90</v>
      </c>
      <c r="C6" s="25">
        <v>0</v>
      </c>
      <c r="D6" s="25">
        <v>99</v>
      </c>
      <c r="E6" s="26">
        <v>0</v>
      </c>
      <c r="F6" s="26">
        <v>0</v>
      </c>
      <c r="G6" s="25">
        <v>0</v>
      </c>
      <c r="H6" s="27">
        <v>4034.4</v>
      </c>
      <c r="I6" s="108" t="s">
        <v>100</v>
      </c>
    </row>
    <row r="7" spans="1:9" x14ac:dyDescent="0.25">
      <c r="A7" s="28">
        <v>44017</v>
      </c>
      <c r="B7" s="25">
        <v>94</v>
      </c>
      <c r="C7" s="25">
        <v>0</v>
      </c>
      <c r="D7" s="25">
        <v>105</v>
      </c>
      <c r="E7" s="26">
        <v>0</v>
      </c>
      <c r="F7" s="26">
        <v>0</v>
      </c>
      <c r="G7" s="25">
        <v>0</v>
      </c>
      <c r="H7" s="27">
        <v>4034.4</v>
      </c>
      <c r="I7" s="108" t="s">
        <v>101</v>
      </c>
    </row>
    <row r="8" spans="1:9" x14ac:dyDescent="0.25">
      <c r="A8" s="28">
        <v>44018</v>
      </c>
      <c r="B8" s="25">
        <v>125</v>
      </c>
      <c r="C8" s="25">
        <v>0</v>
      </c>
      <c r="D8" s="25">
        <v>138</v>
      </c>
      <c r="E8" s="26">
        <v>0</v>
      </c>
      <c r="F8" s="26">
        <v>0</v>
      </c>
      <c r="G8" s="25">
        <v>0</v>
      </c>
      <c r="H8" s="27">
        <v>4034.39</v>
      </c>
      <c r="I8" s="108"/>
    </row>
    <row r="9" spans="1:9" x14ac:dyDescent="0.25">
      <c r="A9" s="28">
        <v>44019</v>
      </c>
      <c r="B9" s="25">
        <v>116</v>
      </c>
      <c r="C9" s="25">
        <v>0</v>
      </c>
      <c r="D9" s="25">
        <v>126</v>
      </c>
      <c r="E9" s="26">
        <v>0</v>
      </c>
      <c r="F9" s="26">
        <v>0</v>
      </c>
      <c r="G9" s="25">
        <v>0</v>
      </c>
      <c r="H9" s="27">
        <v>4034.37</v>
      </c>
      <c r="I9" s="108" t="s">
        <v>102</v>
      </c>
    </row>
    <row r="10" spans="1:9" x14ac:dyDescent="0.25">
      <c r="A10" s="28">
        <v>44020</v>
      </c>
      <c r="B10" s="25">
        <v>100</v>
      </c>
      <c r="C10" s="25">
        <v>0</v>
      </c>
      <c r="D10" s="25">
        <v>117</v>
      </c>
      <c r="E10" s="26">
        <v>0</v>
      </c>
      <c r="F10" s="26">
        <v>0</v>
      </c>
      <c r="G10" s="25">
        <v>0</v>
      </c>
      <c r="H10" s="27">
        <v>4034.34</v>
      </c>
      <c r="I10" s="108"/>
    </row>
    <row r="11" spans="1:9" x14ac:dyDescent="0.25">
      <c r="A11" s="28">
        <v>44021</v>
      </c>
      <c r="B11" s="25">
        <v>125</v>
      </c>
      <c r="C11" s="25">
        <v>0</v>
      </c>
      <c r="D11" s="25">
        <v>106</v>
      </c>
      <c r="E11" s="26">
        <v>0</v>
      </c>
      <c r="F11" s="26">
        <v>0</v>
      </c>
      <c r="G11" s="25">
        <v>0</v>
      </c>
      <c r="H11" s="27">
        <v>4034.34</v>
      </c>
      <c r="I11" s="108" t="s">
        <v>103</v>
      </c>
    </row>
    <row r="12" spans="1:9" x14ac:dyDescent="0.25">
      <c r="A12" s="28">
        <v>44022</v>
      </c>
      <c r="B12" s="25">
        <v>150</v>
      </c>
      <c r="C12" s="25">
        <v>0</v>
      </c>
      <c r="D12" s="25">
        <v>146</v>
      </c>
      <c r="E12" s="26">
        <v>0</v>
      </c>
      <c r="F12" s="26">
        <v>0</v>
      </c>
      <c r="G12" s="25">
        <v>0</v>
      </c>
      <c r="H12" s="27">
        <v>4034.34</v>
      </c>
      <c r="I12" s="108"/>
    </row>
    <row r="13" spans="1:9" x14ac:dyDescent="0.25">
      <c r="A13" s="28">
        <v>44023</v>
      </c>
      <c r="B13" s="25">
        <v>131</v>
      </c>
      <c r="C13" s="25">
        <v>0</v>
      </c>
      <c r="D13" s="25">
        <v>135</v>
      </c>
      <c r="E13" s="26">
        <v>0</v>
      </c>
      <c r="F13" s="26">
        <v>0</v>
      </c>
      <c r="G13" s="25">
        <v>0</v>
      </c>
      <c r="H13" s="27">
        <v>4034.34</v>
      </c>
      <c r="I13" s="108" t="s">
        <v>104</v>
      </c>
    </row>
    <row r="14" spans="1:9" x14ac:dyDescent="0.25">
      <c r="A14" s="28">
        <v>44024</v>
      </c>
      <c r="B14" s="25">
        <v>100</v>
      </c>
      <c r="C14" s="25">
        <v>0</v>
      </c>
      <c r="D14" s="25">
        <v>106</v>
      </c>
      <c r="E14" s="26">
        <v>0</v>
      </c>
      <c r="F14" s="26">
        <v>0</v>
      </c>
      <c r="G14" s="25">
        <v>0</v>
      </c>
      <c r="H14" s="27">
        <v>4034.34</v>
      </c>
      <c r="I14" s="108"/>
    </row>
    <row r="15" spans="1:9" x14ac:dyDescent="0.25">
      <c r="A15" s="28">
        <v>44025</v>
      </c>
      <c r="B15" s="25">
        <v>100</v>
      </c>
      <c r="C15" s="25">
        <v>0</v>
      </c>
      <c r="D15" s="25">
        <v>80</v>
      </c>
      <c r="E15" s="26">
        <v>0</v>
      </c>
      <c r="F15" s="26">
        <v>0</v>
      </c>
      <c r="G15" s="25">
        <v>0</v>
      </c>
      <c r="H15" s="27">
        <v>4034.32</v>
      </c>
      <c r="I15" s="108"/>
    </row>
    <row r="16" spans="1:9" x14ac:dyDescent="0.25">
      <c r="A16" s="28">
        <v>44026</v>
      </c>
      <c r="B16" s="25">
        <v>100</v>
      </c>
      <c r="C16" s="25">
        <v>0</v>
      </c>
      <c r="D16" s="25">
        <v>119</v>
      </c>
      <c r="E16" s="26">
        <v>0</v>
      </c>
      <c r="F16" s="26">
        <v>0</v>
      </c>
      <c r="G16" s="25">
        <v>0</v>
      </c>
      <c r="H16" s="27">
        <v>4034.3</v>
      </c>
      <c r="I16" s="108"/>
    </row>
    <row r="17" spans="1:9" x14ac:dyDescent="0.25">
      <c r="A17" s="28">
        <v>44027</v>
      </c>
      <c r="B17" s="25">
        <v>100</v>
      </c>
      <c r="C17" s="25">
        <v>0</v>
      </c>
      <c r="D17" s="25">
        <v>130</v>
      </c>
      <c r="E17" s="26">
        <v>0</v>
      </c>
      <c r="F17" s="26">
        <v>0</v>
      </c>
      <c r="G17" s="25">
        <v>0</v>
      </c>
      <c r="H17" s="27">
        <v>4034.28</v>
      </c>
      <c r="I17" s="108"/>
    </row>
    <row r="18" spans="1:9" x14ac:dyDescent="0.25">
      <c r="A18" s="28">
        <v>44028</v>
      </c>
      <c r="B18" s="25">
        <v>100</v>
      </c>
      <c r="C18" s="25">
        <v>0</v>
      </c>
      <c r="D18" s="25">
        <v>133</v>
      </c>
      <c r="E18" s="26">
        <v>0</v>
      </c>
      <c r="F18" s="26">
        <v>0</v>
      </c>
      <c r="G18" s="25">
        <v>0</v>
      </c>
      <c r="H18" s="27">
        <v>4034.28</v>
      </c>
      <c r="I18" s="108"/>
    </row>
    <row r="19" spans="1:9" x14ac:dyDescent="0.25">
      <c r="A19" s="28">
        <v>44029</v>
      </c>
      <c r="B19" s="25">
        <v>107</v>
      </c>
      <c r="C19" s="25">
        <v>0</v>
      </c>
      <c r="D19" s="25">
        <v>148</v>
      </c>
      <c r="E19" s="26">
        <v>0</v>
      </c>
      <c r="F19" s="26">
        <v>0</v>
      </c>
      <c r="G19" s="25">
        <v>0</v>
      </c>
      <c r="H19" s="27">
        <v>4034.3</v>
      </c>
      <c r="I19" s="108" t="s">
        <v>105</v>
      </c>
    </row>
    <row r="20" spans="1:9" x14ac:dyDescent="0.25">
      <c r="A20" s="28">
        <v>44030</v>
      </c>
      <c r="B20" s="25">
        <v>125</v>
      </c>
      <c r="C20" s="25">
        <v>0</v>
      </c>
      <c r="D20" s="25">
        <v>140</v>
      </c>
      <c r="E20" s="26">
        <v>0</v>
      </c>
      <c r="F20" s="26">
        <v>0</v>
      </c>
      <c r="G20" s="25">
        <v>0</v>
      </c>
      <c r="H20" s="27">
        <v>4034.3</v>
      </c>
      <c r="I20" s="108"/>
    </row>
    <row r="21" spans="1:9" x14ac:dyDescent="0.25">
      <c r="A21" s="28">
        <v>44031</v>
      </c>
      <c r="B21" s="25">
        <v>125</v>
      </c>
      <c r="C21" s="25">
        <v>0</v>
      </c>
      <c r="D21" s="25">
        <v>120</v>
      </c>
      <c r="E21" s="26">
        <v>0</v>
      </c>
      <c r="F21" s="26">
        <v>0</v>
      </c>
      <c r="G21" s="25">
        <v>0</v>
      </c>
      <c r="H21" s="27">
        <v>4034.28</v>
      </c>
      <c r="I21" s="108"/>
    </row>
    <row r="22" spans="1:9" x14ac:dyDescent="0.25">
      <c r="A22" s="28">
        <v>44032</v>
      </c>
      <c r="B22" s="25">
        <v>113</v>
      </c>
      <c r="C22" s="25">
        <v>0</v>
      </c>
      <c r="D22" s="25">
        <v>145</v>
      </c>
      <c r="E22" s="26">
        <v>0</v>
      </c>
      <c r="F22" s="26">
        <v>0</v>
      </c>
      <c r="G22" s="25">
        <v>0</v>
      </c>
      <c r="H22" s="27">
        <v>4034.27</v>
      </c>
      <c r="I22" s="108" t="s">
        <v>106</v>
      </c>
    </row>
    <row r="23" spans="1:9" x14ac:dyDescent="0.25">
      <c r="A23" s="28">
        <v>44033</v>
      </c>
      <c r="B23" s="25">
        <v>118</v>
      </c>
      <c r="C23" s="25">
        <v>0</v>
      </c>
      <c r="D23" s="25">
        <v>189</v>
      </c>
      <c r="E23" s="26">
        <v>0</v>
      </c>
      <c r="F23" s="26">
        <v>0</v>
      </c>
      <c r="G23" s="25">
        <v>0</v>
      </c>
      <c r="H23" s="27">
        <v>4034.26</v>
      </c>
      <c r="I23" s="108" t="s">
        <v>107</v>
      </c>
    </row>
    <row r="24" spans="1:9" x14ac:dyDescent="0.25">
      <c r="A24" s="28">
        <v>44034</v>
      </c>
      <c r="B24" s="25">
        <v>169</v>
      </c>
      <c r="C24" s="25">
        <v>0</v>
      </c>
      <c r="D24" s="25">
        <v>222</v>
      </c>
      <c r="E24" s="26">
        <v>0</v>
      </c>
      <c r="F24" s="26">
        <v>0</v>
      </c>
      <c r="G24" s="25">
        <v>0</v>
      </c>
      <c r="H24" s="27">
        <v>4034.25</v>
      </c>
      <c r="I24" s="108" t="s">
        <v>108</v>
      </c>
    </row>
    <row r="25" spans="1:9" x14ac:dyDescent="0.25">
      <c r="A25" s="28">
        <v>44035</v>
      </c>
      <c r="B25" s="25">
        <v>200</v>
      </c>
      <c r="C25" s="25">
        <v>0</v>
      </c>
      <c r="D25" s="25">
        <v>234</v>
      </c>
      <c r="E25" s="26">
        <v>0</v>
      </c>
      <c r="F25" s="26">
        <v>0</v>
      </c>
      <c r="G25" s="25">
        <v>0</v>
      </c>
      <c r="H25" s="27">
        <v>4034.25</v>
      </c>
      <c r="I25" s="108"/>
    </row>
    <row r="26" spans="1:9" x14ac:dyDescent="0.25">
      <c r="A26" s="28">
        <v>44036</v>
      </c>
      <c r="B26" s="25">
        <v>200</v>
      </c>
      <c r="C26" s="25">
        <v>0</v>
      </c>
      <c r="D26" s="25">
        <v>217</v>
      </c>
      <c r="E26" s="26">
        <v>0</v>
      </c>
      <c r="F26" s="26">
        <v>0</v>
      </c>
      <c r="G26" s="25">
        <v>0</v>
      </c>
      <c r="H26" s="27">
        <v>4034.24</v>
      </c>
      <c r="I26" s="108"/>
    </row>
    <row r="27" spans="1:9" x14ac:dyDescent="0.25">
      <c r="A27" s="28">
        <v>44037</v>
      </c>
      <c r="B27" s="25">
        <v>200</v>
      </c>
      <c r="C27" s="25">
        <v>0</v>
      </c>
      <c r="D27" s="25">
        <v>235</v>
      </c>
      <c r="E27" s="26">
        <v>0</v>
      </c>
      <c r="F27" s="26">
        <v>0</v>
      </c>
      <c r="G27" s="25">
        <v>0</v>
      </c>
      <c r="H27" s="27">
        <v>4034.24</v>
      </c>
      <c r="I27" s="108"/>
    </row>
    <row r="28" spans="1:9" x14ac:dyDescent="0.25">
      <c r="A28" s="28">
        <v>44038</v>
      </c>
      <c r="B28" s="25">
        <v>191</v>
      </c>
      <c r="C28" s="25">
        <v>0</v>
      </c>
      <c r="D28" s="25">
        <v>248</v>
      </c>
      <c r="E28" s="26">
        <v>0</v>
      </c>
      <c r="F28" s="26">
        <v>0</v>
      </c>
      <c r="G28" s="25">
        <v>0</v>
      </c>
      <c r="H28" s="27">
        <v>4034.23</v>
      </c>
      <c r="I28" s="108" t="s">
        <v>109</v>
      </c>
    </row>
    <row r="29" spans="1:9" x14ac:dyDescent="0.25">
      <c r="A29" s="28">
        <v>44039</v>
      </c>
      <c r="B29" s="25">
        <v>204</v>
      </c>
      <c r="C29" s="25">
        <v>0</v>
      </c>
      <c r="D29" s="25">
        <v>232</v>
      </c>
      <c r="E29" s="26">
        <v>0</v>
      </c>
      <c r="F29" s="26">
        <v>0</v>
      </c>
      <c r="G29" s="25">
        <v>0</v>
      </c>
      <c r="H29" s="27">
        <v>4034.23</v>
      </c>
      <c r="I29" s="108" t="s">
        <v>110</v>
      </c>
    </row>
    <row r="30" spans="1:9" x14ac:dyDescent="0.25">
      <c r="A30" s="28">
        <v>44040</v>
      </c>
      <c r="B30" s="25">
        <v>250</v>
      </c>
      <c r="C30" s="25">
        <v>0</v>
      </c>
      <c r="D30" s="25">
        <v>212</v>
      </c>
      <c r="E30" s="26">
        <v>0</v>
      </c>
      <c r="F30" s="26">
        <v>0</v>
      </c>
      <c r="G30" s="25">
        <v>0</v>
      </c>
      <c r="H30" s="27">
        <v>4034.2</v>
      </c>
      <c r="I30" s="108"/>
    </row>
    <row r="31" spans="1:9" x14ac:dyDescent="0.25">
      <c r="A31" s="28">
        <v>44041</v>
      </c>
      <c r="B31" s="25">
        <v>222</v>
      </c>
      <c r="C31" s="25">
        <v>0</v>
      </c>
      <c r="D31" s="25">
        <v>188</v>
      </c>
      <c r="E31" s="26">
        <v>0</v>
      </c>
      <c r="F31" s="26">
        <v>0</v>
      </c>
      <c r="G31" s="25">
        <v>0</v>
      </c>
      <c r="H31" s="27">
        <v>4034.2</v>
      </c>
      <c r="I31" s="108" t="s">
        <v>111</v>
      </c>
    </row>
    <row r="32" spans="1:9" x14ac:dyDescent="0.25">
      <c r="A32" s="28">
        <v>44042</v>
      </c>
      <c r="B32" s="25">
        <v>175</v>
      </c>
      <c r="C32" s="25">
        <v>0</v>
      </c>
      <c r="D32" s="25">
        <v>178</v>
      </c>
      <c r="E32" s="26">
        <v>0</v>
      </c>
      <c r="F32" s="26">
        <v>0</v>
      </c>
      <c r="G32" s="25">
        <v>0</v>
      </c>
      <c r="H32" s="27">
        <v>4034.2</v>
      </c>
      <c r="I32" s="108"/>
    </row>
    <row r="33" spans="1:14" ht="15.75" thickBot="1" x14ac:dyDescent="0.3">
      <c r="A33" s="28">
        <v>44043</v>
      </c>
      <c r="B33" s="25">
        <v>175</v>
      </c>
      <c r="C33" s="25">
        <v>0</v>
      </c>
      <c r="D33" s="25">
        <v>197</v>
      </c>
      <c r="E33" s="26">
        <v>0</v>
      </c>
      <c r="F33" s="26">
        <v>0</v>
      </c>
      <c r="G33" s="25">
        <v>0</v>
      </c>
      <c r="H33" s="27">
        <v>4034.2</v>
      </c>
      <c r="I33" s="108"/>
    </row>
    <row r="34" spans="1:14" s="11" customFormat="1" ht="15.75" thickTop="1" x14ac:dyDescent="0.25">
      <c r="A34" s="16" t="s">
        <v>8</v>
      </c>
      <c r="B34" s="17">
        <f t="shared" ref="B34:G34" si="0">SUM(B3:B33)</f>
        <v>4533</v>
      </c>
      <c r="C34" s="17">
        <f t="shared" si="0"/>
        <v>0</v>
      </c>
      <c r="D34" s="17">
        <f t="shared" si="0"/>
        <v>4944</v>
      </c>
      <c r="E34" s="18">
        <f t="shared" si="0"/>
        <v>0</v>
      </c>
      <c r="F34" s="18">
        <f t="shared" si="0"/>
        <v>0</v>
      </c>
      <c r="G34" s="17">
        <f t="shared" si="0"/>
        <v>0</v>
      </c>
      <c r="H34" s="18"/>
    </row>
    <row r="35" spans="1:14" s="11" customFormat="1" x14ac:dyDescent="0.25">
      <c r="A35" s="19" t="s">
        <v>9</v>
      </c>
      <c r="B35" s="20">
        <f>SUM(B34+'Jun 2020'!B34)</f>
        <v>17061</v>
      </c>
      <c r="C35" s="20">
        <f>SUM(C34+'Jun 2020'!C34)</f>
        <v>3879</v>
      </c>
      <c r="D35" s="20">
        <f>SUM(D34+'Jun 2020'!D34)</f>
        <v>24419</v>
      </c>
      <c r="E35" s="21">
        <f>SUM(E34+'Jun 2020'!E34)</f>
        <v>5.53</v>
      </c>
      <c r="F35" s="21">
        <f>SUM(F34+'Jun 2020'!F34)</f>
        <v>14.6</v>
      </c>
      <c r="G35" s="20">
        <f>SUM(G34+'Jun 2020'!G34)</f>
        <v>14754</v>
      </c>
      <c r="H35" s="21"/>
    </row>
    <row r="37" spans="1:14" x14ac:dyDescent="0.25">
      <c r="A37" t="s">
        <v>10</v>
      </c>
      <c r="B37" s="23">
        <f>SUM(B3:B33)*1.9835</f>
        <v>8991.2055</v>
      </c>
      <c r="C37" s="23">
        <f>SUM(C3:C33)*1.9835</f>
        <v>0</v>
      </c>
      <c r="D37" s="23">
        <f>SUM(D3:D33)*1.9835</f>
        <v>9806.4240000000009</v>
      </c>
      <c r="E37" s="23"/>
      <c r="F37" s="23"/>
      <c r="G37" s="23"/>
    </row>
    <row r="38" spans="1:14" x14ac:dyDescent="0.25">
      <c r="B38" s="23"/>
      <c r="C38" s="23"/>
      <c r="D38" s="24"/>
      <c r="E38" s="23"/>
      <c r="F38" s="23"/>
      <c r="G38" s="23"/>
    </row>
    <row r="39" spans="1:14" x14ac:dyDescent="0.25">
      <c r="A39" t="s">
        <v>24</v>
      </c>
      <c r="B39" s="23">
        <f>SUM(B37+'Jun 2020'!B38)</f>
        <v>38101.051500000001</v>
      </c>
      <c r="C39" s="23">
        <f>SUM(C37+'Jun 2020'!C38)</f>
        <v>9703.2820000000011</v>
      </c>
      <c r="D39" s="23">
        <f>SUM(D37+'Jun 2020'!D38)</f>
        <v>56018.006999999998</v>
      </c>
      <c r="E39" s="23"/>
      <c r="F39" s="23"/>
      <c r="G39" s="23"/>
    </row>
    <row r="41" spans="1:14" ht="17.45" customHeight="1" x14ac:dyDescent="0.25">
      <c r="A41" s="113"/>
      <c r="B41" s="113"/>
      <c r="C41" s="113"/>
      <c r="D41" s="113"/>
      <c r="E41" s="113"/>
      <c r="F41" s="114"/>
      <c r="G41" s="115" t="s">
        <v>12</v>
      </c>
      <c r="H41" s="116"/>
      <c r="I41" s="30"/>
      <c r="J41" s="30"/>
      <c r="K41" s="30"/>
      <c r="L41" s="30"/>
      <c r="M41" s="31"/>
      <c r="N41" s="30"/>
    </row>
    <row r="42" spans="1:14" ht="16.899999999999999" customHeight="1" x14ac:dyDescent="0.25">
      <c r="A42" s="29"/>
      <c r="B42" s="29"/>
      <c r="C42" s="29"/>
      <c r="D42" s="29"/>
      <c r="E42" s="29"/>
      <c r="F42" s="29"/>
      <c r="G42" s="115"/>
      <c r="H42" s="116"/>
      <c r="I42" s="30"/>
      <c r="J42" s="30"/>
      <c r="K42" s="30"/>
      <c r="L42" s="30"/>
      <c r="M42" s="31"/>
      <c r="N42" s="30"/>
    </row>
    <row r="43" spans="1:14" ht="13.9" customHeight="1" thickBot="1" x14ac:dyDescent="0.3">
      <c r="A43" s="117" t="s">
        <v>23</v>
      </c>
      <c r="B43" s="117"/>
      <c r="C43" s="117"/>
      <c r="D43" s="117"/>
      <c r="E43" s="117"/>
      <c r="F43" s="117"/>
      <c r="G43" s="117"/>
      <c r="H43" s="117"/>
      <c r="I43" s="118"/>
      <c r="J43" s="32"/>
      <c r="K43" s="32"/>
      <c r="L43" s="32"/>
      <c r="M43" s="33"/>
      <c r="N43" s="34"/>
    </row>
    <row r="44" spans="1:14" ht="15.6" customHeight="1" x14ac:dyDescent="0.25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3"/>
    </row>
    <row r="45" spans="1:14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x14ac:dyDescent="0.25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3"/>
    </row>
    <row r="50" spans="1:14" ht="13.15" customHeight="1" x14ac:dyDescent="0.25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3"/>
      <c r="N50" s="34"/>
    </row>
    <row r="51" spans="1:14" ht="15.75" thickBot="1" x14ac:dyDescent="0.3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3"/>
      <c r="N51" s="34"/>
    </row>
    <row r="52" spans="1:14" ht="26.25" x14ac:dyDescent="0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</row>
    <row r="53" spans="1:14" ht="15.75" x14ac:dyDescent="0.25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66"/>
    </row>
    <row r="54" spans="1:14" x14ac:dyDescent="0.25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4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x14ac:dyDescent="0.25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4" ht="15.75" thickBot="1" x14ac:dyDescent="0.3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</row>
    <row r="58" spans="1:14" s="84" customFormat="1" ht="30" customHeight="1" x14ac:dyDescent="0.25">
      <c r="A58" s="119" t="s">
        <v>21</v>
      </c>
      <c r="B58" s="120"/>
      <c r="C58" s="121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I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2" sqref="H32"/>
    </sheetView>
  </sheetViews>
  <sheetFormatPr defaultRowHeight="15" x14ac:dyDescent="0.25"/>
  <cols>
    <col min="1" max="1" width="13.5703125" bestFit="1" customWidth="1"/>
    <col min="2" max="8" width="11.7109375" customWidth="1"/>
    <col min="9" max="9" width="32.140625" bestFit="1" customWidth="1"/>
  </cols>
  <sheetData>
    <row r="1" spans="1:9" s="1" customFormat="1" ht="30" x14ac:dyDescent="0.25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25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25">
      <c r="A3" s="28">
        <v>43983</v>
      </c>
      <c r="B3" s="25">
        <v>0</v>
      </c>
      <c r="C3" s="25">
        <v>0</v>
      </c>
      <c r="D3" s="25">
        <v>64</v>
      </c>
      <c r="E3" s="26">
        <v>0</v>
      </c>
      <c r="F3" s="26">
        <v>0</v>
      </c>
      <c r="G3" s="25">
        <v>0</v>
      </c>
      <c r="H3" s="27">
        <v>4034.86</v>
      </c>
      <c r="I3" s="108"/>
    </row>
    <row r="4" spans="1:9" x14ac:dyDescent="0.25">
      <c r="A4" s="28">
        <v>43984</v>
      </c>
      <c r="B4" s="25">
        <v>0</v>
      </c>
      <c r="C4" s="25">
        <v>0</v>
      </c>
      <c r="D4" s="25">
        <v>110</v>
      </c>
      <c r="E4" s="26">
        <v>0</v>
      </c>
      <c r="F4" s="26">
        <v>0</v>
      </c>
      <c r="G4" s="25">
        <v>0</v>
      </c>
      <c r="H4" s="27">
        <v>4034.86</v>
      </c>
      <c r="I4" s="108"/>
    </row>
    <row r="5" spans="1:9" x14ac:dyDescent="0.25">
      <c r="A5" s="28">
        <v>43985</v>
      </c>
      <c r="B5" s="25">
        <v>0</v>
      </c>
      <c r="C5" s="25">
        <v>0</v>
      </c>
      <c r="D5" s="25">
        <v>102</v>
      </c>
      <c r="E5" s="26">
        <v>0</v>
      </c>
      <c r="F5" s="26">
        <v>0</v>
      </c>
      <c r="G5" s="25">
        <v>0</v>
      </c>
      <c r="H5" s="27">
        <v>4034.84</v>
      </c>
      <c r="I5" s="108"/>
    </row>
    <row r="6" spans="1:9" x14ac:dyDescent="0.25">
      <c r="A6" s="28">
        <v>43986</v>
      </c>
      <c r="B6" s="25">
        <v>38</v>
      </c>
      <c r="C6" s="25">
        <v>0</v>
      </c>
      <c r="D6" s="25">
        <v>110</v>
      </c>
      <c r="E6" s="26">
        <v>0</v>
      </c>
      <c r="F6" s="26">
        <v>0</v>
      </c>
      <c r="G6" s="25">
        <v>0</v>
      </c>
      <c r="H6" s="27">
        <v>4034.82</v>
      </c>
      <c r="I6" s="108" t="s">
        <v>84</v>
      </c>
    </row>
    <row r="7" spans="1:9" x14ac:dyDescent="0.25">
      <c r="A7" s="28">
        <v>43987</v>
      </c>
      <c r="B7" s="25">
        <v>50</v>
      </c>
      <c r="C7" s="25">
        <v>0</v>
      </c>
      <c r="D7" s="25">
        <v>110</v>
      </c>
      <c r="E7" s="26">
        <v>0</v>
      </c>
      <c r="F7" s="26">
        <v>0</v>
      </c>
      <c r="G7" s="25">
        <v>0</v>
      </c>
      <c r="H7" s="27">
        <v>4034.81</v>
      </c>
      <c r="I7" s="108"/>
    </row>
    <row r="8" spans="1:9" x14ac:dyDescent="0.25">
      <c r="A8" s="28">
        <v>43988</v>
      </c>
      <c r="B8" s="25">
        <v>50</v>
      </c>
      <c r="C8" s="25">
        <v>0</v>
      </c>
      <c r="D8" s="25">
        <v>98</v>
      </c>
      <c r="E8" s="26">
        <v>0</v>
      </c>
      <c r="F8" s="26">
        <v>0</v>
      </c>
      <c r="G8" s="25">
        <v>0</v>
      </c>
      <c r="H8" s="27">
        <v>4034.75</v>
      </c>
      <c r="I8" s="108"/>
    </row>
    <row r="9" spans="1:9" x14ac:dyDescent="0.25">
      <c r="A9" s="28">
        <v>43989</v>
      </c>
      <c r="B9" s="25">
        <v>50</v>
      </c>
      <c r="C9" s="25">
        <v>0</v>
      </c>
      <c r="D9" s="25">
        <v>97</v>
      </c>
      <c r="E9" s="26">
        <v>0.08</v>
      </c>
      <c r="F9" s="26">
        <v>0</v>
      </c>
      <c r="G9" s="25">
        <v>0</v>
      </c>
      <c r="H9" s="27">
        <v>4034.7</v>
      </c>
      <c r="I9" s="108"/>
    </row>
    <row r="10" spans="1:9" x14ac:dyDescent="0.25">
      <c r="A10" s="28">
        <v>43990</v>
      </c>
      <c r="B10" s="25">
        <v>50</v>
      </c>
      <c r="C10" s="25">
        <v>0</v>
      </c>
      <c r="D10" s="25">
        <v>99</v>
      </c>
      <c r="E10" s="26">
        <v>0.01</v>
      </c>
      <c r="F10" s="26">
        <v>0</v>
      </c>
      <c r="G10" s="25">
        <v>0</v>
      </c>
      <c r="H10" s="27">
        <v>4034.68</v>
      </c>
      <c r="I10" s="108"/>
    </row>
    <row r="11" spans="1:9" x14ac:dyDescent="0.25">
      <c r="A11" s="28">
        <v>43991</v>
      </c>
      <c r="B11" s="25">
        <v>50</v>
      </c>
      <c r="C11" s="25">
        <v>0</v>
      </c>
      <c r="D11" s="25">
        <v>103</v>
      </c>
      <c r="E11" s="26">
        <v>0</v>
      </c>
      <c r="F11" s="26">
        <v>0</v>
      </c>
      <c r="G11" s="25">
        <v>0</v>
      </c>
      <c r="H11" s="27">
        <v>4034.68</v>
      </c>
      <c r="I11" s="108"/>
    </row>
    <row r="12" spans="1:9" x14ac:dyDescent="0.25">
      <c r="A12" s="28">
        <v>43992</v>
      </c>
      <c r="B12" s="25">
        <v>50</v>
      </c>
      <c r="C12" s="25">
        <v>0</v>
      </c>
      <c r="D12" s="25">
        <v>121</v>
      </c>
      <c r="E12" s="26">
        <v>0</v>
      </c>
      <c r="F12" s="26">
        <v>0</v>
      </c>
      <c r="G12" s="25">
        <v>0</v>
      </c>
      <c r="H12" s="27">
        <v>4034.68</v>
      </c>
      <c r="I12" s="108"/>
    </row>
    <row r="13" spans="1:9" x14ac:dyDescent="0.25">
      <c r="A13" s="28">
        <v>43993</v>
      </c>
      <c r="B13" s="25">
        <v>50</v>
      </c>
      <c r="C13" s="25">
        <v>0</v>
      </c>
      <c r="D13" s="25">
        <v>112</v>
      </c>
      <c r="E13" s="26">
        <v>0</v>
      </c>
      <c r="F13" s="26">
        <v>0</v>
      </c>
      <c r="G13" s="25">
        <v>0</v>
      </c>
      <c r="H13" s="27">
        <v>4034.66</v>
      </c>
      <c r="I13" s="108"/>
    </row>
    <row r="14" spans="1:9" x14ac:dyDescent="0.25">
      <c r="A14" s="28">
        <v>43994</v>
      </c>
      <c r="B14" s="25">
        <v>50</v>
      </c>
      <c r="C14" s="25">
        <v>0</v>
      </c>
      <c r="D14" s="25">
        <v>117</v>
      </c>
      <c r="E14" s="26">
        <v>0</v>
      </c>
      <c r="F14" s="26">
        <v>0</v>
      </c>
      <c r="G14" s="25">
        <v>0</v>
      </c>
      <c r="H14" s="27">
        <v>4034.64</v>
      </c>
      <c r="I14" s="108"/>
    </row>
    <row r="15" spans="1:9" x14ac:dyDescent="0.25">
      <c r="A15" s="28">
        <v>43995</v>
      </c>
      <c r="B15" s="25">
        <v>85</v>
      </c>
      <c r="C15" s="25">
        <v>0</v>
      </c>
      <c r="D15" s="25">
        <v>129</v>
      </c>
      <c r="E15" s="26">
        <v>0.08</v>
      </c>
      <c r="F15" s="26">
        <v>0</v>
      </c>
      <c r="G15" s="25">
        <v>0</v>
      </c>
      <c r="H15" s="27">
        <v>4034.64</v>
      </c>
      <c r="I15" s="108" t="s">
        <v>85</v>
      </c>
    </row>
    <row r="16" spans="1:9" x14ac:dyDescent="0.25">
      <c r="A16" s="28">
        <v>43996</v>
      </c>
      <c r="B16" s="25">
        <v>100</v>
      </c>
      <c r="C16" s="25">
        <v>0</v>
      </c>
      <c r="D16" s="25">
        <v>117</v>
      </c>
      <c r="E16" s="26">
        <v>0</v>
      </c>
      <c r="F16" s="26">
        <v>0</v>
      </c>
      <c r="G16" s="25">
        <v>0</v>
      </c>
      <c r="H16" s="27">
        <v>4034.64</v>
      </c>
      <c r="I16" s="108"/>
    </row>
    <row r="17" spans="1:9" x14ac:dyDescent="0.25">
      <c r="A17" s="28">
        <v>43997</v>
      </c>
      <c r="B17" s="25">
        <v>100</v>
      </c>
      <c r="C17" s="25">
        <v>0</v>
      </c>
      <c r="D17" s="25">
        <v>121</v>
      </c>
      <c r="E17" s="26">
        <v>0</v>
      </c>
      <c r="F17" s="26">
        <v>0</v>
      </c>
      <c r="G17" s="25">
        <v>0</v>
      </c>
      <c r="H17" s="27">
        <v>4034.62</v>
      </c>
      <c r="I17" s="108"/>
    </row>
    <row r="18" spans="1:9" x14ac:dyDescent="0.25">
      <c r="A18" s="28">
        <v>43998</v>
      </c>
      <c r="B18" s="25">
        <v>100</v>
      </c>
      <c r="C18" s="25">
        <v>0</v>
      </c>
      <c r="D18" s="25">
        <v>123</v>
      </c>
      <c r="E18" s="26" t="s">
        <v>47</v>
      </c>
      <c r="F18" s="26">
        <v>0</v>
      </c>
      <c r="G18" s="25">
        <v>0</v>
      </c>
      <c r="H18" s="27">
        <v>4034.62</v>
      </c>
      <c r="I18" s="108"/>
    </row>
    <row r="19" spans="1:9" x14ac:dyDescent="0.25">
      <c r="A19" s="28">
        <v>43999</v>
      </c>
      <c r="B19" s="25">
        <v>100</v>
      </c>
      <c r="C19" s="25">
        <v>0</v>
      </c>
      <c r="D19" s="25">
        <v>114</v>
      </c>
      <c r="E19" s="26">
        <v>0</v>
      </c>
      <c r="F19" s="26">
        <v>0</v>
      </c>
      <c r="G19" s="25">
        <v>0</v>
      </c>
      <c r="H19" s="27">
        <v>4034.62</v>
      </c>
      <c r="I19" s="108"/>
    </row>
    <row r="20" spans="1:9" x14ac:dyDescent="0.25">
      <c r="A20" s="28">
        <v>44000</v>
      </c>
      <c r="B20" s="25">
        <v>88</v>
      </c>
      <c r="C20" s="25">
        <v>0</v>
      </c>
      <c r="D20" s="25">
        <v>117</v>
      </c>
      <c r="E20" s="26">
        <v>0</v>
      </c>
      <c r="F20" s="26">
        <v>0</v>
      </c>
      <c r="G20" s="25">
        <v>0</v>
      </c>
      <c r="H20" s="27">
        <v>4034.6</v>
      </c>
      <c r="I20" s="108" t="s">
        <v>86</v>
      </c>
    </row>
    <row r="21" spans="1:9" x14ac:dyDescent="0.25">
      <c r="A21" s="28">
        <v>44001</v>
      </c>
      <c r="B21" s="25">
        <v>113</v>
      </c>
      <c r="C21" s="25">
        <v>0</v>
      </c>
      <c r="D21" s="25">
        <v>145</v>
      </c>
      <c r="E21" s="26">
        <v>0</v>
      </c>
      <c r="F21" s="26">
        <v>0</v>
      </c>
      <c r="G21" s="25">
        <v>0</v>
      </c>
      <c r="H21" s="27">
        <v>4034.6</v>
      </c>
      <c r="I21" s="108" t="s">
        <v>87</v>
      </c>
    </row>
    <row r="22" spans="1:9" x14ac:dyDescent="0.25">
      <c r="A22" s="28">
        <v>44002</v>
      </c>
      <c r="B22" s="25">
        <v>133</v>
      </c>
      <c r="C22" s="25">
        <v>0</v>
      </c>
      <c r="D22" s="25">
        <v>187</v>
      </c>
      <c r="E22" s="26">
        <v>0</v>
      </c>
      <c r="F22" s="26">
        <v>0</v>
      </c>
      <c r="G22" s="25">
        <v>0</v>
      </c>
      <c r="H22" s="27">
        <v>4034.6</v>
      </c>
      <c r="I22" s="108" t="s">
        <v>88</v>
      </c>
    </row>
    <row r="23" spans="1:9" x14ac:dyDescent="0.25">
      <c r="A23" s="28">
        <v>44003</v>
      </c>
      <c r="B23" s="25">
        <v>150</v>
      </c>
      <c r="C23" s="25">
        <v>0</v>
      </c>
      <c r="D23" s="25">
        <v>180</v>
      </c>
      <c r="E23" s="26">
        <v>0</v>
      </c>
      <c r="F23" s="26">
        <v>0</v>
      </c>
      <c r="G23" s="25">
        <v>0</v>
      </c>
      <c r="H23" s="27">
        <v>4034.6</v>
      </c>
      <c r="I23" s="108"/>
    </row>
    <row r="24" spans="1:9" x14ac:dyDescent="0.25">
      <c r="A24" s="28">
        <v>44004</v>
      </c>
      <c r="B24" s="25">
        <v>195</v>
      </c>
      <c r="C24" s="25">
        <v>0</v>
      </c>
      <c r="D24" s="25">
        <v>156</v>
      </c>
      <c r="E24" s="26">
        <v>0</v>
      </c>
      <c r="F24" s="26">
        <v>0</v>
      </c>
      <c r="G24" s="25">
        <v>0</v>
      </c>
      <c r="H24" s="27">
        <v>4034.6</v>
      </c>
      <c r="I24" s="108" t="s">
        <v>89</v>
      </c>
    </row>
    <row r="25" spans="1:9" x14ac:dyDescent="0.25">
      <c r="A25" s="28">
        <v>44005</v>
      </c>
      <c r="B25" s="25">
        <v>200</v>
      </c>
      <c r="C25" s="25">
        <v>0</v>
      </c>
      <c r="D25" s="25">
        <v>193</v>
      </c>
      <c r="E25" s="26">
        <v>0</v>
      </c>
      <c r="F25" s="26">
        <v>0</v>
      </c>
      <c r="G25" s="25">
        <v>0</v>
      </c>
      <c r="H25" s="27">
        <v>4034.6</v>
      </c>
      <c r="I25" s="108"/>
    </row>
    <row r="26" spans="1:9" x14ac:dyDescent="0.25">
      <c r="A26" s="28">
        <v>44006</v>
      </c>
      <c r="B26" s="25">
        <v>238</v>
      </c>
      <c r="C26" s="25">
        <v>0</v>
      </c>
      <c r="D26" s="25">
        <v>221</v>
      </c>
      <c r="E26" s="26">
        <v>0</v>
      </c>
      <c r="F26" s="26">
        <v>0</v>
      </c>
      <c r="G26" s="25">
        <v>0</v>
      </c>
      <c r="H26" s="27">
        <v>4034.58</v>
      </c>
      <c r="I26" s="108" t="s">
        <v>90</v>
      </c>
    </row>
    <row r="27" spans="1:9" x14ac:dyDescent="0.25">
      <c r="A27" s="28">
        <v>44007</v>
      </c>
      <c r="B27" s="25">
        <v>313</v>
      </c>
      <c r="C27" s="25">
        <v>0</v>
      </c>
      <c r="D27" s="25">
        <v>230</v>
      </c>
      <c r="E27" s="26">
        <v>0</v>
      </c>
      <c r="F27" s="26">
        <v>0</v>
      </c>
      <c r="G27" s="25">
        <v>0</v>
      </c>
      <c r="H27" s="27">
        <v>4034.55</v>
      </c>
      <c r="I27" s="108" t="s">
        <v>91</v>
      </c>
    </row>
    <row r="28" spans="1:9" x14ac:dyDescent="0.25">
      <c r="A28" s="28">
        <v>44008</v>
      </c>
      <c r="B28" s="25">
        <v>335</v>
      </c>
      <c r="C28" s="25">
        <v>0</v>
      </c>
      <c r="D28" s="25">
        <v>284</v>
      </c>
      <c r="E28" s="26">
        <v>0</v>
      </c>
      <c r="F28" s="26">
        <v>0</v>
      </c>
      <c r="G28" s="25">
        <v>0</v>
      </c>
      <c r="H28" s="27">
        <v>4034.54</v>
      </c>
      <c r="I28" s="108" t="s">
        <v>92</v>
      </c>
    </row>
    <row r="29" spans="1:9" x14ac:dyDescent="0.25">
      <c r="A29" s="28">
        <v>44009</v>
      </c>
      <c r="B29" s="25">
        <v>340</v>
      </c>
      <c r="C29" s="25">
        <v>0</v>
      </c>
      <c r="D29" s="25">
        <v>287</v>
      </c>
      <c r="E29" s="26">
        <v>0</v>
      </c>
      <c r="F29" s="26">
        <v>0</v>
      </c>
      <c r="G29" s="25">
        <v>0</v>
      </c>
      <c r="H29" s="27">
        <v>4034.52</v>
      </c>
      <c r="I29" s="108" t="s">
        <v>93</v>
      </c>
    </row>
    <row r="30" spans="1:9" x14ac:dyDescent="0.25">
      <c r="A30" s="28">
        <v>44010</v>
      </c>
      <c r="B30" s="25">
        <v>344</v>
      </c>
      <c r="C30" s="25">
        <v>0</v>
      </c>
      <c r="D30" s="25">
        <v>276</v>
      </c>
      <c r="E30" s="26">
        <v>0</v>
      </c>
      <c r="F30" s="26">
        <v>0</v>
      </c>
      <c r="G30" s="25">
        <v>0</v>
      </c>
      <c r="H30" s="27">
        <v>4034.46</v>
      </c>
      <c r="I30" s="108" t="s">
        <v>94</v>
      </c>
    </row>
    <row r="31" spans="1:9" x14ac:dyDescent="0.25">
      <c r="A31" s="28">
        <v>44011</v>
      </c>
      <c r="B31" s="25">
        <v>267</v>
      </c>
      <c r="C31" s="25">
        <v>0</v>
      </c>
      <c r="D31" s="25">
        <v>260</v>
      </c>
      <c r="E31" s="26">
        <v>0</v>
      </c>
      <c r="F31" s="26">
        <v>0</v>
      </c>
      <c r="G31" s="25">
        <v>0</v>
      </c>
      <c r="H31" s="27">
        <v>4034.46</v>
      </c>
      <c r="I31" s="108" t="s">
        <v>95</v>
      </c>
    </row>
    <row r="32" spans="1:9" ht="15.75" thickBot="1" x14ac:dyDescent="0.3">
      <c r="A32" s="28">
        <v>44012</v>
      </c>
      <c r="B32" s="25">
        <v>233</v>
      </c>
      <c r="C32" s="25">
        <v>0</v>
      </c>
      <c r="D32" s="25">
        <v>251</v>
      </c>
      <c r="E32" s="26">
        <v>0</v>
      </c>
      <c r="F32" s="26">
        <v>0</v>
      </c>
      <c r="G32" s="25">
        <v>0</v>
      </c>
      <c r="H32" s="27">
        <v>4034.44</v>
      </c>
      <c r="I32" s="108" t="s">
        <v>96</v>
      </c>
    </row>
    <row r="33" spans="1:14" s="11" customFormat="1" ht="15.75" thickTop="1" x14ac:dyDescent="0.25">
      <c r="A33" s="16" t="s">
        <v>8</v>
      </c>
      <c r="B33" s="17">
        <f t="shared" ref="B33:G33" si="0">SUM(B3:B32)</f>
        <v>3872</v>
      </c>
      <c r="C33" s="17">
        <f t="shared" si="0"/>
        <v>0</v>
      </c>
      <c r="D33" s="17">
        <f t="shared" si="0"/>
        <v>4634</v>
      </c>
      <c r="E33" s="18">
        <f t="shared" si="0"/>
        <v>0.16999999999999998</v>
      </c>
      <c r="F33" s="18">
        <f t="shared" si="0"/>
        <v>0</v>
      </c>
      <c r="G33" s="17">
        <f t="shared" si="0"/>
        <v>0</v>
      </c>
      <c r="H33" s="18"/>
    </row>
    <row r="34" spans="1:14" s="11" customFormat="1" x14ac:dyDescent="0.25">
      <c r="A34" s="19" t="s">
        <v>9</v>
      </c>
      <c r="B34" s="20">
        <f>SUM(B33+'May 2020'!B35)</f>
        <v>12528</v>
      </c>
      <c r="C34" s="20">
        <f>SUM(C33+'May 2020'!C35)</f>
        <v>3879</v>
      </c>
      <c r="D34" s="20">
        <f>SUM(D33+'May 2020'!D35)</f>
        <v>19475</v>
      </c>
      <c r="E34" s="21">
        <f>SUM(E33+'May 2020'!E35)</f>
        <v>5.53</v>
      </c>
      <c r="F34" s="21">
        <f>SUM(F33+'May 2020'!F35)</f>
        <v>14.6</v>
      </c>
      <c r="G34" s="20">
        <f>SUM(G33+'May 2020'!G35)</f>
        <v>14754</v>
      </c>
      <c r="H34" s="21"/>
    </row>
    <row r="36" spans="1:14" x14ac:dyDescent="0.25">
      <c r="A36" t="s">
        <v>10</v>
      </c>
      <c r="B36" s="23">
        <f>SUM(B3:B32)*1.9835</f>
        <v>7680.1120000000001</v>
      </c>
      <c r="C36" s="23">
        <f>SUM(C3:C32)*1.9835</f>
        <v>0</v>
      </c>
      <c r="D36" s="23">
        <f>SUM(D3:D32)*1.9835</f>
        <v>9191.5390000000007</v>
      </c>
      <c r="E36" s="23"/>
      <c r="F36" s="23"/>
      <c r="G36" s="23"/>
      <c r="I36" s="22"/>
    </row>
    <row r="38" spans="1:14" x14ac:dyDescent="0.25">
      <c r="A38" t="s">
        <v>24</v>
      </c>
      <c r="B38" s="23">
        <f>SUM(B36+'May 2020'!B39)</f>
        <v>29109.845999999998</v>
      </c>
      <c r="C38" s="23">
        <f>SUM(C36+'May 2020'!C39)</f>
        <v>9703.2820000000011</v>
      </c>
      <c r="D38" s="23">
        <f>SUM(D36+'May 2020'!D39)</f>
        <v>46211.582999999999</v>
      </c>
      <c r="E38" s="23"/>
      <c r="F38" s="23"/>
      <c r="G38" s="23"/>
      <c r="I38" s="22"/>
    </row>
    <row r="40" spans="1:14" ht="17.45" customHeight="1" x14ac:dyDescent="0.25">
      <c r="A40" s="113"/>
      <c r="B40" s="113"/>
      <c r="C40" s="113"/>
      <c r="D40" s="113"/>
      <c r="E40" s="113"/>
      <c r="F40" s="114"/>
      <c r="G40" s="115" t="s">
        <v>12</v>
      </c>
      <c r="H40" s="116"/>
      <c r="I40" s="30"/>
      <c r="J40" s="30"/>
      <c r="K40" s="30"/>
      <c r="L40" s="30"/>
      <c r="M40" s="31"/>
      <c r="N40" s="30"/>
    </row>
    <row r="41" spans="1:14" ht="16.899999999999999" customHeight="1" x14ac:dyDescent="0.25">
      <c r="A41" s="29"/>
      <c r="B41" s="29"/>
      <c r="C41" s="29"/>
      <c r="D41" s="29"/>
      <c r="E41" s="29"/>
      <c r="F41" s="29"/>
      <c r="G41" s="115"/>
      <c r="H41" s="116"/>
      <c r="I41" s="30"/>
      <c r="J41" s="30"/>
      <c r="K41" s="30"/>
      <c r="L41" s="30"/>
      <c r="M41" s="31"/>
      <c r="N41" s="30"/>
    </row>
    <row r="42" spans="1:14" ht="13.9" customHeight="1" thickBot="1" x14ac:dyDescent="0.3">
      <c r="A42" s="117" t="s">
        <v>23</v>
      </c>
      <c r="B42" s="117"/>
      <c r="C42" s="117"/>
      <c r="D42" s="117"/>
      <c r="E42" s="117"/>
      <c r="F42" s="117"/>
      <c r="G42" s="117"/>
      <c r="H42" s="117"/>
      <c r="I42" s="118"/>
      <c r="J42" s="32"/>
      <c r="K42" s="32"/>
      <c r="L42" s="32"/>
      <c r="M42" s="33"/>
      <c r="N42" s="34"/>
    </row>
    <row r="43" spans="1:14" ht="15.6" customHeight="1" x14ac:dyDescent="0.25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3"/>
    </row>
    <row r="44" spans="1:14" x14ac:dyDescent="0.25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3"/>
    </row>
    <row r="45" spans="1:14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ht="13.15" customHeight="1" x14ac:dyDescent="0.25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3"/>
      <c r="N49" s="34"/>
    </row>
    <row r="50" spans="1:14" ht="15.75" thickBot="1" x14ac:dyDescent="0.3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3"/>
      <c r="N50" s="34"/>
    </row>
    <row r="51" spans="1:14" ht="26.25" x14ac:dyDescent="0.2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</row>
    <row r="52" spans="1:14" ht="15.75" x14ac:dyDescent="0.25">
      <c r="A52" s="58"/>
      <c r="B52" s="59"/>
      <c r="C52" s="60"/>
      <c r="D52" s="61"/>
      <c r="E52" s="62"/>
      <c r="F52" s="63">
        <f>SUM(C52/24*D52)</f>
        <v>0</v>
      </c>
      <c r="G52" s="64"/>
      <c r="H52" s="65"/>
      <c r="I52" s="66"/>
    </row>
    <row r="53" spans="1:14" x14ac:dyDescent="0.25">
      <c r="A53" s="67"/>
      <c r="B53" s="68"/>
      <c r="C53" s="69"/>
      <c r="D53" s="61"/>
      <c r="E53" s="70"/>
      <c r="F53" s="71">
        <f>SUM(C53/24*D53)</f>
        <v>0</v>
      </c>
      <c r="G53" s="64"/>
      <c r="H53" s="65"/>
    </row>
    <row r="54" spans="1:14" x14ac:dyDescent="0.25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4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4" ht="15.75" thickBot="1" x14ac:dyDescent="0.3">
      <c r="A56" s="73"/>
      <c r="B56" s="74"/>
      <c r="C56" s="75"/>
      <c r="D56" s="76"/>
      <c r="E56" s="75"/>
      <c r="F56" s="77">
        <f>SUM(C56/24*D56)</f>
        <v>0</v>
      </c>
      <c r="G56" s="64"/>
      <c r="H56" s="65"/>
      <c r="I56" s="78"/>
    </row>
    <row r="57" spans="1:14" s="84" customFormat="1" ht="30" customHeight="1" x14ac:dyDescent="0.25">
      <c r="A57" s="119" t="s">
        <v>21</v>
      </c>
      <c r="B57" s="120"/>
      <c r="C57" s="121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I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5" x14ac:dyDescent="0.2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30" x14ac:dyDescent="0.25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25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25">
      <c r="A3" s="12">
        <v>43952</v>
      </c>
      <c r="B3" s="25">
        <v>125</v>
      </c>
      <c r="C3" s="25">
        <v>0</v>
      </c>
      <c r="D3" s="25">
        <v>227</v>
      </c>
      <c r="E3" s="26">
        <v>0</v>
      </c>
      <c r="F3" s="26">
        <v>0</v>
      </c>
      <c r="G3" s="25">
        <v>0</v>
      </c>
      <c r="H3" s="27">
        <v>4034.85</v>
      </c>
      <c r="I3" s="108"/>
    </row>
    <row r="4" spans="1:9" x14ac:dyDescent="0.25">
      <c r="A4" s="12">
        <v>43953</v>
      </c>
      <c r="B4" s="25">
        <v>87</v>
      </c>
      <c r="C4" s="25">
        <v>0</v>
      </c>
      <c r="D4" s="25">
        <v>172</v>
      </c>
      <c r="E4" s="26">
        <v>0</v>
      </c>
      <c r="F4" s="26">
        <v>0</v>
      </c>
      <c r="G4" s="92">
        <v>0</v>
      </c>
      <c r="H4" s="27">
        <v>4034.85</v>
      </c>
      <c r="I4" s="108" t="s">
        <v>71</v>
      </c>
    </row>
    <row r="5" spans="1:9" x14ac:dyDescent="0.25">
      <c r="A5" s="12">
        <v>43954</v>
      </c>
      <c r="B5" s="25">
        <v>37</v>
      </c>
      <c r="C5" s="25">
        <v>0</v>
      </c>
      <c r="D5" s="25">
        <v>165</v>
      </c>
      <c r="E5" s="26">
        <v>7.0000000000000007E-2</v>
      </c>
      <c r="F5" s="26">
        <v>0</v>
      </c>
      <c r="G5" s="92">
        <v>0</v>
      </c>
      <c r="H5" s="27">
        <v>4034.85</v>
      </c>
      <c r="I5" s="110" t="s">
        <v>72</v>
      </c>
    </row>
    <row r="6" spans="1:9" x14ac:dyDescent="0.25">
      <c r="A6" s="12">
        <v>43955</v>
      </c>
      <c r="B6" s="25">
        <v>28</v>
      </c>
      <c r="C6" s="25">
        <v>0</v>
      </c>
      <c r="D6" s="25">
        <v>207</v>
      </c>
      <c r="E6" s="26">
        <v>0</v>
      </c>
      <c r="F6" s="26">
        <v>0</v>
      </c>
      <c r="G6" s="25">
        <v>0</v>
      </c>
      <c r="H6" s="27">
        <v>4034.86</v>
      </c>
      <c r="I6" s="108"/>
    </row>
    <row r="7" spans="1:9" x14ac:dyDescent="0.25">
      <c r="A7" s="12">
        <v>43956</v>
      </c>
      <c r="B7" s="25">
        <v>36</v>
      </c>
      <c r="C7" s="25">
        <v>0</v>
      </c>
      <c r="D7" s="25">
        <v>132</v>
      </c>
      <c r="E7" s="26" t="s">
        <v>47</v>
      </c>
      <c r="F7" s="26">
        <v>0</v>
      </c>
      <c r="G7" s="92">
        <v>0</v>
      </c>
      <c r="H7" s="27">
        <v>4034.88</v>
      </c>
      <c r="I7" s="108" t="s">
        <v>73</v>
      </c>
    </row>
    <row r="8" spans="1:9" x14ac:dyDescent="0.25">
      <c r="A8" s="12">
        <v>43957</v>
      </c>
      <c r="B8" s="25">
        <v>57</v>
      </c>
      <c r="C8" s="25">
        <v>0</v>
      </c>
      <c r="D8" s="25">
        <v>130</v>
      </c>
      <c r="E8" s="26" t="s">
        <v>47</v>
      </c>
      <c r="F8" s="26">
        <v>0</v>
      </c>
      <c r="G8" s="25">
        <v>0</v>
      </c>
      <c r="H8" s="27">
        <v>4034.88</v>
      </c>
      <c r="I8" s="108" t="s">
        <v>74</v>
      </c>
    </row>
    <row r="9" spans="1:9" x14ac:dyDescent="0.25">
      <c r="A9" s="12">
        <v>43958</v>
      </c>
      <c r="B9" s="25">
        <v>75</v>
      </c>
      <c r="C9" s="25">
        <v>0</v>
      </c>
      <c r="D9" s="25">
        <v>126</v>
      </c>
      <c r="E9" s="26">
        <v>0</v>
      </c>
      <c r="F9" s="26">
        <v>0</v>
      </c>
      <c r="G9" s="25">
        <v>0</v>
      </c>
      <c r="H9" s="27">
        <v>4034.88</v>
      </c>
      <c r="I9" s="110"/>
    </row>
    <row r="10" spans="1:9" x14ac:dyDescent="0.25">
      <c r="A10" s="12">
        <v>43959</v>
      </c>
      <c r="B10" s="25">
        <v>75</v>
      </c>
      <c r="C10" s="25">
        <v>0</v>
      </c>
      <c r="D10" s="25">
        <v>123</v>
      </c>
      <c r="E10" s="26">
        <v>0</v>
      </c>
      <c r="F10" s="26">
        <v>0</v>
      </c>
      <c r="G10" s="25">
        <v>0</v>
      </c>
      <c r="H10" s="27">
        <v>4034.88</v>
      </c>
      <c r="I10" s="108"/>
    </row>
    <row r="11" spans="1:9" x14ac:dyDescent="0.25">
      <c r="A11" s="12">
        <v>43960</v>
      </c>
      <c r="B11" s="25">
        <v>75</v>
      </c>
      <c r="C11" s="92">
        <v>0</v>
      </c>
      <c r="D11" s="92">
        <v>125</v>
      </c>
      <c r="E11" s="26">
        <v>0</v>
      </c>
      <c r="F11" s="26">
        <v>0</v>
      </c>
      <c r="G11" s="92">
        <v>0</v>
      </c>
      <c r="H11" s="93">
        <v>4034.88</v>
      </c>
      <c r="I11" s="108"/>
    </row>
    <row r="12" spans="1:9" x14ac:dyDescent="0.25">
      <c r="A12" s="12">
        <v>43961</v>
      </c>
      <c r="B12" s="25">
        <v>75</v>
      </c>
      <c r="C12" s="25">
        <v>0</v>
      </c>
      <c r="D12" s="25">
        <v>121</v>
      </c>
      <c r="E12" s="26" t="s">
        <v>47</v>
      </c>
      <c r="F12" s="26">
        <v>0</v>
      </c>
      <c r="G12" s="25">
        <v>0</v>
      </c>
      <c r="H12" s="27">
        <v>4034.88</v>
      </c>
      <c r="I12" s="108"/>
    </row>
    <row r="13" spans="1:9" x14ac:dyDescent="0.25">
      <c r="A13" s="12">
        <v>43962</v>
      </c>
      <c r="B13" s="25">
        <v>93</v>
      </c>
      <c r="C13" s="25">
        <v>0</v>
      </c>
      <c r="D13" s="25">
        <v>117</v>
      </c>
      <c r="E13" s="26">
        <v>0</v>
      </c>
      <c r="F13" s="26">
        <v>0</v>
      </c>
      <c r="G13" s="25">
        <v>0</v>
      </c>
      <c r="H13" s="27">
        <v>4034.86</v>
      </c>
      <c r="I13" s="108" t="s">
        <v>75</v>
      </c>
    </row>
    <row r="14" spans="1:9" x14ac:dyDescent="0.25">
      <c r="A14" s="12">
        <v>43963</v>
      </c>
      <c r="B14" s="25">
        <v>83</v>
      </c>
      <c r="C14" s="25">
        <v>0</v>
      </c>
      <c r="D14" s="25">
        <v>109</v>
      </c>
      <c r="E14" s="26">
        <v>7.0000000000000007E-2</v>
      </c>
      <c r="F14" s="26">
        <v>0</v>
      </c>
      <c r="G14" s="25">
        <v>0</v>
      </c>
      <c r="H14" s="27">
        <v>4034.86</v>
      </c>
      <c r="I14" s="108" t="s">
        <v>76</v>
      </c>
    </row>
    <row r="15" spans="1:9" x14ac:dyDescent="0.25">
      <c r="A15" s="12">
        <v>43964</v>
      </c>
      <c r="B15" s="25">
        <v>58</v>
      </c>
      <c r="C15" s="25">
        <v>0</v>
      </c>
      <c r="D15" s="25">
        <v>117</v>
      </c>
      <c r="E15" s="26">
        <v>0.24</v>
      </c>
      <c r="F15" s="26">
        <v>0</v>
      </c>
      <c r="G15" s="25">
        <v>0</v>
      </c>
      <c r="H15" s="27">
        <v>4034.84</v>
      </c>
      <c r="I15" s="108" t="s">
        <v>77</v>
      </c>
    </row>
    <row r="16" spans="1:9" x14ac:dyDescent="0.25">
      <c r="A16" s="12">
        <v>43965</v>
      </c>
      <c r="B16" s="25">
        <v>31</v>
      </c>
      <c r="C16" s="25">
        <v>0</v>
      </c>
      <c r="D16" s="25">
        <v>154</v>
      </c>
      <c r="E16" s="26">
        <v>0.05</v>
      </c>
      <c r="F16" s="26">
        <v>0</v>
      </c>
      <c r="G16" s="25">
        <v>0</v>
      </c>
      <c r="H16" s="27">
        <v>4034.84</v>
      </c>
      <c r="I16" s="108" t="s">
        <v>78</v>
      </c>
    </row>
    <row r="17" spans="1:9" x14ac:dyDescent="0.25">
      <c r="A17" s="12">
        <v>43966</v>
      </c>
      <c r="B17" s="25">
        <v>25</v>
      </c>
      <c r="C17" s="25">
        <v>0</v>
      </c>
      <c r="D17" s="25">
        <v>152</v>
      </c>
      <c r="E17" s="26">
        <v>0.03</v>
      </c>
      <c r="F17" s="26">
        <v>0</v>
      </c>
      <c r="G17" s="109">
        <v>0</v>
      </c>
      <c r="H17" s="27">
        <v>4034.82</v>
      </c>
      <c r="I17" s="108"/>
    </row>
    <row r="18" spans="1:9" x14ac:dyDescent="0.25">
      <c r="A18" s="12">
        <v>43967</v>
      </c>
      <c r="B18" s="25">
        <v>25</v>
      </c>
      <c r="C18" s="25">
        <v>0</v>
      </c>
      <c r="D18" s="25">
        <v>110</v>
      </c>
      <c r="E18" s="26">
        <v>0</v>
      </c>
      <c r="F18" s="26">
        <v>0</v>
      </c>
      <c r="G18" s="25">
        <v>0</v>
      </c>
      <c r="H18" s="27">
        <v>4034.82</v>
      </c>
      <c r="I18" s="108"/>
    </row>
    <row r="19" spans="1:9" x14ac:dyDescent="0.25">
      <c r="A19" s="12">
        <v>43968</v>
      </c>
      <c r="B19" s="25">
        <v>11</v>
      </c>
      <c r="C19" s="25">
        <v>0</v>
      </c>
      <c r="D19" s="25">
        <v>143</v>
      </c>
      <c r="E19" s="26">
        <v>0.1</v>
      </c>
      <c r="F19" s="26">
        <v>0</v>
      </c>
      <c r="G19" s="25">
        <v>0</v>
      </c>
      <c r="H19" s="27">
        <v>4034.82</v>
      </c>
      <c r="I19" s="108" t="s">
        <v>79</v>
      </c>
    </row>
    <row r="20" spans="1:9" x14ac:dyDescent="0.25">
      <c r="A20" s="12">
        <v>43969</v>
      </c>
      <c r="B20" s="25">
        <v>0</v>
      </c>
      <c r="C20" s="25">
        <v>0</v>
      </c>
      <c r="D20" s="25">
        <v>133</v>
      </c>
      <c r="E20" s="26">
        <v>0.45</v>
      </c>
      <c r="F20" s="26">
        <v>0</v>
      </c>
      <c r="G20" s="25">
        <v>0</v>
      </c>
      <c r="H20" s="27">
        <v>4034.84</v>
      </c>
      <c r="I20" s="108"/>
    </row>
    <row r="21" spans="1:9" x14ac:dyDescent="0.25">
      <c r="A21" s="12">
        <v>43970</v>
      </c>
      <c r="B21" s="25">
        <v>0</v>
      </c>
      <c r="C21" s="25">
        <v>0</v>
      </c>
      <c r="D21" s="25">
        <v>109</v>
      </c>
      <c r="E21" s="26">
        <v>0</v>
      </c>
      <c r="F21" s="26">
        <v>0</v>
      </c>
      <c r="G21" s="25">
        <v>0</v>
      </c>
      <c r="H21" s="27">
        <v>4034.86</v>
      </c>
      <c r="I21" s="108"/>
    </row>
    <row r="22" spans="1:9" x14ac:dyDescent="0.25">
      <c r="A22" s="12">
        <v>43971</v>
      </c>
      <c r="B22" s="25">
        <v>0</v>
      </c>
      <c r="C22" s="25">
        <v>0</v>
      </c>
      <c r="D22" s="25">
        <v>112</v>
      </c>
      <c r="E22" s="26" t="s">
        <v>47</v>
      </c>
      <c r="F22" s="26">
        <v>0</v>
      </c>
      <c r="G22" s="25">
        <v>0</v>
      </c>
      <c r="H22" s="27">
        <v>4034.88</v>
      </c>
      <c r="I22" s="108"/>
    </row>
    <row r="23" spans="1:9" x14ac:dyDescent="0.25">
      <c r="A23" s="12">
        <v>43972</v>
      </c>
      <c r="B23" s="25">
        <v>0</v>
      </c>
      <c r="C23" s="25">
        <v>0</v>
      </c>
      <c r="D23" s="25">
        <v>113</v>
      </c>
      <c r="E23" s="26" t="s">
        <v>47</v>
      </c>
      <c r="F23" s="26">
        <v>0</v>
      </c>
      <c r="G23" s="25">
        <v>0</v>
      </c>
      <c r="H23" s="27">
        <v>4034.9</v>
      </c>
      <c r="I23" s="108"/>
    </row>
    <row r="24" spans="1:9" x14ac:dyDescent="0.25">
      <c r="A24" s="12">
        <v>43973</v>
      </c>
      <c r="B24" s="25">
        <v>0</v>
      </c>
      <c r="C24" s="25">
        <v>0</v>
      </c>
      <c r="D24" s="25">
        <v>98</v>
      </c>
      <c r="E24" s="26">
        <v>0</v>
      </c>
      <c r="F24" s="26">
        <v>0</v>
      </c>
      <c r="G24" s="25">
        <v>0</v>
      </c>
      <c r="H24" s="27">
        <v>4034.9</v>
      </c>
      <c r="I24" s="108"/>
    </row>
    <row r="25" spans="1:9" x14ac:dyDescent="0.25">
      <c r="A25" s="12">
        <v>43974</v>
      </c>
      <c r="B25" s="25">
        <v>0</v>
      </c>
      <c r="C25" s="25">
        <v>0</v>
      </c>
      <c r="D25" s="25">
        <v>91</v>
      </c>
      <c r="E25" s="26">
        <v>0</v>
      </c>
      <c r="F25" s="26">
        <v>0</v>
      </c>
      <c r="G25" s="25">
        <v>0</v>
      </c>
      <c r="H25" s="27">
        <v>4034.92</v>
      </c>
      <c r="I25" s="108"/>
    </row>
    <row r="26" spans="1:9" x14ac:dyDescent="0.25">
      <c r="A26" s="12">
        <v>43975</v>
      </c>
      <c r="B26" s="25">
        <v>0</v>
      </c>
      <c r="C26" s="25">
        <v>0</v>
      </c>
      <c r="D26" s="25">
        <v>87</v>
      </c>
      <c r="E26" s="26">
        <v>0</v>
      </c>
      <c r="F26" s="26">
        <v>0</v>
      </c>
      <c r="G26" s="25">
        <v>0</v>
      </c>
      <c r="H26" s="27">
        <v>4034.92</v>
      </c>
      <c r="I26" s="108"/>
    </row>
    <row r="27" spans="1:9" x14ac:dyDescent="0.25">
      <c r="A27" s="12">
        <v>43976</v>
      </c>
      <c r="B27" s="25">
        <v>25</v>
      </c>
      <c r="C27" s="25">
        <v>0</v>
      </c>
      <c r="D27" s="25">
        <v>91</v>
      </c>
      <c r="E27" s="26">
        <v>0</v>
      </c>
      <c r="F27" s="26">
        <v>0</v>
      </c>
      <c r="G27" s="25">
        <v>0</v>
      </c>
      <c r="H27" s="27">
        <v>4034.92</v>
      </c>
      <c r="I27" s="111" t="s">
        <v>80</v>
      </c>
    </row>
    <row r="28" spans="1:9" x14ac:dyDescent="0.25">
      <c r="A28" s="12">
        <v>43977</v>
      </c>
      <c r="B28" s="25">
        <v>23</v>
      </c>
      <c r="C28" s="25">
        <v>0</v>
      </c>
      <c r="D28" s="25">
        <v>91</v>
      </c>
      <c r="E28" s="26">
        <v>0</v>
      </c>
      <c r="F28" s="26">
        <v>0</v>
      </c>
      <c r="G28" s="25">
        <v>0</v>
      </c>
      <c r="H28" s="27">
        <v>4034.92</v>
      </c>
      <c r="I28" s="108" t="s">
        <v>81</v>
      </c>
    </row>
    <row r="29" spans="1:9" x14ac:dyDescent="0.25">
      <c r="A29" s="12">
        <v>43978</v>
      </c>
      <c r="B29" s="25">
        <v>18</v>
      </c>
      <c r="C29" s="25">
        <v>0</v>
      </c>
      <c r="D29" s="25">
        <v>80</v>
      </c>
      <c r="E29" s="26">
        <v>0</v>
      </c>
      <c r="F29" s="26">
        <v>0</v>
      </c>
      <c r="G29" s="25">
        <v>0</v>
      </c>
      <c r="H29" s="27">
        <v>4034.92</v>
      </c>
      <c r="I29" s="108"/>
    </row>
    <row r="30" spans="1:9" x14ac:dyDescent="0.25">
      <c r="A30" s="12">
        <v>43979</v>
      </c>
      <c r="B30" s="25">
        <v>7</v>
      </c>
      <c r="C30" s="25">
        <v>0</v>
      </c>
      <c r="D30" s="25">
        <v>82</v>
      </c>
      <c r="E30" s="26">
        <v>0</v>
      </c>
      <c r="F30" s="26">
        <v>0</v>
      </c>
      <c r="G30" s="25">
        <v>0</v>
      </c>
      <c r="H30" s="27">
        <v>4034.9</v>
      </c>
      <c r="I30" s="108" t="s">
        <v>82</v>
      </c>
    </row>
    <row r="31" spans="1:9" x14ac:dyDescent="0.25">
      <c r="A31" s="12">
        <v>43980</v>
      </c>
      <c r="B31" s="25">
        <v>0</v>
      </c>
      <c r="C31" s="25">
        <v>0</v>
      </c>
      <c r="D31" s="25">
        <v>93</v>
      </c>
      <c r="E31" s="26">
        <v>0</v>
      </c>
      <c r="F31" s="26">
        <v>0</v>
      </c>
      <c r="G31" s="25">
        <v>0</v>
      </c>
      <c r="H31" s="27">
        <v>4034.9</v>
      </c>
      <c r="I31" s="108"/>
    </row>
    <row r="32" spans="1:9" x14ac:dyDescent="0.25">
      <c r="A32" s="12">
        <v>43981</v>
      </c>
      <c r="B32" s="25">
        <v>0</v>
      </c>
      <c r="C32" s="25">
        <v>0</v>
      </c>
      <c r="D32" s="25">
        <v>72</v>
      </c>
      <c r="E32" s="26">
        <v>0.06</v>
      </c>
      <c r="F32" s="26">
        <v>0</v>
      </c>
      <c r="G32" s="25">
        <v>0</v>
      </c>
      <c r="H32" s="27">
        <v>4034.88</v>
      </c>
      <c r="I32" s="108"/>
    </row>
    <row r="33" spans="1:15" ht="15.75" thickBot="1" x14ac:dyDescent="0.3">
      <c r="A33" s="12">
        <v>43982</v>
      </c>
      <c r="B33" s="25">
        <v>0</v>
      </c>
      <c r="C33" s="25">
        <v>0</v>
      </c>
      <c r="D33" s="25">
        <v>72</v>
      </c>
      <c r="E33" s="26">
        <v>0.02</v>
      </c>
      <c r="F33" s="26">
        <v>0</v>
      </c>
      <c r="G33" s="25">
        <v>0</v>
      </c>
      <c r="H33" s="27">
        <v>4034.86</v>
      </c>
      <c r="I33" s="108" t="s">
        <v>83</v>
      </c>
    </row>
    <row r="34" spans="1:15" s="11" customFormat="1" ht="15.75" thickTop="1" x14ac:dyDescent="0.25">
      <c r="A34" s="16" t="s">
        <v>8</v>
      </c>
      <c r="B34" s="17">
        <f t="shared" ref="B34:G34" si="0">SUM(B3:B33)</f>
        <v>1069</v>
      </c>
      <c r="C34" s="17">
        <f t="shared" si="0"/>
        <v>0</v>
      </c>
      <c r="D34" s="17">
        <f t="shared" si="0"/>
        <v>3754</v>
      </c>
      <c r="E34" s="18">
        <f t="shared" si="0"/>
        <v>1.0900000000000001</v>
      </c>
      <c r="F34" s="18">
        <f t="shared" si="0"/>
        <v>0</v>
      </c>
      <c r="G34" s="17">
        <f t="shared" si="0"/>
        <v>0</v>
      </c>
      <c r="H34" s="18"/>
    </row>
    <row r="35" spans="1:15" s="11" customFormat="1" x14ac:dyDescent="0.25">
      <c r="A35" s="19" t="s">
        <v>9</v>
      </c>
      <c r="B35" s="20">
        <f>SUM(B34+'Apr 2020'!B34)</f>
        <v>8656</v>
      </c>
      <c r="C35" s="20">
        <f>SUM(C34+'Apr 2020'!C34)</f>
        <v>3879</v>
      </c>
      <c r="D35" s="20">
        <f>SUM(D34+'Apr 2020'!D34)</f>
        <v>14841</v>
      </c>
      <c r="E35" s="21">
        <f>SUM(E34+'Apr 2020'!E34)</f>
        <v>5.36</v>
      </c>
      <c r="F35" s="21">
        <f>SUM(F34+'Apr 2020'!F34)</f>
        <v>14.6</v>
      </c>
      <c r="G35" s="20">
        <f>SUM(G34+'Apr 2020'!G34)</f>
        <v>14754</v>
      </c>
      <c r="H35" s="21"/>
    </row>
    <row r="37" spans="1:15" x14ac:dyDescent="0.25">
      <c r="A37" t="s">
        <v>10</v>
      </c>
      <c r="B37" s="23">
        <f>SUM(B3:B33)*1.9835</f>
        <v>2120.3615</v>
      </c>
      <c r="C37" s="23">
        <f>SUM(C3:C33)*1.9835</f>
        <v>0</v>
      </c>
      <c r="D37" s="23">
        <f>SUM(D3:D33)*1.9835</f>
        <v>7446.0590000000002</v>
      </c>
      <c r="E37" s="23"/>
      <c r="F37" s="23"/>
      <c r="G37" s="23"/>
      <c r="I37" s="22"/>
    </row>
    <row r="39" spans="1:15" x14ac:dyDescent="0.25">
      <c r="A39" t="s">
        <v>24</v>
      </c>
      <c r="B39" s="23">
        <f>SUM(B37+'Apr 2020'!B38)</f>
        <v>21429.733999999997</v>
      </c>
      <c r="C39" s="23">
        <f>SUM(C37+'Apr 2020'!C38)</f>
        <v>9703.2820000000011</v>
      </c>
      <c r="D39" s="23">
        <f>SUM(D37+'Apr 2020'!D38)</f>
        <v>37020.044000000002</v>
      </c>
      <c r="E39" s="23"/>
      <c r="F39" s="23"/>
      <c r="G39" s="23"/>
      <c r="I39" s="22"/>
    </row>
    <row r="40" spans="1:15" x14ac:dyDescent="0.25">
      <c r="I40" s="34"/>
    </row>
    <row r="41" spans="1:15" ht="17.45" customHeight="1" x14ac:dyDescent="0.25">
      <c r="A41" s="113"/>
      <c r="B41" s="113"/>
      <c r="C41" s="113"/>
      <c r="D41" s="113"/>
      <c r="E41" s="113"/>
      <c r="F41" s="114"/>
      <c r="G41" s="115" t="s">
        <v>12</v>
      </c>
      <c r="H41" s="116"/>
      <c r="I41" s="34"/>
      <c r="J41" s="30"/>
      <c r="K41" s="30"/>
      <c r="L41" s="30"/>
      <c r="M41" s="30"/>
      <c r="N41" s="31"/>
      <c r="O41" s="30"/>
    </row>
    <row r="42" spans="1:15" ht="16.899999999999999" customHeight="1" x14ac:dyDescent="0.25">
      <c r="A42" s="29"/>
      <c r="B42" s="29"/>
      <c r="C42" s="29"/>
      <c r="D42" s="29"/>
      <c r="E42" s="29"/>
      <c r="F42" s="29"/>
      <c r="G42" s="115"/>
      <c r="H42" s="116"/>
      <c r="I42" s="34"/>
      <c r="J42" s="30"/>
      <c r="K42" s="30"/>
      <c r="L42" s="30"/>
      <c r="M42" s="30"/>
      <c r="N42" s="31"/>
      <c r="O42" s="30"/>
    </row>
    <row r="43" spans="1:15" ht="13.9" customHeight="1" thickBot="1" x14ac:dyDescent="0.3">
      <c r="A43" s="117" t="s">
        <v>23</v>
      </c>
      <c r="B43" s="117"/>
      <c r="C43" s="117"/>
      <c r="D43" s="117"/>
      <c r="E43" s="117"/>
      <c r="F43" s="117"/>
      <c r="G43" s="117"/>
      <c r="H43" s="117"/>
      <c r="I43" s="118"/>
      <c r="J43" s="118"/>
      <c r="K43" s="32"/>
      <c r="L43" s="32"/>
      <c r="M43" s="32"/>
      <c r="N43" s="33"/>
      <c r="O43" s="34"/>
    </row>
    <row r="44" spans="1:15" ht="15.6" customHeight="1" x14ac:dyDescent="0.25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ht="15.75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57"/>
      <c r="J47" s="34"/>
      <c r="K47" s="34"/>
      <c r="L47" s="34"/>
      <c r="M47" s="34"/>
      <c r="N47" s="33"/>
    </row>
    <row r="48" spans="1:15" ht="15.75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66"/>
      <c r="J48" s="34"/>
      <c r="K48" s="34"/>
      <c r="L48" s="34"/>
      <c r="M48" s="34"/>
      <c r="N48" s="33"/>
    </row>
    <row r="49" spans="1:15" x14ac:dyDescent="0.25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J49" s="34"/>
      <c r="K49" s="34"/>
      <c r="L49" s="34"/>
      <c r="M49" s="34"/>
      <c r="N49" s="33"/>
    </row>
    <row r="50" spans="1:15" ht="13.15" customHeight="1" x14ac:dyDescent="0.25">
      <c r="A50" s="44"/>
      <c r="B50" s="45"/>
      <c r="C50" s="45"/>
      <c r="D50" s="45"/>
      <c r="E50" s="45"/>
      <c r="F50" s="45"/>
      <c r="G50" s="46"/>
      <c r="H50" s="34"/>
      <c r="J50" s="34"/>
      <c r="K50" s="34"/>
      <c r="L50" s="34"/>
      <c r="M50" s="34"/>
      <c r="N50" s="33"/>
      <c r="O50" s="34"/>
    </row>
    <row r="51" spans="1:15" ht="15.75" thickBot="1" x14ac:dyDescent="0.3">
      <c r="A51" s="47" t="s">
        <v>18</v>
      </c>
      <c r="B51" s="47"/>
      <c r="C51" s="47"/>
      <c r="D51" s="47"/>
      <c r="E51" s="48"/>
      <c r="F51" s="49"/>
      <c r="G51" s="46"/>
      <c r="H51" s="34"/>
      <c r="J51" s="34"/>
      <c r="K51" s="34"/>
      <c r="L51" s="34"/>
      <c r="M51" s="34"/>
      <c r="N51" s="33"/>
      <c r="O51" s="34"/>
    </row>
    <row r="52" spans="1:15" ht="26.25" x14ac:dyDescent="0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78"/>
      <c r="J52" s="57"/>
    </row>
    <row r="53" spans="1:15" ht="15.75" x14ac:dyDescent="0.25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84"/>
      <c r="J53" s="66"/>
    </row>
    <row r="54" spans="1:15" x14ac:dyDescent="0.25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5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x14ac:dyDescent="0.25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5" ht="15.75" thickBot="1" x14ac:dyDescent="0.3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J57" s="78"/>
    </row>
    <row r="58" spans="1:15" s="84" customFormat="1" ht="30" customHeight="1" x14ac:dyDescent="0.25">
      <c r="A58" s="119" t="s">
        <v>21</v>
      </c>
      <c r="B58" s="120"/>
      <c r="C58" s="121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  <c r="I58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55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34" sqref="I34"/>
    </sheetView>
  </sheetViews>
  <sheetFormatPr defaultRowHeight="15" x14ac:dyDescent="0.2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30" x14ac:dyDescent="0.25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25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25">
      <c r="A3" s="12">
        <v>43922</v>
      </c>
      <c r="B3" s="25">
        <v>30</v>
      </c>
      <c r="C3" s="25">
        <v>0</v>
      </c>
      <c r="D3" s="25">
        <v>50</v>
      </c>
      <c r="E3" s="26">
        <v>0</v>
      </c>
      <c r="F3" s="26">
        <v>0</v>
      </c>
      <c r="G3" s="25">
        <v>0</v>
      </c>
      <c r="H3" s="27">
        <v>4034.94</v>
      </c>
      <c r="I3" s="108"/>
    </row>
    <row r="4" spans="1:9" x14ac:dyDescent="0.25">
      <c r="A4" s="12">
        <v>43923</v>
      </c>
      <c r="B4" s="25">
        <v>30</v>
      </c>
      <c r="C4" s="25">
        <v>0</v>
      </c>
      <c r="D4" s="25">
        <v>50</v>
      </c>
      <c r="E4" s="26">
        <v>0</v>
      </c>
      <c r="F4" s="26">
        <v>0</v>
      </c>
      <c r="G4" s="25">
        <v>0</v>
      </c>
      <c r="H4" s="27">
        <v>4034.92</v>
      </c>
      <c r="I4" s="108"/>
    </row>
    <row r="5" spans="1:9" x14ac:dyDescent="0.25">
      <c r="A5" s="12">
        <v>43924</v>
      </c>
      <c r="B5" s="25">
        <v>30</v>
      </c>
      <c r="C5" s="25">
        <v>0</v>
      </c>
      <c r="D5" s="25">
        <v>50</v>
      </c>
      <c r="E5" s="26">
        <v>0</v>
      </c>
      <c r="F5" s="26">
        <v>0</v>
      </c>
      <c r="G5" s="25">
        <v>0</v>
      </c>
      <c r="H5" s="27">
        <v>4034.92</v>
      </c>
      <c r="I5" s="108"/>
    </row>
    <row r="6" spans="1:9" x14ac:dyDescent="0.25">
      <c r="A6" s="12">
        <v>43925</v>
      </c>
      <c r="B6" s="25">
        <v>30</v>
      </c>
      <c r="C6" s="25">
        <v>0</v>
      </c>
      <c r="D6" s="25">
        <v>50</v>
      </c>
      <c r="E6" s="26">
        <v>7.0000000000000007E-2</v>
      </c>
      <c r="F6" s="26">
        <v>0</v>
      </c>
      <c r="G6" s="25">
        <v>0</v>
      </c>
      <c r="H6" s="27">
        <v>4034.9</v>
      </c>
      <c r="I6" s="108"/>
    </row>
    <row r="7" spans="1:9" x14ac:dyDescent="0.25">
      <c r="A7" s="12">
        <v>43926</v>
      </c>
      <c r="B7" s="25">
        <v>30</v>
      </c>
      <c r="C7" s="25">
        <v>0</v>
      </c>
      <c r="D7" s="25">
        <v>50</v>
      </c>
      <c r="E7" s="26">
        <v>0.01</v>
      </c>
      <c r="F7" s="26">
        <v>0</v>
      </c>
      <c r="G7" s="25">
        <v>0</v>
      </c>
      <c r="H7" s="27">
        <v>4034.9</v>
      </c>
      <c r="I7" s="108"/>
    </row>
    <row r="8" spans="1:9" x14ac:dyDescent="0.25">
      <c r="A8" s="12">
        <v>43927</v>
      </c>
      <c r="B8" s="25">
        <v>36</v>
      </c>
      <c r="C8" s="25">
        <v>0</v>
      </c>
      <c r="D8" s="25">
        <v>50</v>
      </c>
      <c r="E8" s="26" t="s">
        <v>47</v>
      </c>
      <c r="F8" s="26">
        <v>0</v>
      </c>
      <c r="G8" s="25">
        <v>0</v>
      </c>
      <c r="H8" s="27">
        <v>4034.9</v>
      </c>
      <c r="I8" s="108" t="s">
        <v>54</v>
      </c>
    </row>
    <row r="9" spans="1:9" x14ac:dyDescent="0.25">
      <c r="A9" s="12">
        <v>43928</v>
      </c>
      <c r="B9" s="25">
        <v>35</v>
      </c>
      <c r="C9" s="25">
        <v>0</v>
      </c>
      <c r="D9" s="25">
        <v>50</v>
      </c>
      <c r="E9" s="26" t="s">
        <v>47</v>
      </c>
      <c r="F9" s="26">
        <v>0</v>
      </c>
      <c r="G9" s="25">
        <v>0</v>
      </c>
      <c r="H9" s="27">
        <v>4034.9</v>
      </c>
      <c r="I9" s="108" t="s">
        <v>55</v>
      </c>
    </row>
    <row r="10" spans="1:9" x14ac:dyDescent="0.25">
      <c r="A10" s="12">
        <v>43929</v>
      </c>
      <c r="B10" s="25">
        <v>30</v>
      </c>
      <c r="C10" s="25">
        <v>0</v>
      </c>
      <c r="D10" s="25">
        <v>56</v>
      </c>
      <c r="E10" s="26">
        <v>0</v>
      </c>
      <c r="F10" s="26">
        <v>0</v>
      </c>
      <c r="G10" s="25">
        <v>0</v>
      </c>
      <c r="H10" s="27">
        <v>4034.92</v>
      </c>
      <c r="I10" s="108"/>
    </row>
    <row r="11" spans="1:9" x14ac:dyDescent="0.25">
      <c r="A11" s="12">
        <v>43930</v>
      </c>
      <c r="B11" s="25">
        <v>36</v>
      </c>
      <c r="C11" s="25">
        <v>0</v>
      </c>
      <c r="D11" s="25">
        <v>70</v>
      </c>
      <c r="E11" s="26">
        <v>0</v>
      </c>
      <c r="F11" s="26">
        <v>0</v>
      </c>
      <c r="G11" s="25">
        <v>0</v>
      </c>
      <c r="H11" s="27">
        <v>4034.92</v>
      </c>
      <c r="I11" s="108" t="s">
        <v>56</v>
      </c>
    </row>
    <row r="12" spans="1:9" x14ac:dyDescent="0.25">
      <c r="A12" s="12">
        <v>43931</v>
      </c>
      <c r="B12" s="25">
        <v>46</v>
      </c>
      <c r="C12" s="25">
        <v>0</v>
      </c>
      <c r="D12" s="25">
        <v>85</v>
      </c>
      <c r="E12" s="26">
        <v>0</v>
      </c>
      <c r="F12" s="26">
        <v>0</v>
      </c>
      <c r="G12" s="25">
        <v>0</v>
      </c>
      <c r="H12" s="27">
        <v>4034.92</v>
      </c>
      <c r="I12" s="108" t="s">
        <v>57</v>
      </c>
    </row>
    <row r="13" spans="1:9" x14ac:dyDescent="0.25">
      <c r="A13" s="12">
        <v>43932</v>
      </c>
      <c r="B13" s="25">
        <v>67</v>
      </c>
      <c r="C13" s="25">
        <v>0</v>
      </c>
      <c r="D13" s="25">
        <v>93</v>
      </c>
      <c r="E13" s="26">
        <v>0</v>
      </c>
      <c r="F13" s="26">
        <v>0</v>
      </c>
      <c r="G13" s="25">
        <v>0</v>
      </c>
      <c r="H13" s="27">
        <v>4034.9</v>
      </c>
      <c r="I13" s="108" t="s">
        <v>58</v>
      </c>
    </row>
    <row r="14" spans="1:9" x14ac:dyDescent="0.25">
      <c r="A14" s="12">
        <v>43933</v>
      </c>
      <c r="B14" s="25">
        <v>86</v>
      </c>
      <c r="C14" s="25">
        <v>0</v>
      </c>
      <c r="D14" s="25">
        <v>100</v>
      </c>
      <c r="E14" s="26">
        <v>0</v>
      </c>
      <c r="F14" s="26">
        <v>0</v>
      </c>
      <c r="G14" s="25">
        <v>0</v>
      </c>
      <c r="H14" s="27">
        <v>4034.88</v>
      </c>
      <c r="I14" s="108" t="s">
        <v>59</v>
      </c>
    </row>
    <row r="15" spans="1:9" x14ac:dyDescent="0.25">
      <c r="A15" s="12">
        <v>43934</v>
      </c>
      <c r="B15" s="25">
        <v>125</v>
      </c>
      <c r="C15" s="25">
        <v>0</v>
      </c>
      <c r="D15" s="25">
        <v>126</v>
      </c>
      <c r="E15" s="26">
        <v>0</v>
      </c>
      <c r="F15" s="26">
        <v>0</v>
      </c>
      <c r="G15" s="25">
        <v>0</v>
      </c>
      <c r="H15" s="27">
        <v>4034.84</v>
      </c>
      <c r="I15" s="108" t="s">
        <v>60</v>
      </c>
    </row>
    <row r="16" spans="1:9" x14ac:dyDescent="0.25">
      <c r="A16" s="12">
        <v>43935</v>
      </c>
      <c r="B16" s="25">
        <v>100</v>
      </c>
      <c r="C16" s="25">
        <v>0</v>
      </c>
      <c r="D16" s="25">
        <v>138</v>
      </c>
      <c r="E16" s="26">
        <v>0</v>
      </c>
      <c r="F16" s="26">
        <v>0</v>
      </c>
      <c r="G16" s="25">
        <v>0</v>
      </c>
      <c r="H16" s="27">
        <v>4034.82</v>
      </c>
      <c r="I16" s="108"/>
    </row>
    <row r="17" spans="1:9" x14ac:dyDescent="0.25">
      <c r="A17" s="12">
        <v>43936</v>
      </c>
      <c r="B17" s="25">
        <v>100</v>
      </c>
      <c r="C17" s="25">
        <v>0</v>
      </c>
      <c r="D17" s="25">
        <v>126</v>
      </c>
      <c r="E17" s="26">
        <v>0</v>
      </c>
      <c r="F17" s="26">
        <v>0</v>
      </c>
      <c r="G17" s="25">
        <v>0</v>
      </c>
      <c r="H17" s="27">
        <v>4034.8</v>
      </c>
      <c r="I17" s="108"/>
    </row>
    <row r="18" spans="1:9" x14ac:dyDescent="0.25">
      <c r="A18" s="12">
        <v>43937</v>
      </c>
      <c r="B18" s="25">
        <v>78</v>
      </c>
      <c r="C18" s="25">
        <v>0</v>
      </c>
      <c r="D18" s="25">
        <v>155</v>
      </c>
      <c r="E18" s="26">
        <v>0</v>
      </c>
      <c r="F18" s="26">
        <v>0</v>
      </c>
      <c r="G18" s="25">
        <v>0</v>
      </c>
      <c r="H18" s="27">
        <v>4034.82</v>
      </c>
      <c r="I18" s="108" t="s">
        <v>61</v>
      </c>
    </row>
    <row r="19" spans="1:9" x14ac:dyDescent="0.25">
      <c r="A19" s="12">
        <v>43938</v>
      </c>
      <c r="B19" s="25">
        <v>79</v>
      </c>
      <c r="C19" s="25">
        <v>0</v>
      </c>
      <c r="D19" s="25">
        <v>148</v>
      </c>
      <c r="E19" s="26">
        <v>0</v>
      </c>
      <c r="F19" s="26">
        <v>0</v>
      </c>
      <c r="G19" s="25">
        <v>0</v>
      </c>
      <c r="H19" s="27">
        <v>4034.81</v>
      </c>
      <c r="I19" s="108" t="s">
        <v>62</v>
      </c>
    </row>
    <row r="20" spans="1:9" x14ac:dyDescent="0.25">
      <c r="A20" s="12">
        <v>43939</v>
      </c>
      <c r="B20" s="25">
        <v>100</v>
      </c>
      <c r="C20" s="25">
        <v>0</v>
      </c>
      <c r="D20" s="25">
        <v>124</v>
      </c>
      <c r="E20" s="26">
        <v>0</v>
      </c>
      <c r="F20" s="26">
        <v>0</v>
      </c>
      <c r="G20" s="25">
        <v>0</v>
      </c>
      <c r="H20" s="27">
        <v>4034.8</v>
      </c>
      <c r="I20" s="108"/>
    </row>
    <row r="21" spans="1:9" x14ac:dyDescent="0.25">
      <c r="A21" s="12">
        <v>43940</v>
      </c>
      <c r="B21" s="25">
        <v>100</v>
      </c>
      <c r="C21" s="25">
        <v>0</v>
      </c>
      <c r="D21" s="25">
        <v>116</v>
      </c>
      <c r="E21" s="26">
        <v>0</v>
      </c>
      <c r="F21" s="26">
        <v>0</v>
      </c>
      <c r="G21" s="25">
        <v>0</v>
      </c>
      <c r="H21" s="27">
        <v>4034.8</v>
      </c>
      <c r="I21" s="108" t="s">
        <v>63</v>
      </c>
    </row>
    <row r="22" spans="1:9" x14ac:dyDescent="0.25">
      <c r="A22" s="12">
        <v>43941</v>
      </c>
      <c r="B22" s="25">
        <v>84</v>
      </c>
      <c r="C22" s="25">
        <v>0</v>
      </c>
      <c r="D22" s="25">
        <v>129</v>
      </c>
      <c r="E22" s="26">
        <v>0</v>
      </c>
      <c r="F22" s="26">
        <v>0</v>
      </c>
      <c r="G22" s="25">
        <v>0</v>
      </c>
      <c r="H22" s="27">
        <v>4034.8</v>
      </c>
      <c r="I22" s="108" t="s">
        <v>64</v>
      </c>
    </row>
    <row r="23" spans="1:9" x14ac:dyDescent="0.25">
      <c r="A23" s="12">
        <v>43942</v>
      </c>
      <c r="B23" s="25">
        <v>75</v>
      </c>
      <c r="C23" s="25">
        <v>8</v>
      </c>
      <c r="D23" s="25">
        <v>151</v>
      </c>
      <c r="E23" s="26">
        <v>0</v>
      </c>
      <c r="F23" s="26">
        <v>0</v>
      </c>
      <c r="G23" s="25">
        <v>0</v>
      </c>
      <c r="H23" s="27">
        <v>4034.8</v>
      </c>
      <c r="I23" s="108"/>
    </row>
    <row r="24" spans="1:9" x14ac:dyDescent="0.25">
      <c r="A24" s="12">
        <v>43943</v>
      </c>
      <c r="B24" s="25">
        <v>81</v>
      </c>
      <c r="C24" s="25">
        <v>0</v>
      </c>
      <c r="D24" s="25">
        <v>176</v>
      </c>
      <c r="E24" s="26">
        <v>0.01</v>
      </c>
      <c r="F24" s="26">
        <v>0</v>
      </c>
      <c r="G24" s="25">
        <v>0</v>
      </c>
      <c r="H24" s="27">
        <v>4034.8</v>
      </c>
      <c r="I24" s="108" t="s">
        <v>62</v>
      </c>
    </row>
    <row r="25" spans="1:9" x14ac:dyDescent="0.25">
      <c r="A25" s="12">
        <v>43944</v>
      </c>
      <c r="B25" s="25">
        <v>88</v>
      </c>
      <c r="C25" s="25">
        <v>0</v>
      </c>
      <c r="D25" s="25">
        <v>201</v>
      </c>
      <c r="E25" s="26">
        <v>0.01</v>
      </c>
      <c r="F25" s="26">
        <v>0</v>
      </c>
      <c r="G25" s="25">
        <v>0</v>
      </c>
      <c r="H25" s="27">
        <v>4034.8</v>
      </c>
      <c r="I25" s="108" t="s">
        <v>65</v>
      </c>
    </row>
    <row r="26" spans="1:9" x14ac:dyDescent="0.25">
      <c r="A26" s="12">
        <v>43945</v>
      </c>
      <c r="B26" s="25">
        <v>100</v>
      </c>
      <c r="C26" s="25">
        <v>0</v>
      </c>
      <c r="D26" s="25">
        <v>208</v>
      </c>
      <c r="E26" s="26">
        <v>0</v>
      </c>
      <c r="F26" s="26">
        <v>0</v>
      </c>
      <c r="G26" s="25">
        <v>0</v>
      </c>
      <c r="H26" s="27">
        <v>4034.82</v>
      </c>
      <c r="I26" s="108"/>
    </row>
    <row r="27" spans="1:9" x14ac:dyDescent="0.25">
      <c r="A27" s="12">
        <v>43946</v>
      </c>
      <c r="B27" s="25">
        <v>102</v>
      </c>
      <c r="C27" s="25">
        <v>0</v>
      </c>
      <c r="D27" s="25">
        <v>210</v>
      </c>
      <c r="E27" s="26">
        <v>0</v>
      </c>
      <c r="F27" s="26">
        <v>0</v>
      </c>
      <c r="G27" s="25">
        <v>0</v>
      </c>
      <c r="H27" s="27">
        <v>4034.83</v>
      </c>
      <c r="I27" s="108" t="s">
        <v>66</v>
      </c>
    </row>
    <row r="28" spans="1:9" x14ac:dyDescent="0.25">
      <c r="A28" s="12">
        <v>43947</v>
      </c>
      <c r="B28" s="25">
        <v>117</v>
      </c>
      <c r="C28" s="25">
        <v>0</v>
      </c>
      <c r="D28" s="25">
        <v>206</v>
      </c>
      <c r="E28" s="26">
        <v>0</v>
      </c>
      <c r="F28" s="26">
        <v>0</v>
      </c>
      <c r="G28" s="25">
        <v>0</v>
      </c>
      <c r="H28" s="27">
        <v>4034.84</v>
      </c>
      <c r="I28" s="108" t="s">
        <v>67</v>
      </c>
    </row>
    <row r="29" spans="1:9" x14ac:dyDescent="0.25">
      <c r="A29" s="12">
        <v>43948</v>
      </c>
      <c r="B29" s="25">
        <v>71</v>
      </c>
      <c r="C29" s="25">
        <v>6</v>
      </c>
      <c r="D29" s="25">
        <v>196</v>
      </c>
      <c r="E29" s="26">
        <v>0</v>
      </c>
      <c r="F29" s="26">
        <v>0</v>
      </c>
      <c r="G29" s="25">
        <v>0</v>
      </c>
      <c r="H29" s="27">
        <v>4034.85</v>
      </c>
      <c r="I29" s="108" t="s">
        <v>68</v>
      </c>
    </row>
    <row r="30" spans="1:9" x14ac:dyDescent="0.25">
      <c r="A30" s="12">
        <v>43949</v>
      </c>
      <c r="B30" s="25">
        <v>52</v>
      </c>
      <c r="C30" s="25">
        <v>0</v>
      </c>
      <c r="D30" s="25">
        <v>209</v>
      </c>
      <c r="E30" s="26">
        <v>0</v>
      </c>
      <c r="F30" s="26">
        <v>0</v>
      </c>
      <c r="G30" s="25">
        <v>0</v>
      </c>
      <c r="H30" s="27">
        <v>4034.85</v>
      </c>
      <c r="I30" s="108" t="s">
        <v>69</v>
      </c>
    </row>
    <row r="31" spans="1:9" x14ac:dyDescent="0.25">
      <c r="A31" s="12">
        <v>43950</v>
      </c>
      <c r="B31" s="25">
        <v>100</v>
      </c>
      <c r="C31" s="25">
        <v>0</v>
      </c>
      <c r="D31" s="25">
        <v>224</v>
      </c>
      <c r="E31" s="26">
        <v>0</v>
      </c>
      <c r="F31" s="26">
        <v>0</v>
      </c>
      <c r="G31" s="25">
        <v>0</v>
      </c>
      <c r="H31" s="27">
        <v>4034.85</v>
      </c>
      <c r="I31" s="108"/>
    </row>
    <row r="32" spans="1:9" ht="15.75" thickBot="1" x14ac:dyDescent="0.3">
      <c r="A32" s="12">
        <v>43951</v>
      </c>
      <c r="B32" s="25">
        <v>110</v>
      </c>
      <c r="C32" s="25">
        <v>0</v>
      </c>
      <c r="D32" s="25">
        <v>226</v>
      </c>
      <c r="E32" s="26">
        <v>0</v>
      </c>
      <c r="F32" s="26">
        <v>0</v>
      </c>
      <c r="G32" s="25">
        <v>0</v>
      </c>
      <c r="H32" s="27">
        <v>4034.85</v>
      </c>
      <c r="I32" s="108" t="s">
        <v>70</v>
      </c>
    </row>
    <row r="33" spans="1:15" s="11" customFormat="1" ht="15.75" thickTop="1" x14ac:dyDescent="0.25">
      <c r="A33" s="16" t="s">
        <v>8</v>
      </c>
      <c r="B33" s="17">
        <f t="shared" ref="B33:G33" si="0">SUM(B3:B32)</f>
        <v>2148</v>
      </c>
      <c r="C33" s="17">
        <f t="shared" si="0"/>
        <v>14</v>
      </c>
      <c r="D33" s="17">
        <f t="shared" si="0"/>
        <v>3823</v>
      </c>
      <c r="E33" s="18">
        <f t="shared" si="0"/>
        <v>9.9999999999999992E-2</v>
      </c>
      <c r="F33" s="18">
        <f t="shared" si="0"/>
        <v>0</v>
      </c>
      <c r="G33" s="17">
        <f t="shared" si="0"/>
        <v>0</v>
      </c>
      <c r="H33" s="18"/>
      <c r="I33"/>
    </row>
    <row r="34" spans="1:15" s="11" customFormat="1" x14ac:dyDescent="0.25">
      <c r="A34" s="19" t="s">
        <v>9</v>
      </c>
      <c r="B34" s="20">
        <f>SUM(B33+'Mar 2020'!B35)</f>
        <v>7587</v>
      </c>
      <c r="C34" s="20">
        <f>SUM(C33+'Mar 2020'!C35)</f>
        <v>3879</v>
      </c>
      <c r="D34" s="20">
        <f>SUM(D33+'Mar 2020'!D35)</f>
        <v>11087</v>
      </c>
      <c r="E34" s="21">
        <f>SUM(E33+'Mar 2020'!E35)</f>
        <v>4.2700000000000005</v>
      </c>
      <c r="F34" s="21">
        <f>SUM(F33+'Mar 2020'!F35)</f>
        <v>14.6</v>
      </c>
      <c r="G34" s="20">
        <f>SUM(G33+'Mar 2020'!G35)</f>
        <v>14754</v>
      </c>
      <c r="H34" s="21"/>
    </row>
    <row r="35" spans="1:15" x14ac:dyDescent="0.25">
      <c r="I35" s="11"/>
    </row>
    <row r="36" spans="1:15" x14ac:dyDescent="0.25">
      <c r="A36" t="s">
        <v>10</v>
      </c>
      <c r="B36" s="23">
        <f>SUM(B3:B33)*1.9835</f>
        <v>8521.116</v>
      </c>
      <c r="C36" s="23">
        <f>SUM(C3:C33)*1.9835</f>
        <v>55.538000000000004</v>
      </c>
      <c r="D36" s="23">
        <f>SUM(D3:D33)*1.9835</f>
        <v>15165.841</v>
      </c>
      <c r="E36" s="23"/>
      <c r="F36" s="23"/>
      <c r="G36" s="23"/>
      <c r="I36" s="22"/>
    </row>
    <row r="38" spans="1:15" x14ac:dyDescent="0.25">
      <c r="A38" t="s">
        <v>24</v>
      </c>
      <c r="B38" s="23">
        <f>SUM(B36+'Mar 2020'!B39)</f>
        <v>19309.372499999998</v>
      </c>
      <c r="C38" s="23">
        <f>SUM(C36+'Mar 2020'!C39)</f>
        <v>9703.2820000000011</v>
      </c>
      <c r="D38" s="23">
        <f>SUM(D36+'Mar 2020'!D39)</f>
        <v>29573.985000000001</v>
      </c>
      <c r="E38" s="23"/>
      <c r="F38" s="23"/>
      <c r="G38" s="23"/>
      <c r="I38" s="22"/>
    </row>
    <row r="39" spans="1:15" x14ac:dyDescent="0.25">
      <c r="B39" s="23"/>
      <c r="C39" s="23"/>
      <c r="D39" s="24"/>
      <c r="E39" s="23"/>
      <c r="F39" s="23"/>
      <c r="G39" s="23"/>
      <c r="I39" s="22"/>
    </row>
    <row r="40" spans="1:15" ht="17.45" customHeight="1" x14ac:dyDescent="0.25">
      <c r="A40" s="113"/>
      <c r="B40" s="113"/>
      <c r="C40" s="113"/>
      <c r="D40" s="113"/>
      <c r="E40" s="113"/>
      <c r="F40" s="114"/>
      <c r="G40" s="115" t="s">
        <v>12</v>
      </c>
      <c r="H40" s="116"/>
      <c r="I40" s="30"/>
      <c r="J40" s="30"/>
      <c r="K40" s="30"/>
      <c r="L40" s="30"/>
      <c r="M40" s="30"/>
      <c r="N40" s="31"/>
      <c r="O40" s="30"/>
    </row>
    <row r="41" spans="1:15" ht="16.899999999999999" customHeight="1" x14ac:dyDescent="0.25">
      <c r="A41" s="29"/>
      <c r="B41" s="29"/>
      <c r="C41" s="29"/>
      <c r="D41" s="29"/>
      <c r="E41" s="29"/>
      <c r="F41" s="29"/>
      <c r="G41" s="115"/>
      <c r="H41" s="116"/>
      <c r="I41" s="30"/>
      <c r="J41" s="30"/>
      <c r="K41" s="30"/>
      <c r="L41" s="30"/>
      <c r="M41" s="30"/>
      <c r="N41" s="31"/>
      <c r="O41" s="30"/>
    </row>
    <row r="42" spans="1:15" ht="13.9" customHeight="1" x14ac:dyDescent="0.25">
      <c r="A42" s="118" t="s">
        <v>23</v>
      </c>
      <c r="B42" s="118"/>
      <c r="C42" s="118"/>
      <c r="D42" s="118"/>
      <c r="E42" s="118"/>
      <c r="F42" s="118"/>
      <c r="G42" s="118"/>
      <c r="H42" s="118"/>
      <c r="I42" s="118"/>
      <c r="J42" s="118"/>
      <c r="K42" s="32"/>
      <c r="L42" s="32"/>
      <c r="M42" s="32"/>
      <c r="N42" s="33"/>
      <c r="O42" s="34"/>
    </row>
    <row r="43" spans="1:15" ht="15.6" customHeight="1" x14ac:dyDescent="0.25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4"/>
      <c r="N43" s="33"/>
    </row>
    <row r="44" spans="1:15" x14ac:dyDescent="0.25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4"/>
      <c r="N44" s="33"/>
    </row>
    <row r="45" spans="1:15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ht="13.15" customHeight="1" x14ac:dyDescent="0.25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4"/>
      <c r="N49" s="33"/>
      <c r="O49" s="34"/>
    </row>
    <row r="50" spans="1:15" ht="15.75" thickBot="1" x14ac:dyDescent="0.3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26.25" x14ac:dyDescent="0.2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  <c r="J51" s="57"/>
    </row>
    <row r="52" spans="1:15" ht="15.75" x14ac:dyDescent="0.25">
      <c r="A52" s="58"/>
      <c r="B52" s="59"/>
      <c r="C52" s="60"/>
      <c r="D52" s="61"/>
      <c r="E52" s="62"/>
      <c r="F52" s="63">
        <f>SUM(C52/24*D52)</f>
        <v>0</v>
      </c>
      <c r="G52" s="64"/>
      <c r="H52" s="65"/>
      <c r="I52" s="66"/>
      <c r="J52" s="66"/>
    </row>
    <row r="53" spans="1:15" x14ac:dyDescent="0.25">
      <c r="A53" s="67"/>
      <c r="B53" s="68"/>
      <c r="C53" s="69"/>
      <c r="D53" s="61"/>
      <c r="E53" s="70"/>
      <c r="F53" s="71">
        <f>SUM(C53/24*D53)</f>
        <v>0</v>
      </c>
      <c r="G53" s="64"/>
      <c r="H53" s="65"/>
    </row>
    <row r="54" spans="1:15" x14ac:dyDescent="0.25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5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ht="15.75" thickBot="1" x14ac:dyDescent="0.3">
      <c r="A56" s="73"/>
      <c r="B56" s="74"/>
      <c r="C56" s="75"/>
      <c r="D56" s="76"/>
      <c r="E56" s="75"/>
      <c r="F56" s="77">
        <f>SUM(C56/24*D56)</f>
        <v>0</v>
      </c>
      <c r="G56" s="64"/>
      <c r="H56" s="65"/>
      <c r="I56" s="78"/>
      <c r="J56" s="78"/>
    </row>
    <row r="57" spans="1:15" s="84" customFormat="1" ht="30" customHeight="1" x14ac:dyDescent="0.25">
      <c r="A57" s="119" t="s">
        <v>21</v>
      </c>
      <c r="B57" s="120"/>
      <c r="C57" s="121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J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5" x14ac:dyDescent="0.2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30" x14ac:dyDescent="0.25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25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25">
      <c r="A3" s="12">
        <v>43891</v>
      </c>
      <c r="B3" s="13">
        <v>0</v>
      </c>
      <c r="C3" s="13">
        <v>0</v>
      </c>
      <c r="D3" s="13">
        <v>20</v>
      </c>
      <c r="E3" s="14">
        <v>0</v>
      </c>
      <c r="F3" s="14">
        <v>0</v>
      </c>
      <c r="G3" s="13">
        <v>0</v>
      </c>
      <c r="H3" s="15">
        <v>4034.82</v>
      </c>
      <c r="I3" s="108"/>
    </row>
    <row r="4" spans="1:9" x14ac:dyDescent="0.25">
      <c r="A4" s="12">
        <v>43892</v>
      </c>
      <c r="B4" s="106">
        <v>13</v>
      </c>
      <c r="C4" s="13">
        <v>0</v>
      </c>
      <c r="D4" s="13">
        <v>20</v>
      </c>
      <c r="E4" s="14">
        <v>0</v>
      </c>
      <c r="F4" s="14">
        <v>0</v>
      </c>
      <c r="G4" s="13">
        <v>0</v>
      </c>
      <c r="H4" s="15">
        <v>4034.82</v>
      </c>
      <c r="I4" s="108" t="s">
        <v>52</v>
      </c>
    </row>
    <row r="5" spans="1:9" x14ac:dyDescent="0.25">
      <c r="A5" s="12">
        <v>43893</v>
      </c>
      <c r="B5" s="13">
        <v>20</v>
      </c>
      <c r="C5" s="13">
        <v>0</v>
      </c>
      <c r="D5" s="13">
        <v>25</v>
      </c>
      <c r="E5" s="14">
        <v>0</v>
      </c>
      <c r="F5" s="14">
        <v>0</v>
      </c>
      <c r="G5" s="13">
        <v>0</v>
      </c>
      <c r="H5" s="15">
        <v>4034.85</v>
      </c>
      <c r="I5" s="108"/>
    </row>
    <row r="6" spans="1:9" x14ac:dyDescent="0.25">
      <c r="A6" s="12">
        <v>43894</v>
      </c>
      <c r="B6" s="13">
        <v>20</v>
      </c>
      <c r="C6" s="13">
        <v>0</v>
      </c>
      <c r="D6" s="13">
        <v>40</v>
      </c>
      <c r="E6" s="14">
        <v>0</v>
      </c>
      <c r="F6" s="14">
        <v>0</v>
      </c>
      <c r="G6" s="13">
        <v>0</v>
      </c>
      <c r="H6" s="15">
        <v>4034.88</v>
      </c>
      <c r="I6" s="108"/>
    </row>
    <row r="7" spans="1:9" x14ac:dyDescent="0.25">
      <c r="A7" s="12">
        <v>43895</v>
      </c>
      <c r="B7" s="13">
        <v>20</v>
      </c>
      <c r="C7" s="13">
        <v>0</v>
      </c>
      <c r="D7" s="13">
        <v>40</v>
      </c>
      <c r="E7" s="14">
        <v>0</v>
      </c>
      <c r="F7" s="14">
        <v>0</v>
      </c>
      <c r="G7" s="13">
        <v>0</v>
      </c>
      <c r="H7" s="15">
        <v>4034.88</v>
      </c>
      <c r="I7" s="108"/>
    </row>
    <row r="8" spans="1:9" x14ac:dyDescent="0.25">
      <c r="A8" s="12">
        <v>43896</v>
      </c>
      <c r="B8" s="13">
        <v>20</v>
      </c>
      <c r="C8" s="13">
        <v>0</v>
      </c>
      <c r="D8" s="13">
        <v>40</v>
      </c>
      <c r="E8" s="14">
        <v>0</v>
      </c>
      <c r="F8" s="107">
        <v>0</v>
      </c>
      <c r="G8" s="13">
        <v>0</v>
      </c>
      <c r="H8" s="15">
        <v>4034.88</v>
      </c>
      <c r="I8" s="108"/>
    </row>
    <row r="9" spans="1:9" x14ac:dyDescent="0.25">
      <c r="A9" s="12">
        <v>43897</v>
      </c>
      <c r="B9" s="106">
        <v>20</v>
      </c>
      <c r="C9" s="13">
        <v>0</v>
      </c>
      <c r="D9" s="13">
        <v>40</v>
      </c>
      <c r="E9" s="14">
        <v>7.0000000000000007E-2</v>
      </c>
      <c r="F9" s="14">
        <v>0.4</v>
      </c>
      <c r="G9" s="13">
        <v>0</v>
      </c>
      <c r="H9" s="15">
        <v>4034.9</v>
      </c>
      <c r="I9" s="108"/>
    </row>
    <row r="10" spans="1:9" x14ac:dyDescent="0.25">
      <c r="A10" s="12">
        <v>43898</v>
      </c>
      <c r="B10" s="13">
        <v>20</v>
      </c>
      <c r="C10" s="13">
        <v>0</v>
      </c>
      <c r="D10" s="13">
        <v>40</v>
      </c>
      <c r="E10" s="14">
        <v>0.01</v>
      </c>
      <c r="F10" s="14">
        <v>0</v>
      </c>
      <c r="G10" s="13">
        <v>0</v>
      </c>
      <c r="H10" s="15">
        <v>4034.9</v>
      </c>
      <c r="I10" s="108"/>
    </row>
    <row r="11" spans="1:9" x14ac:dyDescent="0.25">
      <c r="A11" s="12">
        <v>43899</v>
      </c>
      <c r="B11" s="13">
        <v>20</v>
      </c>
      <c r="C11" s="13">
        <v>0</v>
      </c>
      <c r="D11" s="13">
        <v>40</v>
      </c>
      <c r="E11" s="107" t="s">
        <v>47</v>
      </c>
      <c r="F11" s="14">
        <v>0</v>
      </c>
      <c r="G11" s="13">
        <v>0</v>
      </c>
      <c r="H11" s="15">
        <v>4034.9</v>
      </c>
      <c r="I11" s="108"/>
    </row>
    <row r="12" spans="1:9" x14ac:dyDescent="0.25">
      <c r="A12" s="12">
        <v>43900</v>
      </c>
      <c r="B12" s="13">
        <v>20</v>
      </c>
      <c r="C12" s="13">
        <v>0</v>
      </c>
      <c r="D12" s="13">
        <v>40</v>
      </c>
      <c r="E12" s="107" t="s">
        <v>47</v>
      </c>
      <c r="F12" s="14">
        <v>0</v>
      </c>
      <c r="G12" s="13">
        <v>0</v>
      </c>
      <c r="H12" s="15">
        <v>4034.92</v>
      </c>
      <c r="I12" s="108"/>
    </row>
    <row r="13" spans="1:9" x14ac:dyDescent="0.25">
      <c r="A13" s="12">
        <v>43901</v>
      </c>
      <c r="B13" s="13">
        <v>20</v>
      </c>
      <c r="C13" s="13">
        <v>0</v>
      </c>
      <c r="D13" s="13">
        <v>40</v>
      </c>
      <c r="E13" s="14">
        <v>0</v>
      </c>
      <c r="F13" s="14">
        <v>0</v>
      </c>
      <c r="G13" s="13">
        <v>0</v>
      </c>
      <c r="H13" s="15">
        <v>4034.92</v>
      </c>
      <c r="I13" s="108"/>
    </row>
    <row r="14" spans="1:9" x14ac:dyDescent="0.25">
      <c r="A14" s="12">
        <v>43902</v>
      </c>
      <c r="B14" s="13">
        <v>20</v>
      </c>
      <c r="C14" s="13">
        <v>0</v>
      </c>
      <c r="D14" s="13">
        <v>40</v>
      </c>
      <c r="E14" s="14">
        <v>0</v>
      </c>
      <c r="F14" s="14">
        <v>0</v>
      </c>
      <c r="G14" s="13">
        <v>0</v>
      </c>
      <c r="H14" s="15">
        <v>4034.92</v>
      </c>
      <c r="I14" s="108"/>
    </row>
    <row r="15" spans="1:9" x14ac:dyDescent="0.25">
      <c r="A15" s="12">
        <v>43903</v>
      </c>
      <c r="B15" s="106">
        <v>20</v>
      </c>
      <c r="C15" s="13">
        <v>0</v>
      </c>
      <c r="D15" s="13">
        <v>40</v>
      </c>
      <c r="E15" s="14">
        <v>0</v>
      </c>
      <c r="F15" s="14">
        <v>0</v>
      </c>
      <c r="G15" s="13">
        <v>0</v>
      </c>
      <c r="H15" s="15">
        <v>4034.92</v>
      </c>
      <c r="I15" s="108"/>
    </row>
    <row r="16" spans="1:9" x14ac:dyDescent="0.25">
      <c r="A16" s="12">
        <v>43904</v>
      </c>
      <c r="B16" s="106">
        <v>20</v>
      </c>
      <c r="C16" s="13">
        <v>0</v>
      </c>
      <c r="D16" s="13">
        <v>40</v>
      </c>
      <c r="E16" s="14">
        <v>0.03</v>
      </c>
      <c r="F16" s="14">
        <v>0</v>
      </c>
      <c r="G16" s="13">
        <v>0</v>
      </c>
      <c r="H16" s="15">
        <v>4034.92</v>
      </c>
      <c r="I16" s="108"/>
    </row>
    <row r="17" spans="1:9" x14ac:dyDescent="0.25">
      <c r="A17" s="12">
        <v>43905</v>
      </c>
      <c r="B17" s="13">
        <v>20</v>
      </c>
      <c r="C17" s="13">
        <v>0</v>
      </c>
      <c r="D17" s="13">
        <v>40</v>
      </c>
      <c r="E17" s="14">
        <v>0.03</v>
      </c>
      <c r="F17" s="107" t="s">
        <v>47</v>
      </c>
      <c r="G17" s="13">
        <v>0</v>
      </c>
      <c r="H17" s="15">
        <v>4034.92</v>
      </c>
      <c r="I17" s="108"/>
    </row>
    <row r="18" spans="1:9" x14ac:dyDescent="0.25">
      <c r="A18" s="12">
        <v>43906</v>
      </c>
      <c r="B18" s="13">
        <v>20</v>
      </c>
      <c r="C18" s="13">
        <v>0</v>
      </c>
      <c r="D18" s="13">
        <v>40</v>
      </c>
      <c r="E18" s="107" t="s">
        <v>47</v>
      </c>
      <c r="F18" s="107">
        <v>0</v>
      </c>
      <c r="G18" s="13">
        <v>0</v>
      </c>
      <c r="H18" s="15">
        <v>4034.92</v>
      </c>
      <c r="I18" s="108"/>
    </row>
    <row r="19" spans="1:9" x14ac:dyDescent="0.25">
      <c r="A19" s="12">
        <v>43907</v>
      </c>
      <c r="B19" s="13">
        <v>20</v>
      </c>
      <c r="C19" s="13">
        <v>0</v>
      </c>
      <c r="D19" s="13">
        <v>40</v>
      </c>
      <c r="E19" s="14">
        <v>0</v>
      </c>
      <c r="F19" s="107">
        <v>0</v>
      </c>
      <c r="G19" s="13">
        <v>0</v>
      </c>
      <c r="H19" s="15">
        <v>4034.93</v>
      </c>
      <c r="I19" s="108"/>
    </row>
    <row r="20" spans="1:9" x14ac:dyDescent="0.25">
      <c r="A20" s="12">
        <v>43908</v>
      </c>
      <c r="B20" s="106">
        <v>20</v>
      </c>
      <c r="C20" s="13">
        <v>0</v>
      </c>
      <c r="D20" s="13">
        <v>40</v>
      </c>
      <c r="E20" s="14">
        <v>0.33</v>
      </c>
      <c r="F20" s="107">
        <v>4</v>
      </c>
      <c r="G20" s="13">
        <v>0</v>
      </c>
      <c r="H20" s="15">
        <v>4034.94</v>
      </c>
      <c r="I20" s="108"/>
    </row>
    <row r="21" spans="1:9" x14ac:dyDescent="0.25">
      <c r="A21" s="12">
        <v>43909</v>
      </c>
      <c r="B21" s="13">
        <v>20</v>
      </c>
      <c r="C21" s="13">
        <v>0</v>
      </c>
      <c r="D21" s="13">
        <v>40</v>
      </c>
      <c r="E21" s="14">
        <v>0</v>
      </c>
      <c r="F21" s="14">
        <v>0</v>
      </c>
      <c r="G21" s="13">
        <v>0</v>
      </c>
      <c r="H21" s="15">
        <v>4034.95</v>
      </c>
      <c r="I21" s="108"/>
    </row>
    <row r="22" spans="1:9" x14ac:dyDescent="0.25">
      <c r="A22" s="12">
        <v>43910</v>
      </c>
      <c r="B22" s="25">
        <v>25</v>
      </c>
      <c r="C22" s="13">
        <v>0</v>
      </c>
      <c r="D22" s="25">
        <v>45</v>
      </c>
      <c r="E22" s="26">
        <v>0</v>
      </c>
      <c r="F22" s="26">
        <v>0</v>
      </c>
      <c r="G22" s="13">
        <v>0</v>
      </c>
      <c r="H22" s="27">
        <v>4034.96</v>
      </c>
      <c r="I22" s="108" t="s">
        <v>53</v>
      </c>
    </row>
    <row r="23" spans="1:9" x14ac:dyDescent="0.25">
      <c r="A23" s="12">
        <v>43911</v>
      </c>
      <c r="B23" s="25">
        <v>30</v>
      </c>
      <c r="C23" s="13">
        <v>0</v>
      </c>
      <c r="D23" s="25">
        <v>50</v>
      </c>
      <c r="E23" s="26">
        <v>0.01</v>
      </c>
      <c r="F23" s="26">
        <v>0</v>
      </c>
      <c r="G23" s="13">
        <v>0</v>
      </c>
      <c r="H23" s="27">
        <v>4034.96</v>
      </c>
      <c r="I23" s="108"/>
    </row>
    <row r="24" spans="1:9" x14ac:dyDescent="0.25">
      <c r="A24" s="12">
        <v>43912</v>
      </c>
      <c r="B24" s="25">
        <v>30</v>
      </c>
      <c r="C24" s="13">
        <v>0</v>
      </c>
      <c r="D24" s="25">
        <v>50</v>
      </c>
      <c r="E24" s="26">
        <v>0</v>
      </c>
      <c r="F24" s="26">
        <v>0</v>
      </c>
      <c r="G24" s="13">
        <v>0</v>
      </c>
      <c r="H24" s="27">
        <v>4034.96</v>
      </c>
      <c r="I24" s="108"/>
    </row>
    <row r="25" spans="1:9" x14ac:dyDescent="0.25">
      <c r="A25" s="12">
        <v>43913</v>
      </c>
      <c r="B25" s="25">
        <v>30</v>
      </c>
      <c r="C25" s="25">
        <v>0</v>
      </c>
      <c r="D25" s="25">
        <v>50</v>
      </c>
      <c r="E25" s="26" t="s">
        <v>47</v>
      </c>
      <c r="F25" s="26">
        <v>0</v>
      </c>
      <c r="G25" s="25">
        <v>0</v>
      </c>
      <c r="H25" s="27">
        <v>4034.96</v>
      </c>
      <c r="I25" s="108"/>
    </row>
    <row r="26" spans="1:9" x14ac:dyDescent="0.25">
      <c r="A26" s="12">
        <v>43914</v>
      </c>
      <c r="B26" s="25">
        <v>30</v>
      </c>
      <c r="C26" s="25">
        <v>0</v>
      </c>
      <c r="D26" s="25">
        <v>50</v>
      </c>
      <c r="E26" s="26">
        <v>0.04</v>
      </c>
      <c r="F26" s="26">
        <v>0</v>
      </c>
      <c r="G26" s="25">
        <v>0</v>
      </c>
      <c r="H26" s="27">
        <v>4034.96</v>
      </c>
      <c r="I26" s="108"/>
    </row>
    <row r="27" spans="1:9" x14ac:dyDescent="0.25">
      <c r="A27" s="12">
        <v>43915</v>
      </c>
      <c r="B27" s="25">
        <v>30</v>
      </c>
      <c r="C27" s="25">
        <v>0</v>
      </c>
      <c r="D27" s="25">
        <v>50</v>
      </c>
      <c r="E27" s="26">
        <v>0.1</v>
      </c>
      <c r="F27" s="26">
        <v>0</v>
      </c>
      <c r="G27" s="25">
        <v>0</v>
      </c>
      <c r="H27" s="27">
        <v>4034.96</v>
      </c>
      <c r="I27" s="108"/>
    </row>
    <row r="28" spans="1:9" x14ac:dyDescent="0.25">
      <c r="A28" s="12">
        <v>43916</v>
      </c>
      <c r="B28" s="25">
        <v>30</v>
      </c>
      <c r="C28" s="25">
        <v>0</v>
      </c>
      <c r="D28" s="25">
        <v>50</v>
      </c>
      <c r="E28" s="26" t="s">
        <v>47</v>
      </c>
      <c r="F28" s="26">
        <v>0</v>
      </c>
      <c r="G28" s="25">
        <v>0</v>
      </c>
      <c r="H28" s="27">
        <v>4034.96</v>
      </c>
      <c r="I28" s="108"/>
    </row>
    <row r="29" spans="1:9" x14ac:dyDescent="0.25">
      <c r="A29" s="12">
        <v>43917</v>
      </c>
      <c r="B29" s="25">
        <v>30</v>
      </c>
      <c r="C29" s="25">
        <v>0</v>
      </c>
      <c r="D29" s="25">
        <v>50</v>
      </c>
      <c r="E29" s="26">
        <v>0</v>
      </c>
      <c r="F29" s="26">
        <v>0</v>
      </c>
      <c r="G29" s="25">
        <v>0</v>
      </c>
      <c r="H29" s="27">
        <v>4034.96</v>
      </c>
      <c r="I29" s="108"/>
    </row>
    <row r="30" spans="1:9" x14ac:dyDescent="0.25">
      <c r="A30" s="12">
        <v>43918</v>
      </c>
      <c r="B30" s="13">
        <v>30</v>
      </c>
      <c r="C30" s="13">
        <v>0</v>
      </c>
      <c r="D30" s="13">
        <v>50</v>
      </c>
      <c r="E30" s="107" t="s">
        <v>47</v>
      </c>
      <c r="F30" s="14">
        <v>0</v>
      </c>
      <c r="G30" s="13">
        <v>0</v>
      </c>
      <c r="H30" s="15">
        <v>4034.96</v>
      </c>
      <c r="I30" s="108"/>
    </row>
    <row r="31" spans="1:9" x14ac:dyDescent="0.25">
      <c r="A31" s="12">
        <v>43919</v>
      </c>
      <c r="B31" s="106">
        <v>30</v>
      </c>
      <c r="C31" s="13">
        <v>0</v>
      </c>
      <c r="D31" s="13">
        <v>50</v>
      </c>
      <c r="E31" s="107">
        <v>0.04</v>
      </c>
      <c r="F31" s="14">
        <v>0</v>
      </c>
      <c r="G31" s="13">
        <v>0</v>
      </c>
      <c r="H31" s="15">
        <v>4034.96</v>
      </c>
      <c r="I31" s="108"/>
    </row>
    <row r="32" spans="1:9" x14ac:dyDescent="0.25">
      <c r="A32" s="12">
        <v>43920</v>
      </c>
      <c r="B32" s="13">
        <v>30</v>
      </c>
      <c r="C32" s="13">
        <v>0</v>
      </c>
      <c r="D32" s="13">
        <v>50</v>
      </c>
      <c r="E32" s="107">
        <v>0</v>
      </c>
      <c r="F32" s="107">
        <v>0</v>
      </c>
      <c r="G32" s="13">
        <v>0</v>
      </c>
      <c r="H32" s="15">
        <v>4034.94</v>
      </c>
      <c r="I32" s="108"/>
    </row>
    <row r="33" spans="1:15" ht="15.75" thickBot="1" x14ac:dyDescent="0.3">
      <c r="A33" s="12">
        <v>43921</v>
      </c>
      <c r="B33" s="13">
        <v>30</v>
      </c>
      <c r="C33" s="13">
        <v>0</v>
      </c>
      <c r="D33" s="13">
        <v>50</v>
      </c>
      <c r="E33" s="107" t="s">
        <v>47</v>
      </c>
      <c r="F33" s="14">
        <v>0</v>
      </c>
      <c r="G33" s="13">
        <v>0</v>
      </c>
      <c r="H33" s="15">
        <v>4034.94</v>
      </c>
      <c r="I33" s="108"/>
    </row>
    <row r="34" spans="1:15" s="11" customFormat="1" ht="15.75" thickTop="1" x14ac:dyDescent="0.25">
      <c r="A34" s="16" t="s">
        <v>8</v>
      </c>
      <c r="B34" s="17">
        <f t="shared" ref="B34:G34" si="0">SUM(B3:B33)</f>
        <v>708</v>
      </c>
      <c r="C34" s="17">
        <f t="shared" si="0"/>
        <v>0</v>
      </c>
      <c r="D34" s="17">
        <f t="shared" si="0"/>
        <v>1300</v>
      </c>
      <c r="E34" s="18">
        <f t="shared" si="0"/>
        <v>0.66</v>
      </c>
      <c r="F34" s="18">
        <f t="shared" si="0"/>
        <v>4.4000000000000004</v>
      </c>
      <c r="G34" s="17">
        <f t="shared" si="0"/>
        <v>0</v>
      </c>
      <c r="H34" s="18"/>
    </row>
    <row r="35" spans="1:15" s="11" customFormat="1" x14ac:dyDescent="0.25">
      <c r="A35" s="19" t="s">
        <v>9</v>
      </c>
      <c r="B35" s="20">
        <f>SUM(B34+'Feb 2020'!B33)</f>
        <v>5439</v>
      </c>
      <c r="C35" s="20">
        <f>SUM(C34+'Feb 2020'!C33)</f>
        <v>3865</v>
      </c>
      <c r="D35" s="20">
        <f>SUM(D34+'Feb 2020'!D33)</f>
        <v>7264</v>
      </c>
      <c r="E35" s="21">
        <f>SUM(E34+'Feb 2020'!E33)</f>
        <v>4.1700000000000008</v>
      </c>
      <c r="F35" s="21">
        <f>SUM(F34+'Feb 2020'!F33)</f>
        <v>14.6</v>
      </c>
      <c r="G35" s="20">
        <f>SUM(G34+'Feb 2020'!G33)</f>
        <v>14754</v>
      </c>
      <c r="H35" s="21"/>
    </row>
    <row r="37" spans="1:15" x14ac:dyDescent="0.25">
      <c r="A37" t="s">
        <v>10</v>
      </c>
      <c r="B37" s="23">
        <f>SUM(B3:B33)*1.9835</f>
        <v>1404.318</v>
      </c>
      <c r="C37" s="23">
        <f>SUM(C3:C33)*1.9835</f>
        <v>0</v>
      </c>
      <c r="D37" s="23">
        <f>SUM(D3:D33)*1.9835</f>
        <v>2578.5500000000002</v>
      </c>
      <c r="E37" s="23"/>
      <c r="F37" s="23"/>
      <c r="G37" s="23"/>
      <c r="I37" s="22"/>
    </row>
    <row r="39" spans="1:15" x14ac:dyDescent="0.25">
      <c r="A39" t="s">
        <v>24</v>
      </c>
      <c r="B39" s="23">
        <f>SUM(B37+'Feb 2020'!B37)</f>
        <v>10788.2565</v>
      </c>
      <c r="C39" s="23">
        <f>SUM(C37+'Feb 2020'!C37)</f>
        <v>9647.7440000000006</v>
      </c>
      <c r="D39" s="23">
        <f>SUM(D37+'Feb 2020'!D37)</f>
        <v>14408.144</v>
      </c>
      <c r="E39" s="23"/>
      <c r="F39" s="23"/>
      <c r="G39" s="23"/>
      <c r="I39" s="22"/>
    </row>
    <row r="40" spans="1:15" x14ac:dyDescent="0.25">
      <c r="B40" s="23"/>
      <c r="C40" s="23"/>
      <c r="D40" s="24"/>
      <c r="E40" s="23"/>
      <c r="F40" s="23"/>
      <c r="G40" s="23"/>
      <c r="I40" s="22"/>
    </row>
    <row r="41" spans="1:15" ht="17.45" customHeight="1" x14ac:dyDescent="0.25">
      <c r="A41" s="113"/>
      <c r="B41" s="113"/>
      <c r="C41" s="113"/>
      <c r="D41" s="113"/>
      <c r="E41" s="113"/>
      <c r="F41" s="114"/>
      <c r="G41" s="115" t="s">
        <v>12</v>
      </c>
      <c r="H41" s="116"/>
      <c r="I41" s="30"/>
      <c r="J41" s="30"/>
      <c r="K41" s="30"/>
      <c r="L41" s="30"/>
      <c r="M41" s="30"/>
      <c r="N41" s="31"/>
      <c r="O41" s="30"/>
    </row>
    <row r="42" spans="1:15" ht="16.899999999999999" customHeight="1" x14ac:dyDescent="0.25">
      <c r="A42" s="29"/>
      <c r="B42" s="29"/>
      <c r="C42" s="29"/>
      <c r="D42" s="29"/>
      <c r="E42" s="29"/>
      <c r="F42" s="29"/>
      <c r="G42" s="115"/>
      <c r="H42" s="116"/>
      <c r="I42" s="30"/>
      <c r="J42" s="30"/>
      <c r="K42" s="30"/>
      <c r="L42" s="30"/>
      <c r="M42" s="30"/>
      <c r="N42" s="31"/>
      <c r="O42" s="30"/>
    </row>
    <row r="43" spans="1:15" ht="13.9" customHeight="1" x14ac:dyDescent="0.25">
      <c r="A43" s="118" t="s">
        <v>23</v>
      </c>
      <c r="B43" s="118"/>
      <c r="C43" s="118"/>
      <c r="D43" s="118"/>
      <c r="E43" s="118"/>
      <c r="F43" s="118"/>
      <c r="G43" s="118"/>
      <c r="H43" s="118"/>
      <c r="I43" s="118"/>
      <c r="J43" s="118"/>
      <c r="K43" s="32"/>
      <c r="L43" s="32"/>
      <c r="M43" s="32"/>
      <c r="N43" s="33"/>
      <c r="O43" s="34"/>
    </row>
    <row r="44" spans="1:15" ht="15.6" customHeight="1" x14ac:dyDescent="0.25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x14ac:dyDescent="0.25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4"/>
      <c r="N49" s="33"/>
    </row>
    <row r="50" spans="1:15" ht="13.15" customHeight="1" x14ac:dyDescent="0.25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15.75" thickBot="1" x14ac:dyDescent="0.3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4"/>
      <c r="N51" s="33"/>
      <c r="O51" s="34"/>
    </row>
    <row r="52" spans="1:15" ht="26.25" x14ac:dyDescent="0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</row>
    <row r="53" spans="1:15" ht="15.75" x14ac:dyDescent="0.25">
      <c r="A53" s="58"/>
      <c r="B53" s="59"/>
      <c r="C53" s="60"/>
      <c r="D53" s="61"/>
      <c r="E53" s="62"/>
      <c r="F53" s="63">
        <f>SUM(C53/24*D53)</f>
        <v>0</v>
      </c>
      <c r="G53" s="64"/>
      <c r="H53" s="65"/>
      <c r="I53" s="66"/>
      <c r="J53" s="66"/>
    </row>
    <row r="54" spans="1:15" x14ac:dyDescent="0.25">
      <c r="A54" s="67"/>
      <c r="B54" s="68"/>
      <c r="C54" s="69"/>
      <c r="D54" s="61"/>
      <c r="E54" s="70"/>
      <c r="F54" s="71">
        <f>SUM(C54/24*D54)</f>
        <v>0</v>
      </c>
      <c r="G54" s="64"/>
      <c r="H54" s="65"/>
    </row>
    <row r="55" spans="1:15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x14ac:dyDescent="0.25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5" ht="15.75" thickBot="1" x14ac:dyDescent="0.3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  <c r="J57" s="78"/>
    </row>
    <row r="58" spans="1:15" s="84" customFormat="1" ht="30" customHeight="1" x14ac:dyDescent="0.25">
      <c r="A58" s="119" t="s">
        <v>21</v>
      </c>
      <c r="B58" s="120"/>
      <c r="C58" s="121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26" sqref="H26"/>
    </sheetView>
  </sheetViews>
  <sheetFormatPr defaultRowHeight="15" x14ac:dyDescent="0.2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30" x14ac:dyDescent="0.25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25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25">
      <c r="A3" s="12">
        <v>43862</v>
      </c>
      <c r="B3" s="13">
        <v>0</v>
      </c>
      <c r="C3" s="13">
        <v>58</v>
      </c>
      <c r="D3" s="13">
        <v>0</v>
      </c>
      <c r="E3" s="14">
        <v>0</v>
      </c>
      <c r="F3" s="14">
        <v>0</v>
      </c>
      <c r="G3" s="13">
        <v>0</v>
      </c>
      <c r="H3" s="15">
        <v>4034.88</v>
      </c>
      <c r="I3" s="108"/>
    </row>
    <row r="4" spans="1:9" x14ac:dyDescent="0.25">
      <c r="A4" s="12">
        <v>43863</v>
      </c>
      <c r="B4" s="13">
        <v>0</v>
      </c>
      <c r="C4" s="13">
        <v>30</v>
      </c>
      <c r="D4" s="13">
        <v>0</v>
      </c>
      <c r="E4" s="14">
        <v>0</v>
      </c>
      <c r="F4" s="14">
        <v>0</v>
      </c>
      <c r="G4" s="13">
        <v>0</v>
      </c>
      <c r="H4" s="15">
        <v>4034.88</v>
      </c>
      <c r="I4" s="108"/>
    </row>
    <row r="5" spans="1:9" x14ac:dyDescent="0.25">
      <c r="A5" s="12">
        <v>43864</v>
      </c>
      <c r="B5" s="13">
        <v>0</v>
      </c>
      <c r="C5" s="13">
        <v>30</v>
      </c>
      <c r="D5" s="13">
        <v>0</v>
      </c>
      <c r="E5" s="14">
        <v>0</v>
      </c>
      <c r="F5" s="14">
        <v>0</v>
      </c>
      <c r="G5" s="13">
        <v>0</v>
      </c>
      <c r="H5" s="15">
        <v>4034.88</v>
      </c>
      <c r="I5" s="108"/>
    </row>
    <row r="6" spans="1:9" x14ac:dyDescent="0.25">
      <c r="A6" s="12">
        <v>43865</v>
      </c>
      <c r="B6" s="13">
        <v>0</v>
      </c>
      <c r="C6" s="13">
        <v>30</v>
      </c>
      <c r="D6" s="13">
        <v>0</v>
      </c>
      <c r="E6" s="107" t="s">
        <v>47</v>
      </c>
      <c r="F6" s="14">
        <v>0</v>
      </c>
      <c r="G6" s="13">
        <v>102</v>
      </c>
      <c r="H6" s="15">
        <v>4034.9</v>
      </c>
      <c r="I6" s="108" t="s">
        <v>50</v>
      </c>
    </row>
    <row r="7" spans="1:9" x14ac:dyDescent="0.25">
      <c r="A7" s="12">
        <v>43866</v>
      </c>
      <c r="B7" s="13">
        <v>0</v>
      </c>
      <c r="C7" s="13">
        <v>30</v>
      </c>
      <c r="D7" s="13">
        <v>0</v>
      </c>
      <c r="E7" s="14">
        <v>0.02</v>
      </c>
      <c r="F7" s="14">
        <v>0</v>
      </c>
      <c r="G7" s="13">
        <v>160</v>
      </c>
      <c r="H7" s="15">
        <v>4034.9</v>
      </c>
      <c r="I7" s="108"/>
    </row>
    <row r="8" spans="1:9" x14ac:dyDescent="0.25">
      <c r="A8" s="12">
        <v>43867</v>
      </c>
      <c r="B8" s="13">
        <v>0</v>
      </c>
      <c r="C8" s="13">
        <v>30</v>
      </c>
      <c r="D8" s="13">
        <v>0</v>
      </c>
      <c r="E8" s="107" t="s">
        <v>47</v>
      </c>
      <c r="F8" s="14">
        <v>0</v>
      </c>
      <c r="G8" s="13">
        <v>160</v>
      </c>
      <c r="H8" s="15">
        <v>4034.9</v>
      </c>
      <c r="I8" s="108"/>
    </row>
    <row r="9" spans="1:9" x14ac:dyDescent="0.25">
      <c r="A9" s="12">
        <v>43868</v>
      </c>
      <c r="B9" s="13">
        <v>0</v>
      </c>
      <c r="C9" s="13">
        <v>30</v>
      </c>
      <c r="D9" s="13">
        <v>0</v>
      </c>
      <c r="E9" s="107" t="s">
        <v>47</v>
      </c>
      <c r="F9" s="14">
        <v>0</v>
      </c>
      <c r="G9" s="13">
        <v>160</v>
      </c>
      <c r="H9" s="15">
        <v>4034.88</v>
      </c>
      <c r="I9" s="108"/>
    </row>
    <row r="10" spans="1:9" x14ac:dyDescent="0.25">
      <c r="A10" s="12">
        <v>43869</v>
      </c>
      <c r="B10" s="13">
        <v>0</v>
      </c>
      <c r="C10" s="13">
        <v>30</v>
      </c>
      <c r="D10" s="13">
        <v>0</v>
      </c>
      <c r="E10" s="14">
        <v>0</v>
      </c>
      <c r="F10" s="14">
        <v>0</v>
      </c>
      <c r="G10" s="13">
        <v>160</v>
      </c>
      <c r="H10" s="15">
        <v>4034.86</v>
      </c>
      <c r="I10" s="108"/>
    </row>
    <row r="11" spans="1:9" x14ac:dyDescent="0.25">
      <c r="A11" s="12">
        <v>43870</v>
      </c>
      <c r="B11" s="13">
        <v>0</v>
      </c>
      <c r="C11" s="13">
        <v>28</v>
      </c>
      <c r="D11" s="13">
        <v>0</v>
      </c>
      <c r="E11" s="14">
        <v>0</v>
      </c>
      <c r="F11" s="14">
        <v>0</v>
      </c>
      <c r="G11" s="13">
        <v>160</v>
      </c>
      <c r="H11" s="15">
        <v>4034.8</v>
      </c>
      <c r="I11" s="108"/>
    </row>
    <row r="12" spans="1:9" x14ac:dyDescent="0.25">
      <c r="A12" s="12">
        <v>43871</v>
      </c>
      <c r="B12" s="13">
        <v>0</v>
      </c>
      <c r="C12" s="13">
        <v>25</v>
      </c>
      <c r="D12" s="13">
        <v>0</v>
      </c>
      <c r="E12" s="14">
        <v>0</v>
      </c>
      <c r="F12" s="14">
        <v>0</v>
      </c>
      <c r="G12" s="13">
        <v>160</v>
      </c>
      <c r="H12" s="15">
        <v>4034.8</v>
      </c>
      <c r="I12" s="108"/>
    </row>
    <row r="13" spans="1:9" x14ac:dyDescent="0.25">
      <c r="A13" s="12">
        <v>43872</v>
      </c>
      <c r="B13" s="13">
        <v>0</v>
      </c>
      <c r="C13" s="13">
        <v>25</v>
      </c>
      <c r="D13" s="13">
        <v>0</v>
      </c>
      <c r="E13" s="14">
        <v>0</v>
      </c>
      <c r="F13" s="14">
        <v>0</v>
      </c>
      <c r="G13" s="13">
        <v>160</v>
      </c>
      <c r="H13" s="15">
        <v>4034.8</v>
      </c>
      <c r="I13" s="108"/>
    </row>
    <row r="14" spans="1:9" x14ac:dyDescent="0.25">
      <c r="A14" s="12">
        <v>43873</v>
      </c>
      <c r="B14" s="13">
        <v>0</v>
      </c>
      <c r="C14" s="13">
        <v>25</v>
      </c>
      <c r="D14" s="13">
        <v>0</v>
      </c>
      <c r="E14" s="107" t="s">
        <v>47</v>
      </c>
      <c r="F14" s="14">
        <v>0</v>
      </c>
      <c r="G14" s="13">
        <v>160</v>
      </c>
      <c r="H14" s="15">
        <v>4034.78</v>
      </c>
      <c r="I14" s="108"/>
    </row>
    <row r="15" spans="1:9" x14ac:dyDescent="0.25">
      <c r="A15" s="12">
        <v>43874</v>
      </c>
      <c r="B15" s="13">
        <v>0</v>
      </c>
      <c r="C15" s="25">
        <v>25</v>
      </c>
      <c r="D15" s="13">
        <v>0</v>
      </c>
      <c r="E15" s="26">
        <v>0</v>
      </c>
      <c r="F15" s="26">
        <v>0</v>
      </c>
      <c r="G15" s="13">
        <v>160</v>
      </c>
      <c r="H15" s="27">
        <v>4034.78</v>
      </c>
      <c r="I15" s="108"/>
    </row>
    <row r="16" spans="1:9" x14ac:dyDescent="0.25">
      <c r="A16" s="12">
        <v>43875</v>
      </c>
      <c r="B16" s="13">
        <v>0</v>
      </c>
      <c r="C16" s="25">
        <v>25</v>
      </c>
      <c r="D16" s="13">
        <v>0</v>
      </c>
      <c r="E16" s="26">
        <v>0</v>
      </c>
      <c r="F16" s="26">
        <v>0</v>
      </c>
      <c r="G16" s="13">
        <v>160</v>
      </c>
      <c r="H16" s="27">
        <v>4034.76</v>
      </c>
      <c r="I16" s="108"/>
    </row>
    <row r="17" spans="1:9" x14ac:dyDescent="0.25">
      <c r="A17" s="12">
        <v>43876</v>
      </c>
      <c r="B17" s="13">
        <v>0</v>
      </c>
      <c r="C17" s="25">
        <v>25</v>
      </c>
      <c r="D17" s="13">
        <v>0</v>
      </c>
      <c r="E17" s="26">
        <v>0</v>
      </c>
      <c r="F17" s="26">
        <v>0</v>
      </c>
      <c r="G17" s="13">
        <v>160</v>
      </c>
      <c r="H17" s="27">
        <v>4034.76</v>
      </c>
      <c r="I17" s="108"/>
    </row>
    <row r="18" spans="1:9" x14ac:dyDescent="0.25">
      <c r="A18" s="12">
        <v>43877</v>
      </c>
      <c r="B18" s="13">
        <v>0</v>
      </c>
      <c r="C18" s="25">
        <v>25</v>
      </c>
      <c r="D18" s="13">
        <v>0</v>
      </c>
      <c r="E18" s="26">
        <v>0.22</v>
      </c>
      <c r="F18" s="26" t="s">
        <v>47</v>
      </c>
      <c r="G18" s="13">
        <v>160</v>
      </c>
      <c r="H18" s="27">
        <v>4034.76</v>
      </c>
      <c r="I18" s="108"/>
    </row>
    <row r="19" spans="1:9" x14ac:dyDescent="0.25">
      <c r="A19" s="12">
        <v>43878</v>
      </c>
      <c r="B19" s="13">
        <v>0</v>
      </c>
      <c r="C19" s="25">
        <v>23</v>
      </c>
      <c r="D19" s="13">
        <v>0</v>
      </c>
      <c r="E19" s="26">
        <v>0</v>
      </c>
      <c r="F19" s="26">
        <v>0</v>
      </c>
      <c r="G19" s="13">
        <v>160</v>
      </c>
      <c r="H19" s="27">
        <v>4034.76</v>
      </c>
      <c r="I19" s="108"/>
    </row>
    <row r="20" spans="1:9" x14ac:dyDescent="0.25">
      <c r="A20" s="12">
        <v>43879</v>
      </c>
      <c r="B20" s="13">
        <v>0</v>
      </c>
      <c r="C20" s="25">
        <v>20</v>
      </c>
      <c r="D20" s="13">
        <v>0</v>
      </c>
      <c r="E20" s="26" t="s">
        <v>47</v>
      </c>
      <c r="F20" s="26">
        <v>0</v>
      </c>
      <c r="G20" s="13">
        <v>160</v>
      </c>
      <c r="H20" s="27">
        <v>4034.76</v>
      </c>
      <c r="I20" s="108"/>
    </row>
    <row r="21" spans="1:9" x14ac:dyDescent="0.25">
      <c r="A21" s="12">
        <v>43880</v>
      </c>
      <c r="B21" s="13">
        <v>0</v>
      </c>
      <c r="C21" s="25">
        <v>20</v>
      </c>
      <c r="D21" s="13">
        <v>0</v>
      </c>
      <c r="E21" s="26">
        <v>0</v>
      </c>
      <c r="F21" s="26">
        <v>0</v>
      </c>
      <c r="G21" s="13">
        <v>63</v>
      </c>
      <c r="H21" s="27">
        <v>4034.75</v>
      </c>
      <c r="I21" s="108" t="s">
        <v>51</v>
      </c>
    </row>
    <row r="22" spans="1:9" x14ac:dyDescent="0.25">
      <c r="A22" s="12">
        <v>43881</v>
      </c>
      <c r="B22" s="13">
        <v>0</v>
      </c>
      <c r="C22" s="25">
        <v>20</v>
      </c>
      <c r="D22" s="13">
        <v>0</v>
      </c>
      <c r="E22" s="26">
        <v>0</v>
      </c>
      <c r="F22" s="26">
        <v>0</v>
      </c>
      <c r="G22" s="13">
        <v>0</v>
      </c>
      <c r="H22" s="27">
        <v>4034.75</v>
      </c>
      <c r="I22" s="108"/>
    </row>
    <row r="23" spans="1:9" x14ac:dyDescent="0.25">
      <c r="A23" s="12">
        <v>43882</v>
      </c>
      <c r="B23" s="13">
        <v>0</v>
      </c>
      <c r="C23" s="25">
        <v>20</v>
      </c>
      <c r="D23" s="13">
        <v>0</v>
      </c>
      <c r="E23" s="26">
        <v>0</v>
      </c>
      <c r="F23" s="26">
        <v>0</v>
      </c>
      <c r="G23" s="13">
        <v>0</v>
      </c>
      <c r="H23" s="27">
        <v>4034.74</v>
      </c>
      <c r="I23" s="108"/>
    </row>
    <row r="24" spans="1:9" x14ac:dyDescent="0.25">
      <c r="A24" s="12">
        <v>43883</v>
      </c>
      <c r="B24" s="13">
        <v>0</v>
      </c>
      <c r="C24" s="25">
        <v>20</v>
      </c>
      <c r="D24" s="13">
        <v>0</v>
      </c>
      <c r="E24" s="26">
        <v>0</v>
      </c>
      <c r="F24" s="26">
        <v>0</v>
      </c>
      <c r="G24" s="13">
        <v>0</v>
      </c>
      <c r="H24" s="27">
        <v>4034.74</v>
      </c>
      <c r="I24" s="108"/>
    </row>
    <row r="25" spans="1:9" x14ac:dyDescent="0.25">
      <c r="A25" s="12">
        <v>43884</v>
      </c>
      <c r="B25" s="13">
        <v>0</v>
      </c>
      <c r="C25" s="25">
        <v>20</v>
      </c>
      <c r="D25" s="13">
        <v>0</v>
      </c>
      <c r="E25" s="26">
        <v>0</v>
      </c>
      <c r="F25" s="26">
        <v>0</v>
      </c>
      <c r="G25" s="13">
        <v>0</v>
      </c>
      <c r="H25" s="27">
        <v>4034.76</v>
      </c>
      <c r="I25" s="108"/>
    </row>
    <row r="26" spans="1:9" x14ac:dyDescent="0.25">
      <c r="A26" s="12">
        <v>43885</v>
      </c>
      <c r="B26" s="13">
        <v>0</v>
      </c>
      <c r="C26" s="25">
        <v>20</v>
      </c>
      <c r="D26" s="13">
        <v>0</v>
      </c>
      <c r="E26" s="26">
        <v>0</v>
      </c>
      <c r="F26" s="26">
        <v>0</v>
      </c>
      <c r="G26" s="13">
        <v>0</v>
      </c>
      <c r="H26" s="27">
        <v>4034.77</v>
      </c>
      <c r="I26" s="108"/>
    </row>
    <row r="27" spans="1:9" x14ac:dyDescent="0.25">
      <c r="A27" s="12">
        <v>43886</v>
      </c>
      <c r="B27" s="13">
        <v>0</v>
      </c>
      <c r="C27" s="25">
        <v>20</v>
      </c>
      <c r="D27" s="13">
        <v>5</v>
      </c>
      <c r="E27" s="26">
        <v>0</v>
      </c>
      <c r="F27" s="26">
        <v>0</v>
      </c>
      <c r="G27" s="13">
        <v>0</v>
      </c>
      <c r="H27" s="27">
        <v>4034.77</v>
      </c>
      <c r="I27" s="108"/>
    </row>
    <row r="28" spans="1:9" x14ac:dyDescent="0.25">
      <c r="A28" s="12">
        <v>43887</v>
      </c>
      <c r="B28" s="13">
        <v>0</v>
      </c>
      <c r="C28" s="25">
        <v>15</v>
      </c>
      <c r="D28" s="13">
        <v>10</v>
      </c>
      <c r="E28" s="26">
        <v>0</v>
      </c>
      <c r="F28" s="26">
        <v>0</v>
      </c>
      <c r="G28" s="13">
        <v>0</v>
      </c>
      <c r="H28" s="27">
        <v>4034.8</v>
      </c>
      <c r="I28" s="108"/>
    </row>
    <row r="29" spans="1:9" x14ac:dyDescent="0.25">
      <c r="A29" s="12">
        <v>43888</v>
      </c>
      <c r="B29" s="13">
        <v>0</v>
      </c>
      <c r="C29" s="25">
        <v>0</v>
      </c>
      <c r="D29" s="25">
        <v>15</v>
      </c>
      <c r="E29" s="26">
        <v>0</v>
      </c>
      <c r="F29" s="26">
        <v>0</v>
      </c>
      <c r="G29" s="13">
        <v>0</v>
      </c>
      <c r="H29" s="27">
        <v>4034.8</v>
      </c>
      <c r="I29" s="108"/>
    </row>
    <row r="30" spans="1:9" x14ac:dyDescent="0.25">
      <c r="A30" s="12">
        <v>43889</v>
      </c>
      <c r="B30" s="13">
        <v>0</v>
      </c>
      <c r="C30" s="25">
        <v>0</v>
      </c>
      <c r="D30" s="25">
        <v>20</v>
      </c>
      <c r="E30" s="26">
        <v>0</v>
      </c>
      <c r="F30" s="26">
        <v>0</v>
      </c>
      <c r="G30" s="13">
        <v>0</v>
      </c>
      <c r="H30" s="27">
        <v>4034.8</v>
      </c>
      <c r="I30" s="108"/>
    </row>
    <row r="31" spans="1:9" ht="15.75" thickBot="1" x14ac:dyDescent="0.3">
      <c r="A31" s="12">
        <v>43890</v>
      </c>
      <c r="B31" s="13">
        <v>0</v>
      </c>
      <c r="C31" s="13">
        <v>0</v>
      </c>
      <c r="D31" s="13">
        <v>20</v>
      </c>
      <c r="E31" s="14">
        <v>0</v>
      </c>
      <c r="F31" s="14">
        <v>0</v>
      </c>
      <c r="G31" s="13">
        <v>0</v>
      </c>
      <c r="H31" s="27">
        <v>4034.82</v>
      </c>
      <c r="I31" s="108"/>
    </row>
    <row r="32" spans="1:9" s="11" customFormat="1" ht="15.75" thickTop="1" x14ac:dyDescent="0.25">
      <c r="A32" s="16" t="s">
        <v>8</v>
      </c>
      <c r="B32" s="17">
        <f t="shared" ref="B32:G32" si="0">SUM(B3:B31)</f>
        <v>0</v>
      </c>
      <c r="C32" s="17">
        <f t="shared" si="0"/>
        <v>669</v>
      </c>
      <c r="D32" s="17">
        <f t="shared" si="0"/>
        <v>70</v>
      </c>
      <c r="E32" s="18">
        <f t="shared" si="0"/>
        <v>0.24</v>
      </c>
      <c r="F32" s="18">
        <f t="shared" si="0"/>
        <v>0</v>
      </c>
      <c r="G32" s="17">
        <f t="shared" si="0"/>
        <v>2405</v>
      </c>
      <c r="H32" s="18"/>
      <c r="I32"/>
    </row>
    <row r="33" spans="1:15" s="11" customFormat="1" x14ac:dyDescent="0.25">
      <c r="A33" s="19" t="s">
        <v>9</v>
      </c>
      <c r="B33" s="20">
        <f>SUM(B32+'Jan 2020'!B35)</f>
        <v>4731</v>
      </c>
      <c r="C33" s="20">
        <f>SUM(C32+'Jan 2020'!C35)</f>
        <v>3865</v>
      </c>
      <c r="D33" s="20">
        <f>SUM(D32+'Jan 2020'!D35)</f>
        <v>5964</v>
      </c>
      <c r="E33" s="21">
        <f>SUM(E32+'Jan 2020'!E35)</f>
        <v>3.5100000000000007</v>
      </c>
      <c r="F33" s="21">
        <f>SUM(F32+'Jan 2020'!F35)</f>
        <v>10.199999999999999</v>
      </c>
      <c r="G33" s="20">
        <f>SUM(G32+'Jan 2020'!G35)</f>
        <v>14754</v>
      </c>
      <c r="H33" s="21"/>
      <c r="I33"/>
    </row>
    <row r="35" spans="1:15" x14ac:dyDescent="0.25">
      <c r="A35" t="s">
        <v>10</v>
      </c>
      <c r="B35" s="23">
        <f>SUM(B3:B31)*1.9835</f>
        <v>0</v>
      </c>
      <c r="C35" s="23">
        <f>SUM(C3:C31)*1.9835</f>
        <v>1326.9615000000001</v>
      </c>
      <c r="D35" s="23">
        <f>SUM(D3:D31)*1.9835</f>
        <v>138.845</v>
      </c>
      <c r="E35" s="23"/>
      <c r="F35" s="23"/>
      <c r="G35" s="23"/>
      <c r="I35" s="22"/>
    </row>
    <row r="37" spans="1:15" x14ac:dyDescent="0.25">
      <c r="A37" t="s">
        <v>24</v>
      </c>
      <c r="B37" s="23">
        <f>SUM(B35+'Jan 2020'!B39)</f>
        <v>9383.9385000000002</v>
      </c>
      <c r="C37" s="23">
        <f>SUM(C35+'Jan 2020'!C39)</f>
        <v>9647.7440000000006</v>
      </c>
      <c r="D37" s="23">
        <f>SUM(D35+'Jan 2020'!D39)</f>
        <v>11829.593999999999</v>
      </c>
      <c r="E37" s="23"/>
      <c r="F37" s="23"/>
      <c r="G37" s="23"/>
      <c r="I37" s="22"/>
    </row>
    <row r="38" spans="1:15" x14ac:dyDescent="0.25">
      <c r="B38" s="23"/>
      <c r="C38" s="23"/>
      <c r="D38" s="24"/>
      <c r="E38" s="23"/>
      <c r="F38" s="23"/>
      <c r="G38" s="23"/>
      <c r="I38" s="22"/>
    </row>
    <row r="39" spans="1:15" ht="17.45" customHeight="1" x14ac:dyDescent="0.25">
      <c r="A39" s="113"/>
      <c r="B39" s="113"/>
      <c r="C39" s="113"/>
      <c r="D39" s="113"/>
      <c r="E39" s="113"/>
      <c r="F39" s="114"/>
      <c r="G39" s="115" t="s">
        <v>12</v>
      </c>
      <c r="H39" s="116"/>
      <c r="I39" s="30"/>
      <c r="J39" s="30"/>
      <c r="K39" s="30"/>
      <c r="L39" s="30"/>
      <c r="M39" s="30"/>
      <c r="N39" s="31"/>
      <c r="O39" s="30"/>
    </row>
    <row r="40" spans="1:15" ht="16.899999999999999" customHeight="1" x14ac:dyDescent="0.25">
      <c r="A40" s="29"/>
      <c r="B40" s="29"/>
      <c r="C40" s="29"/>
      <c r="D40" s="29"/>
      <c r="E40" s="29"/>
      <c r="F40" s="29"/>
      <c r="G40" s="115"/>
      <c r="H40" s="116"/>
      <c r="I40" s="30"/>
      <c r="J40" s="30"/>
      <c r="K40" s="30"/>
      <c r="L40" s="30"/>
      <c r="M40" s="30"/>
      <c r="N40" s="31"/>
      <c r="O40" s="30"/>
    </row>
    <row r="41" spans="1:15" ht="13.9" customHeight="1" x14ac:dyDescent="0.25">
      <c r="A41" s="118" t="s">
        <v>23</v>
      </c>
      <c r="B41" s="118"/>
      <c r="C41" s="118"/>
      <c r="D41" s="118"/>
      <c r="E41" s="118"/>
      <c r="F41" s="118"/>
      <c r="G41" s="118"/>
      <c r="H41" s="118"/>
      <c r="I41" s="118"/>
      <c r="J41" s="118"/>
      <c r="K41" s="32"/>
      <c r="L41" s="32"/>
      <c r="M41" s="32"/>
      <c r="N41" s="33"/>
      <c r="O41" s="34"/>
    </row>
    <row r="42" spans="1:15" ht="15.6" customHeight="1" x14ac:dyDescent="0.25">
      <c r="A42" s="42" t="s">
        <v>17</v>
      </c>
      <c r="B42" s="36"/>
      <c r="C42" s="37"/>
      <c r="D42" s="37"/>
      <c r="E42" s="38"/>
      <c r="F42" s="39"/>
      <c r="G42" s="40"/>
      <c r="H42" s="41"/>
      <c r="I42" s="34"/>
      <c r="J42" s="34"/>
      <c r="K42" s="34"/>
      <c r="L42" s="34"/>
      <c r="M42" s="34"/>
      <c r="N42" s="33"/>
    </row>
    <row r="43" spans="1:15" x14ac:dyDescent="0.25">
      <c r="A43" s="35"/>
      <c r="B43" s="36"/>
      <c r="C43" s="37"/>
      <c r="D43" s="37"/>
      <c r="E43" s="43"/>
      <c r="F43" s="39">
        <f>SUM(24-D43)</f>
        <v>24</v>
      </c>
      <c r="G43" s="40">
        <f>SUM(C43+E43)</f>
        <v>0</v>
      </c>
      <c r="H43" s="41">
        <f>SUM(C43/24*D43+G43/24*F43)</f>
        <v>0</v>
      </c>
      <c r="I43" s="34"/>
      <c r="J43" s="34"/>
      <c r="K43" s="34"/>
      <c r="L43" s="34"/>
      <c r="M43" s="34"/>
      <c r="N43" s="33"/>
    </row>
    <row r="44" spans="1:15" x14ac:dyDescent="0.25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4"/>
      <c r="N44" s="33"/>
    </row>
    <row r="45" spans="1:15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ht="13.15" customHeight="1" x14ac:dyDescent="0.25">
      <c r="A48" s="44"/>
      <c r="B48" s="45"/>
      <c r="C48" s="45"/>
      <c r="D48" s="45"/>
      <c r="E48" s="45"/>
      <c r="F48" s="45"/>
      <c r="G48" s="46"/>
      <c r="H48" s="34"/>
      <c r="I48" s="34"/>
      <c r="J48" s="34"/>
      <c r="K48" s="34"/>
      <c r="L48" s="34"/>
      <c r="M48" s="34"/>
      <c r="N48" s="33"/>
      <c r="O48" s="34"/>
    </row>
    <row r="49" spans="1:15" ht="15.75" thickBot="1" x14ac:dyDescent="0.3">
      <c r="A49" s="47" t="s">
        <v>18</v>
      </c>
      <c r="B49" s="47"/>
      <c r="C49" s="47"/>
      <c r="D49" s="47"/>
      <c r="E49" s="48"/>
      <c r="F49" s="49"/>
      <c r="G49" s="46"/>
      <c r="H49" s="34"/>
      <c r="I49" s="34"/>
      <c r="J49" s="34"/>
      <c r="K49" s="34"/>
      <c r="L49" s="34"/>
      <c r="M49" s="34"/>
      <c r="N49" s="33"/>
      <c r="O49" s="34"/>
    </row>
    <row r="50" spans="1:15" ht="26.25" x14ac:dyDescent="0.25">
      <c r="A50" s="50" t="s">
        <v>19</v>
      </c>
      <c r="B50" s="51" t="s">
        <v>13</v>
      </c>
      <c r="C50" s="52" t="s">
        <v>14</v>
      </c>
      <c r="D50" s="52" t="s">
        <v>15</v>
      </c>
      <c r="E50" s="53" t="s">
        <v>16</v>
      </c>
      <c r="F50" s="54" t="s">
        <v>20</v>
      </c>
      <c r="G50" s="55"/>
      <c r="H50" s="56"/>
      <c r="I50" s="57"/>
      <c r="J50" s="57"/>
    </row>
    <row r="51" spans="1:15" ht="15.75" x14ac:dyDescent="0.25">
      <c r="A51" s="58"/>
      <c r="B51" s="59"/>
      <c r="C51" s="60"/>
      <c r="D51" s="61"/>
      <c r="E51" s="62"/>
      <c r="F51" s="63">
        <f>SUM(C51/24*D51)</f>
        <v>0</v>
      </c>
      <c r="G51" s="64"/>
      <c r="H51" s="65"/>
      <c r="I51" s="66"/>
      <c r="J51" s="66"/>
    </row>
    <row r="52" spans="1:15" x14ac:dyDescent="0.25">
      <c r="A52" s="67"/>
      <c r="B52" s="68"/>
      <c r="C52" s="69"/>
      <c r="D52" s="61"/>
      <c r="E52" s="70"/>
      <c r="F52" s="71">
        <f>SUM(C52/24*D52)</f>
        <v>0</v>
      </c>
      <c r="G52" s="64"/>
      <c r="H52" s="65"/>
    </row>
    <row r="53" spans="1:15" x14ac:dyDescent="0.25">
      <c r="A53" s="67"/>
      <c r="B53" s="68"/>
      <c r="C53" s="69"/>
      <c r="D53" s="61"/>
      <c r="E53" s="72"/>
      <c r="F53" s="71">
        <f>SUM(C53/24*D53)</f>
        <v>0</v>
      </c>
      <c r="G53" s="64"/>
      <c r="H53" s="65"/>
    </row>
    <row r="54" spans="1:15" x14ac:dyDescent="0.25">
      <c r="A54" s="67"/>
      <c r="B54" s="68"/>
      <c r="C54" s="69"/>
      <c r="D54" s="61"/>
      <c r="E54" s="72"/>
      <c r="F54" s="71">
        <f>SUM(C54/24*D54)</f>
        <v>0</v>
      </c>
      <c r="G54" s="64"/>
      <c r="H54" s="65"/>
    </row>
    <row r="55" spans="1:15" ht="15.75" thickBot="1" x14ac:dyDescent="0.3">
      <c r="A55" s="73"/>
      <c r="B55" s="74"/>
      <c r="C55" s="75"/>
      <c r="D55" s="76"/>
      <c r="E55" s="75"/>
      <c r="F55" s="77">
        <f>SUM(C55/24*D55)</f>
        <v>0</v>
      </c>
      <c r="G55" s="64"/>
      <c r="H55" s="65"/>
      <c r="I55" s="78"/>
      <c r="J55" s="78"/>
    </row>
    <row r="56" spans="1:15" s="84" customFormat="1" ht="30" customHeight="1" x14ac:dyDescent="0.25">
      <c r="A56" s="119" t="s">
        <v>21</v>
      </c>
      <c r="B56" s="120"/>
      <c r="C56" s="121"/>
      <c r="D56" s="79">
        <f>SUM(D51:D55)</f>
        <v>0</v>
      </c>
      <c r="E56" s="80" t="s">
        <v>22</v>
      </c>
      <c r="F56" s="81">
        <f>SUM(F51:F55)</f>
        <v>0</v>
      </c>
      <c r="G56" s="82"/>
      <c r="H56" s="83"/>
    </row>
  </sheetData>
  <mergeCells count="4">
    <mergeCell ref="A39:F39"/>
    <mergeCell ref="G39:H40"/>
    <mergeCell ref="A41:J41"/>
    <mergeCell ref="A56:C56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5" x14ac:dyDescent="0.2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30" x14ac:dyDescent="0.25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25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25">
      <c r="A3" s="12">
        <v>43831</v>
      </c>
      <c r="B3" s="25">
        <v>0</v>
      </c>
      <c r="C3" s="25">
        <v>25</v>
      </c>
      <c r="D3" s="25">
        <v>0</v>
      </c>
      <c r="E3" s="26">
        <v>0.09</v>
      </c>
      <c r="F3" s="26">
        <v>0</v>
      </c>
      <c r="G3" s="25">
        <v>0</v>
      </c>
      <c r="H3" s="27">
        <v>4034.54</v>
      </c>
    </row>
    <row r="4" spans="1:9" x14ac:dyDescent="0.25">
      <c r="A4" s="12">
        <v>43832</v>
      </c>
      <c r="B4" s="25">
        <v>0</v>
      </c>
      <c r="C4" s="25">
        <v>25</v>
      </c>
      <c r="D4" s="25">
        <v>0</v>
      </c>
      <c r="E4" s="26">
        <v>0</v>
      </c>
      <c r="F4" s="26">
        <v>0</v>
      </c>
      <c r="G4" s="25">
        <v>0</v>
      </c>
      <c r="H4" s="27">
        <v>4034.53</v>
      </c>
    </row>
    <row r="5" spans="1:9" x14ac:dyDescent="0.25">
      <c r="A5" s="12">
        <v>43833</v>
      </c>
      <c r="B5" s="25">
        <v>0</v>
      </c>
      <c r="C5" s="25">
        <v>25</v>
      </c>
      <c r="D5" s="25">
        <v>0</v>
      </c>
      <c r="E5" s="26">
        <v>0</v>
      </c>
      <c r="F5" s="26">
        <v>0</v>
      </c>
      <c r="G5" s="25">
        <v>0</v>
      </c>
      <c r="H5" s="27">
        <v>4034.53</v>
      </c>
    </row>
    <row r="6" spans="1:9" x14ac:dyDescent="0.25">
      <c r="A6" s="12">
        <v>43834</v>
      </c>
      <c r="B6" s="25">
        <v>0</v>
      </c>
      <c r="C6" s="25">
        <v>25</v>
      </c>
      <c r="D6" s="25">
        <v>0</v>
      </c>
      <c r="E6" s="26">
        <v>0.05</v>
      </c>
      <c r="F6" s="26">
        <v>0</v>
      </c>
      <c r="G6" s="25">
        <v>0</v>
      </c>
      <c r="H6" s="27">
        <v>4034.53</v>
      </c>
    </row>
    <row r="7" spans="1:9" x14ac:dyDescent="0.25">
      <c r="A7" s="12">
        <v>43835</v>
      </c>
      <c r="B7" s="25">
        <v>0</v>
      </c>
      <c r="C7" s="25">
        <v>25</v>
      </c>
      <c r="D7" s="25">
        <v>0</v>
      </c>
      <c r="E7" s="26">
        <v>0</v>
      </c>
      <c r="F7" s="26">
        <v>0</v>
      </c>
      <c r="G7" s="25">
        <v>0</v>
      </c>
      <c r="H7" s="27">
        <v>4034.54</v>
      </c>
    </row>
    <row r="8" spans="1:9" x14ac:dyDescent="0.25">
      <c r="A8" s="12">
        <v>43836</v>
      </c>
      <c r="B8" s="25">
        <v>0</v>
      </c>
      <c r="C8" s="25">
        <v>25</v>
      </c>
      <c r="D8" s="25">
        <v>0</v>
      </c>
      <c r="E8" s="14">
        <v>0</v>
      </c>
      <c r="F8" s="26">
        <v>0</v>
      </c>
      <c r="G8" s="25">
        <v>0</v>
      </c>
      <c r="H8" s="27">
        <v>4034.54</v>
      </c>
    </row>
    <row r="9" spans="1:9" x14ac:dyDescent="0.25">
      <c r="A9" s="12">
        <v>43837</v>
      </c>
      <c r="B9" s="25">
        <v>0</v>
      </c>
      <c r="C9" s="25">
        <v>25</v>
      </c>
      <c r="D9" s="25">
        <v>0</v>
      </c>
      <c r="E9" s="14">
        <v>0</v>
      </c>
      <c r="F9" s="26">
        <v>0</v>
      </c>
      <c r="G9" s="25">
        <v>0</v>
      </c>
      <c r="H9" s="27">
        <v>4034.56</v>
      </c>
    </row>
    <row r="10" spans="1:9" x14ac:dyDescent="0.25">
      <c r="A10" s="12">
        <v>43838</v>
      </c>
      <c r="B10" s="25">
        <v>0</v>
      </c>
      <c r="C10" s="25">
        <v>25</v>
      </c>
      <c r="D10" s="25">
        <v>0</v>
      </c>
      <c r="E10" s="14">
        <v>0</v>
      </c>
      <c r="F10" s="26">
        <v>0</v>
      </c>
      <c r="G10" s="25">
        <v>0</v>
      </c>
      <c r="H10" s="27">
        <v>4034.56</v>
      </c>
    </row>
    <row r="11" spans="1:9" x14ac:dyDescent="0.25">
      <c r="A11" s="12">
        <v>43839</v>
      </c>
      <c r="B11" s="25">
        <v>0</v>
      </c>
      <c r="C11" s="25">
        <v>25</v>
      </c>
      <c r="D11" s="25">
        <v>0</v>
      </c>
      <c r="E11" s="14">
        <v>0.13</v>
      </c>
      <c r="F11" s="26">
        <v>0.5</v>
      </c>
      <c r="G11" s="25">
        <v>0</v>
      </c>
      <c r="H11" s="27">
        <v>4034.56</v>
      </c>
    </row>
    <row r="12" spans="1:9" x14ac:dyDescent="0.25">
      <c r="A12" s="12">
        <v>43840</v>
      </c>
      <c r="B12" s="25">
        <v>0</v>
      </c>
      <c r="C12" s="25">
        <v>25</v>
      </c>
      <c r="D12" s="25">
        <v>0</v>
      </c>
      <c r="E12" s="14">
        <v>0</v>
      </c>
      <c r="F12" s="26">
        <v>0</v>
      </c>
      <c r="G12" s="25">
        <v>0</v>
      </c>
      <c r="H12" s="27">
        <v>4034.56</v>
      </c>
    </row>
    <row r="13" spans="1:9" x14ac:dyDescent="0.25">
      <c r="A13" s="12">
        <v>43841</v>
      </c>
      <c r="B13" s="25">
        <v>0</v>
      </c>
      <c r="C13" s="25">
        <v>25</v>
      </c>
      <c r="D13" s="25">
        <v>0</v>
      </c>
      <c r="E13" s="14">
        <v>0.02</v>
      </c>
      <c r="F13" s="26">
        <v>0</v>
      </c>
      <c r="G13" s="25">
        <v>0</v>
      </c>
      <c r="H13" s="27">
        <v>4034.54</v>
      </c>
    </row>
    <row r="14" spans="1:9" x14ac:dyDescent="0.25">
      <c r="A14" s="12">
        <v>43842</v>
      </c>
      <c r="B14" s="25">
        <v>0</v>
      </c>
      <c r="C14" s="25">
        <v>25</v>
      </c>
      <c r="D14" s="25">
        <v>0</v>
      </c>
      <c r="E14" s="14">
        <v>0</v>
      </c>
      <c r="F14" s="26">
        <v>0</v>
      </c>
      <c r="G14" s="25">
        <v>0</v>
      </c>
      <c r="H14" s="27">
        <v>4034.52</v>
      </c>
    </row>
    <row r="15" spans="1:9" x14ac:dyDescent="0.25">
      <c r="A15" s="12">
        <v>43843</v>
      </c>
      <c r="B15" s="25">
        <v>0</v>
      </c>
      <c r="C15" s="25">
        <v>25</v>
      </c>
      <c r="D15" s="25">
        <v>0</v>
      </c>
      <c r="E15" s="14">
        <v>0.03</v>
      </c>
      <c r="F15" s="26" t="s">
        <v>47</v>
      </c>
      <c r="G15" s="25">
        <v>0</v>
      </c>
      <c r="H15" s="27">
        <v>4034.5</v>
      </c>
    </row>
    <row r="16" spans="1:9" x14ac:dyDescent="0.25">
      <c r="A16" s="12">
        <v>43844</v>
      </c>
      <c r="B16" s="25">
        <v>0</v>
      </c>
      <c r="C16" s="25">
        <v>25</v>
      </c>
      <c r="D16" s="25">
        <v>0</v>
      </c>
      <c r="E16" s="14">
        <v>0.1</v>
      </c>
      <c r="F16" s="26">
        <v>0.5</v>
      </c>
      <c r="G16" s="25">
        <v>0</v>
      </c>
      <c r="H16" s="27">
        <v>4034.54</v>
      </c>
    </row>
    <row r="17" spans="1:8" x14ac:dyDescent="0.25">
      <c r="A17" s="12">
        <v>43845</v>
      </c>
      <c r="B17" s="25">
        <v>0</v>
      </c>
      <c r="C17" s="25">
        <v>25</v>
      </c>
      <c r="D17" s="25">
        <v>0</v>
      </c>
      <c r="E17" s="14">
        <v>0.01</v>
      </c>
      <c r="F17" s="26" t="s">
        <v>47</v>
      </c>
      <c r="G17" s="25">
        <v>0</v>
      </c>
      <c r="H17" s="27">
        <v>4034.56</v>
      </c>
    </row>
    <row r="18" spans="1:8" x14ac:dyDescent="0.25">
      <c r="A18" s="12">
        <v>43846</v>
      </c>
      <c r="B18" s="25">
        <v>0</v>
      </c>
      <c r="C18" s="25">
        <v>25</v>
      </c>
      <c r="D18" s="25">
        <v>0</v>
      </c>
      <c r="E18" s="14">
        <v>0.17</v>
      </c>
      <c r="F18" s="26">
        <v>2</v>
      </c>
      <c r="G18" s="25">
        <v>0</v>
      </c>
      <c r="H18" s="15">
        <v>4034.58</v>
      </c>
    </row>
    <row r="19" spans="1:8" x14ac:dyDescent="0.25">
      <c r="A19" s="12">
        <v>43847</v>
      </c>
      <c r="B19" s="25">
        <v>0</v>
      </c>
      <c r="C19" s="25">
        <v>25</v>
      </c>
      <c r="D19" s="25">
        <v>0</v>
      </c>
      <c r="E19" s="14">
        <v>0.19</v>
      </c>
      <c r="F19" s="26">
        <v>3</v>
      </c>
      <c r="G19" s="25">
        <v>0</v>
      </c>
      <c r="H19" s="15">
        <v>4034.6</v>
      </c>
    </row>
    <row r="20" spans="1:8" x14ac:dyDescent="0.25">
      <c r="A20" s="12">
        <v>43848</v>
      </c>
      <c r="B20" s="25">
        <v>0</v>
      </c>
      <c r="C20" s="25">
        <v>25</v>
      </c>
      <c r="D20" s="25">
        <v>0</v>
      </c>
      <c r="E20" s="14">
        <v>0</v>
      </c>
      <c r="F20" s="26">
        <v>0</v>
      </c>
      <c r="G20" s="25">
        <v>0</v>
      </c>
      <c r="H20" s="15">
        <v>4034.62</v>
      </c>
    </row>
    <row r="21" spans="1:8" x14ac:dyDescent="0.25">
      <c r="A21" s="12">
        <v>43849</v>
      </c>
      <c r="B21" s="25">
        <v>0</v>
      </c>
      <c r="C21" s="25">
        <v>25</v>
      </c>
      <c r="D21" s="25">
        <v>0</v>
      </c>
      <c r="E21" s="14">
        <v>0</v>
      </c>
      <c r="F21" s="26">
        <v>0</v>
      </c>
      <c r="G21" s="25">
        <v>0</v>
      </c>
      <c r="H21" s="15">
        <v>4034.62</v>
      </c>
    </row>
    <row r="22" spans="1:8" x14ac:dyDescent="0.25">
      <c r="A22" s="12">
        <v>43850</v>
      </c>
      <c r="B22" s="25">
        <v>0</v>
      </c>
      <c r="C22" s="25">
        <v>25</v>
      </c>
      <c r="D22" s="25">
        <v>0</v>
      </c>
      <c r="E22" s="14">
        <v>0</v>
      </c>
      <c r="F22" s="26">
        <v>0</v>
      </c>
      <c r="G22" s="25">
        <v>0</v>
      </c>
      <c r="H22" s="15">
        <v>4034.64</v>
      </c>
    </row>
    <row r="23" spans="1:8" x14ac:dyDescent="0.25">
      <c r="A23" s="12">
        <v>43851</v>
      </c>
      <c r="B23" s="25">
        <v>0</v>
      </c>
      <c r="C23" s="13">
        <v>25</v>
      </c>
      <c r="D23" s="25">
        <v>0</v>
      </c>
      <c r="E23" s="107">
        <v>0.01</v>
      </c>
      <c r="F23" s="14">
        <v>0</v>
      </c>
      <c r="G23" s="25">
        <v>0</v>
      </c>
      <c r="H23" s="15">
        <v>4034.66</v>
      </c>
    </row>
    <row r="24" spans="1:8" x14ac:dyDescent="0.25">
      <c r="A24" s="12">
        <v>43852</v>
      </c>
      <c r="B24" s="25">
        <v>0</v>
      </c>
      <c r="C24" s="13">
        <v>25</v>
      </c>
      <c r="D24" s="25">
        <v>0</v>
      </c>
      <c r="E24" s="14">
        <v>0.01</v>
      </c>
      <c r="F24" s="14">
        <v>0</v>
      </c>
      <c r="G24" s="25">
        <v>0</v>
      </c>
      <c r="H24" s="15">
        <v>4034.66</v>
      </c>
    </row>
    <row r="25" spans="1:8" x14ac:dyDescent="0.25">
      <c r="A25" s="12">
        <v>43853</v>
      </c>
      <c r="B25" s="25">
        <v>0</v>
      </c>
      <c r="C25" s="13">
        <v>25</v>
      </c>
      <c r="D25" s="25">
        <v>0</v>
      </c>
      <c r="E25" s="107" t="s">
        <v>47</v>
      </c>
      <c r="F25" s="14">
        <v>0</v>
      </c>
      <c r="G25" s="25">
        <v>0</v>
      </c>
      <c r="H25" s="15">
        <v>4034.68</v>
      </c>
    </row>
    <row r="26" spans="1:8" x14ac:dyDescent="0.25">
      <c r="A26" s="12">
        <v>43854</v>
      </c>
      <c r="B26" s="25">
        <v>0</v>
      </c>
      <c r="C26" s="13">
        <v>25</v>
      </c>
      <c r="D26" s="25">
        <v>0</v>
      </c>
      <c r="E26" s="14">
        <v>0.15</v>
      </c>
      <c r="F26" s="14">
        <v>0</v>
      </c>
      <c r="G26" s="25">
        <v>0</v>
      </c>
      <c r="H26" s="15">
        <v>4034.7</v>
      </c>
    </row>
    <row r="27" spans="1:8" x14ac:dyDescent="0.25">
      <c r="A27" s="12">
        <v>43855</v>
      </c>
      <c r="B27" s="25">
        <v>0</v>
      </c>
      <c r="C27" s="13">
        <v>25</v>
      </c>
      <c r="D27" s="25">
        <v>0</v>
      </c>
      <c r="E27" s="14">
        <v>0.12</v>
      </c>
      <c r="F27" s="14">
        <v>0</v>
      </c>
      <c r="G27" s="25">
        <v>0</v>
      </c>
      <c r="H27" s="15">
        <v>4034.74</v>
      </c>
    </row>
    <row r="28" spans="1:8" x14ac:dyDescent="0.25">
      <c r="A28" s="12">
        <v>43856</v>
      </c>
      <c r="B28" s="25">
        <v>0</v>
      </c>
      <c r="C28" s="13">
        <v>39</v>
      </c>
      <c r="D28" s="25">
        <v>0</v>
      </c>
      <c r="E28" s="14">
        <v>0.25</v>
      </c>
      <c r="F28" s="14">
        <v>0</v>
      </c>
      <c r="G28" s="25">
        <v>0</v>
      </c>
      <c r="H28" s="15">
        <v>4034.76</v>
      </c>
    </row>
    <row r="29" spans="1:8" x14ac:dyDescent="0.25">
      <c r="A29" s="12">
        <v>43857</v>
      </c>
      <c r="B29" s="25">
        <v>0</v>
      </c>
      <c r="C29" s="13">
        <v>75</v>
      </c>
      <c r="D29" s="25">
        <v>0</v>
      </c>
      <c r="E29" s="14">
        <v>7.0000000000000007E-2</v>
      </c>
      <c r="F29" s="14">
        <v>0</v>
      </c>
      <c r="G29" s="25">
        <v>0</v>
      </c>
      <c r="H29" s="15">
        <v>4034.78</v>
      </c>
    </row>
    <row r="30" spans="1:8" x14ac:dyDescent="0.25">
      <c r="A30" s="12">
        <v>43858</v>
      </c>
      <c r="B30" s="25">
        <v>0</v>
      </c>
      <c r="C30" s="13">
        <v>75</v>
      </c>
      <c r="D30" s="25">
        <v>0</v>
      </c>
      <c r="E30" s="107" t="s">
        <v>47</v>
      </c>
      <c r="F30" s="14">
        <v>0</v>
      </c>
      <c r="G30" s="25">
        <v>0</v>
      </c>
      <c r="H30" s="15">
        <v>4034.78</v>
      </c>
    </row>
    <row r="31" spans="1:8" x14ac:dyDescent="0.25">
      <c r="A31" s="12">
        <v>43859</v>
      </c>
      <c r="B31" s="25">
        <v>0</v>
      </c>
      <c r="C31" s="13">
        <v>58</v>
      </c>
      <c r="D31" s="25">
        <v>0</v>
      </c>
      <c r="E31" s="14">
        <v>0</v>
      </c>
      <c r="F31" s="14">
        <v>0</v>
      </c>
      <c r="G31" s="25">
        <v>0</v>
      </c>
      <c r="H31" s="15">
        <v>4034.82</v>
      </c>
    </row>
    <row r="32" spans="1:8" x14ac:dyDescent="0.25">
      <c r="A32" s="12">
        <v>43860</v>
      </c>
      <c r="B32" s="13">
        <v>0</v>
      </c>
      <c r="C32" s="13">
        <v>52</v>
      </c>
      <c r="D32" s="13">
        <v>0</v>
      </c>
      <c r="E32" s="14">
        <v>0.04</v>
      </c>
      <c r="F32" s="14">
        <v>0</v>
      </c>
      <c r="G32" s="25">
        <v>0</v>
      </c>
      <c r="H32" s="15">
        <v>4034.86</v>
      </c>
    </row>
    <row r="33" spans="1:15" ht="15.75" thickBot="1" x14ac:dyDescent="0.3">
      <c r="A33" s="12">
        <v>43861</v>
      </c>
      <c r="B33" s="13">
        <v>0</v>
      </c>
      <c r="C33" s="13">
        <v>75</v>
      </c>
      <c r="D33" s="13">
        <v>0</v>
      </c>
      <c r="E33" s="14">
        <v>0.02</v>
      </c>
      <c r="F33" s="14">
        <v>0</v>
      </c>
      <c r="G33" s="25">
        <v>0</v>
      </c>
      <c r="H33" s="15">
        <v>4034.88</v>
      </c>
    </row>
    <row r="34" spans="1:15" s="11" customFormat="1" ht="15.75" thickTop="1" x14ac:dyDescent="0.25">
      <c r="A34" s="16" t="s">
        <v>8</v>
      </c>
      <c r="B34" s="17">
        <f t="shared" ref="B34:G34" si="0">SUM(B3:B33)</f>
        <v>0</v>
      </c>
      <c r="C34" s="17">
        <f>L31</f>
        <v>0</v>
      </c>
      <c r="D34" s="17">
        <f t="shared" si="0"/>
        <v>0</v>
      </c>
      <c r="E34" s="18">
        <f t="shared" si="0"/>
        <v>1.4600000000000002</v>
      </c>
      <c r="F34" s="18">
        <f t="shared" si="0"/>
        <v>6</v>
      </c>
      <c r="G34" s="17">
        <f t="shared" si="0"/>
        <v>0</v>
      </c>
      <c r="H34" s="18"/>
    </row>
    <row r="35" spans="1:15" s="11" customFormat="1" x14ac:dyDescent="0.25">
      <c r="A35" s="19" t="s">
        <v>9</v>
      </c>
      <c r="B35" s="20">
        <f>SUM(B34+'Dec 2019'!B35)</f>
        <v>4731</v>
      </c>
      <c r="C35" s="20">
        <f>SUM(C34+'Dec 2019'!C35)</f>
        <v>3196</v>
      </c>
      <c r="D35" s="20">
        <f>SUM(D34+'Dec 2019'!D35)</f>
        <v>5894</v>
      </c>
      <c r="E35" s="21">
        <f>SUM(E34+'Dec 2019'!E35)</f>
        <v>3.2700000000000005</v>
      </c>
      <c r="F35" s="21">
        <f>SUM(F34+'Dec 2019'!F35)</f>
        <v>10.199999999999999</v>
      </c>
      <c r="G35" s="20">
        <f>SUM(G34+'Dec 2019'!G35)</f>
        <v>12349</v>
      </c>
      <c r="H35" s="21"/>
    </row>
    <row r="37" spans="1:15" x14ac:dyDescent="0.25">
      <c r="A37" t="s">
        <v>10</v>
      </c>
      <c r="B37" s="23">
        <f>SUM(B3:B33)*1.9835</f>
        <v>0</v>
      </c>
      <c r="C37" s="23">
        <f>SUM(C3:C33)*1.9835</f>
        <v>1981.5165</v>
      </c>
      <c r="D37" s="23">
        <f>SUM(D3:D33)*1.9835</f>
        <v>0</v>
      </c>
      <c r="E37" s="23"/>
      <c r="F37" s="23"/>
      <c r="G37" s="23"/>
      <c r="I37" s="22"/>
    </row>
    <row r="39" spans="1:15" x14ac:dyDescent="0.25">
      <c r="A39" t="s">
        <v>24</v>
      </c>
      <c r="B39" s="23">
        <f>SUM(B37+'Dec 2019'!B39)</f>
        <v>9383.9385000000002</v>
      </c>
      <c r="C39" s="23">
        <f>SUM(C37+'Dec 2019'!C39)</f>
        <v>8320.7825000000012</v>
      </c>
      <c r="D39" s="23">
        <f>SUM(D37+'Dec 2019'!D39)</f>
        <v>11690.749</v>
      </c>
      <c r="E39" s="23"/>
      <c r="F39" s="23"/>
      <c r="G39" s="23"/>
      <c r="I39" s="22"/>
    </row>
    <row r="40" spans="1:15" x14ac:dyDescent="0.25">
      <c r="B40" s="23"/>
      <c r="C40" s="23"/>
      <c r="D40" s="24"/>
      <c r="E40" s="23"/>
      <c r="F40" s="23"/>
      <c r="G40" s="23"/>
      <c r="I40" s="22"/>
    </row>
    <row r="41" spans="1:15" ht="17.45" customHeight="1" x14ac:dyDescent="0.25">
      <c r="A41" s="113"/>
      <c r="B41" s="113"/>
      <c r="C41" s="113"/>
      <c r="D41" s="113"/>
      <c r="E41" s="113"/>
      <c r="F41" s="114"/>
      <c r="G41" s="115" t="s">
        <v>12</v>
      </c>
      <c r="H41" s="116"/>
      <c r="I41" s="30"/>
      <c r="J41" s="30"/>
      <c r="K41" s="30"/>
      <c r="L41" s="30"/>
      <c r="M41" s="30"/>
      <c r="N41" s="31"/>
      <c r="O41" s="30"/>
    </row>
    <row r="42" spans="1:15" ht="16.899999999999999" customHeight="1" x14ac:dyDescent="0.25">
      <c r="A42" s="29"/>
      <c r="B42" s="29"/>
      <c r="C42" s="29"/>
      <c r="D42" s="29"/>
      <c r="E42" s="29"/>
      <c r="F42" s="29"/>
      <c r="G42" s="115"/>
      <c r="H42" s="116"/>
      <c r="I42" s="30"/>
      <c r="J42" s="30"/>
      <c r="K42" s="30"/>
      <c r="L42" s="30"/>
      <c r="M42" s="30"/>
      <c r="N42" s="31"/>
      <c r="O42" s="30"/>
    </row>
    <row r="43" spans="1:15" ht="13.9" customHeight="1" x14ac:dyDescent="0.25">
      <c r="A43" s="118" t="s">
        <v>23</v>
      </c>
      <c r="B43" s="118"/>
      <c r="C43" s="118"/>
      <c r="D43" s="118"/>
      <c r="E43" s="118"/>
      <c r="F43" s="118"/>
      <c r="G43" s="118"/>
      <c r="H43" s="118"/>
      <c r="I43" s="118"/>
      <c r="J43" s="118"/>
      <c r="K43" s="32"/>
      <c r="L43" s="32"/>
      <c r="M43" s="32"/>
      <c r="N43" s="33"/>
      <c r="O43" s="34"/>
    </row>
    <row r="44" spans="1:15" ht="15.6" customHeight="1" x14ac:dyDescent="0.25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x14ac:dyDescent="0.25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4"/>
      <c r="N49" s="33"/>
    </row>
    <row r="50" spans="1:15" ht="13.15" customHeight="1" x14ac:dyDescent="0.25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15.75" thickBot="1" x14ac:dyDescent="0.3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4"/>
      <c r="N51" s="33"/>
      <c r="O51" s="34"/>
    </row>
    <row r="52" spans="1:15" ht="26.25" x14ac:dyDescent="0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</row>
    <row r="53" spans="1:15" ht="15.75" x14ac:dyDescent="0.25">
      <c r="A53" s="58"/>
      <c r="B53" s="59"/>
      <c r="C53" s="60"/>
      <c r="D53" s="61"/>
      <c r="E53" s="62">
        <v>-100</v>
      </c>
      <c r="F53" s="63">
        <f>SUM(C53/24*D53)</f>
        <v>0</v>
      </c>
      <c r="G53" s="64"/>
      <c r="H53" s="65"/>
      <c r="I53" s="66"/>
      <c r="J53" s="66"/>
    </row>
    <row r="54" spans="1:15" x14ac:dyDescent="0.25">
      <c r="A54" s="67"/>
      <c r="B54" s="68"/>
      <c r="C54" s="69"/>
      <c r="D54" s="61"/>
      <c r="E54" s="70">
        <v>-50</v>
      </c>
      <c r="F54" s="71">
        <f>SUM(C54/24*D54)</f>
        <v>0</v>
      </c>
      <c r="G54" s="64"/>
      <c r="H54" s="65"/>
    </row>
    <row r="55" spans="1:15" x14ac:dyDescent="0.25">
      <c r="A55" s="67"/>
      <c r="B55" s="68"/>
      <c r="C55" s="69"/>
      <c r="D55" s="61"/>
      <c r="E55" s="72"/>
      <c r="F55" s="71">
        <f>SUM(C55/24*D55)</f>
        <v>0</v>
      </c>
      <c r="G55" s="64"/>
      <c r="H55" s="65"/>
    </row>
    <row r="56" spans="1:15" x14ac:dyDescent="0.25">
      <c r="A56" s="67"/>
      <c r="B56" s="68"/>
      <c r="C56" s="69"/>
      <c r="D56" s="61"/>
      <c r="E56" s="72"/>
      <c r="F56" s="71">
        <f>SUM(C56/24*D56)</f>
        <v>0</v>
      </c>
      <c r="G56" s="64"/>
      <c r="H56" s="65"/>
    </row>
    <row r="57" spans="1:15" ht="15.75" thickBot="1" x14ac:dyDescent="0.3">
      <c r="A57" s="73"/>
      <c r="B57" s="74"/>
      <c r="C57" s="75"/>
      <c r="D57" s="76"/>
      <c r="E57" s="75"/>
      <c r="F57" s="77">
        <f>SUM(C57/24*D57)</f>
        <v>0</v>
      </c>
      <c r="G57" s="64"/>
      <c r="H57" s="65"/>
      <c r="I57" s="78"/>
      <c r="J57" s="78"/>
    </row>
    <row r="58" spans="1:15" s="84" customFormat="1" ht="30" customHeight="1" x14ac:dyDescent="0.25">
      <c r="A58" s="119" t="s">
        <v>21</v>
      </c>
      <c r="B58" s="120"/>
      <c r="C58" s="121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workbookViewId="0">
      <selection activeCell="H33" sqref="H33"/>
    </sheetView>
  </sheetViews>
  <sheetFormatPr defaultRowHeight="15" x14ac:dyDescent="0.25"/>
  <cols>
    <col min="1" max="1" width="13.5703125" bestFit="1" customWidth="1"/>
    <col min="2" max="8" width="11.7109375" customWidth="1"/>
    <col min="9" max="9" width="27.42578125" customWidth="1"/>
  </cols>
  <sheetData>
    <row r="1" spans="1:9" s="1" customFormat="1" ht="30" x14ac:dyDescent="0.25">
      <c r="A1" s="87" t="s">
        <v>0</v>
      </c>
      <c r="B1" s="9" t="s">
        <v>5</v>
      </c>
      <c r="C1" s="9" t="s">
        <v>1</v>
      </c>
      <c r="D1" s="9" t="s">
        <v>2</v>
      </c>
      <c r="E1" s="7" t="s">
        <v>6</v>
      </c>
      <c r="F1" s="7" t="s">
        <v>7</v>
      </c>
      <c r="G1" s="9" t="s">
        <v>3</v>
      </c>
      <c r="H1" s="3" t="s">
        <v>4</v>
      </c>
      <c r="I1" s="3" t="s">
        <v>11</v>
      </c>
    </row>
    <row r="2" spans="1:9" s="1" customFormat="1" x14ac:dyDescent="0.25">
      <c r="A2" s="86"/>
      <c r="B2" s="9" t="s">
        <v>25</v>
      </c>
      <c r="C2" s="9" t="s">
        <v>25</v>
      </c>
      <c r="D2" s="9" t="s">
        <v>25</v>
      </c>
      <c r="E2" s="7"/>
      <c r="F2" s="7"/>
      <c r="G2" s="9" t="s">
        <v>26</v>
      </c>
      <c r="H2" s="3"/>
      <c r="I2" s="85"/>
    </row>
    <row r="3" spans="1:9" x14ac:dyDescent="0.25">
      <c r="A3" s="12">
        <v>43800</v>
      </c>
      <c r="B3" s="25">
        <v>0</v>
      </c>
      <c r="C3" s="25">
        <v>20</v>
      </c>
      <c r="D3" s="25">
        <v>0</v>
      </c>
      <c r="E3" s="26">
        <v>0.12</v>
      </c>
      <c r="F3" s="26">
        <v>1</v>
      </c>
      <c r="G3" s="25">
        <v>0</v>
      </c>
      <c r="H3" s="27">
        <v>4034.22</v>
      </c>
    </row>
    <row r="4" spans="1:9" x14ac:dyDescent="0.25">
      <c r="A4" s="12">
        <v>43801</v>
      </c>
      <c r="B4" s="25">
        <v>0</v>
      </c>
      <c r="C4" s="25">
        <v>20</v>
      </c>
      <c r="D4" s="25">
        <v>0</v>
      </c>
      <c r="E4" s="26" t="s">
        <v>47</v>
      </c>
      <c r="F4" s="26">
        <v>0</v>
      </c>
      <c r="G4" s="25">
        <v>0</v>
      </c>
      <c r="H4" s="27">
        <v>4034.24</v>
      </c>
    </row>
    <row r="5" spans="1:9" x14ac:dyDescent="0.25">
      <c r="A5" s="12">
        <v>43802</v>
      </c>
      <c r="B5" s="25">
        <v>0</v>
      </c>
      <c r="C5" s="25">
        <v>20</v>
      </c>
      <c r="D5" s="25">
        <v>0</v>
      </c>
      <c r="E5" s="26">
        <v>0.01</v>
      </c>
      <c r="F5" s="26">
        <v>0</v>
      </c>
      <c r="G5" s="25">
        <v>0</v>
      </c>
      <c r="H5" s="27">
        <v>4034.26</v>
      </c>
    </row>
    <row r="6" spans="1:9" x14ac:dyDescent="0.25">
      <c r="A6" s="12">
        <v>43803</v>
      </c>
      <c r="B6" s="25">
        <v>0</v>
      </c>
      <c r="C6" s="25">
        <v>20</v>
      </c>
      <c r="D6" s="25">
        <v>0</v>
      </c>
      <c r="E6" s="26">
        <v>0</v>
      </c>
      <c r="F6" s="26">
        <v>0</v>
      </c>
      <c r="G6" s="25">
        <v>0</v>
      </c>
      <c r="H6" s="27">
        <v>4034.3</v>
      </c>
    </row>
    <row r="7" spans="1:9" x14ac:dyDescent="0.25">
      <c r="A7" s="12">
        <v>43804</v>
      </c>
      <c r="B7" s="25">
        <v>0</v>
      </c>
      <c r="C7" s="25">
        <v>20</v>
      </c>
      <c r="D7" s="25">
        <v>0</v>
      </c>
      <c r="E7" s="26">
        <v>0.01</v>
      </c>
      <c r="F7" s="26">
        <v>0</v>
      </c>
      <c r="G7" s="25">
        <v>0</v>
      </c>
      <c r="H7" s="27">
        <v>4034.32</v>
      </c>
    </row>
    <row r="8" spans="1:9" x14ac:dyDescent="0.25">
      <c r="A8" s="12">
        <v>43805</v>
      </c>
      <c r="B8" s="25">
        <v>0</v>
      </c>
      <c r="C8" s="25">
        <v>20</v>
      </c>
      <c r="D8" s="25">
        <v>0</v>
      </c>
      <c r="E8" s="26">
        <v>0</v>
      </c>
      <c r="F8" s="26">
        <v>0</v>
      </c>
      <c r="G8" s="25">
        <v>0</v>
      </c>
      <c r="H8" s="27">
        <v>4034.34</v>
      </c>
    </row>
    <row r="9" spans="1:9" x14ac:dyDescent="0.25">
      <c r="A9" s="12">
        <v>43806</v>
      </c>
      <c r="B9" s="25">
        <v>0</v>
      </c>
      <c r="C9" s="25">
        <v>20</v>
      </c>
      <c r="D9" s="25">
        <v>0</v>
      </c>
      <c r="E9" s="26">
        <v>0.23</v>
      </c>
      <c r="F9" s="26">
        <v>0</v>
      </c>
      <c r="G9" s="25">
        <v>0</v>
      </c>
      <c r="H9" s="27">
        <v>4034.36</v>
      </c>
    </row>
    <row r="10" spans="1:9" x14ac:dyDescent="0.25">
      <c r="A10" s="12">
        <v>43807</v>
      </c>
      <c r="B10" s="25">
        <v>0</v>
      </c>
      <c r="C10" s="25">
        <v>20</v>
      </c>
      <c r="D10" s="25">
        <v>0</v>
      </c>
      <c r="E10" s="26">
        <v>0.01</v>
      </c>
      <c r="F10" s="26">
        <v>0</v>
      </c>
      <c r="G10" s="25">
        <v>0</v>
      </c>
      <c r="H10" s="27">
        <v>4034.38</v>
      </c>
    </row>
    <row r="11" spans="1:9" x14ac:dyDescent="0.25">
      <c r="A11" s="12">
        <v>43808</v>
      </c>
      <c r="B11" s="25">
        <v>0</v>
      </c>
      <c r="C11" s="25">
        <v>20</v>
      </c>
      <c r="D11" s="25">
        <v>0</v>
      </c>
      <c r="E11" s="26">
        <v>0.01</v>
      </c>
      <c r="F11" s="26">
        <v>0</v>
      </c>
      <c r="G11" s="25">
        <v>0</v>
      </c>
      <c r="H11" s="27">
        <v>4034.4</v>
      </c>
    </row>
    <row r="12" spans="1:9" x14ac:dyDescent="0.25">
      <c r="A12" s="12">
        <v>43809</v>
      </c>
      <c r="B12" s="25">
        <v>0</v>
      </c>
      <c r="C12" s="25">
        <v>20</v>
      </c>
      <c r="D12" s="25">
        <v>0</v>
      </c>
      <c r="E12" s="26">
        <v>0</v>
      </c>
      <c r="F12" s="26">
        <v>0</v>
      </c>
      <c r="G12" s="25">
        <v>0</v>
      </c>
      <c r="H12" s="27">
        <v>4034.42</v>
      </c>
    </row>
    <row r="13" spans="1:9" x14ac:dyDescent="0.25">
      <c r="A13" s="12">
        <v>43810</v>
      </c>
      <c r="B13" s="25">
        <v>0</v>
      </c>
      <c r="C13" s="25">
        <v>12</v>
      </c>
      <c r="D13" s="25">
        <v>0</v>
      </c>
      <c r="E13" s="26">
        <v>7.0000000000000007E-2</v>
      </c>
      <c r="F13" s="26">
        <v>0</v>
      </c>
      <c r="G13" s="25">
        <v>0</v>
      </c>
      <c r="H13" s="27">
        <v>4034.44</v>
      </c>
    </row>
    <row r="14" spans="1:9" x14ac:dyDescent="0.25">
      <c r="A14" s="12">
        <v>43811</v>
      </c>
      <c r="B14" s="25">
        <v>0</v>
      </c>
      <c r="C14" s="25">
        <v>2</v>
      </c>
      <c r="D14" s="25">
        <v>0</v>
      </c>
      <c r="E14" s="26">
        <v>0.16</v>
      </c>
      <c r="F14" s="26">
        <v>0</v>
      </c>
      <c r="G14" s="25">
        <v>0</v>
      </c>
      <c r="H14" s="27">
        <v>4034.44</v>
      </c>
    </row>
    <row r="15" spans="1:9" x14ac:dyDescent="0.25">
      <c r="A15" s="12">
        <v>43812</v>
      </c>
      <c r="B15" s="25">
        <v>0</v>
      </c>
      <c r="C15" s="25">
        <v>7</v>
      </c>
      <c r="D15" s="25">
        <v>0</v>
      </c>
      <c r="E15" s="26">
        <v>0.3</v>
      </c>
      <c r="F15" s="26">
        <v>0</v>
      </c>
      <c r="G15" s="25">
        <v>0</v>
      </c>
      <c r="H15" s="27">
        <v>4034.45</v>
      </c>
    </row>
    <row r="16" spans="1:9" x14ac:dyDescent="0.25">
      <c r="A16" s="12">
        <v>43813</v>
      </c>
      <c r="B16" s="25">
        <v>0</v>
      </c>
      <c r="C16" s="25">
        <v>23</v>
      </c>
      <c r="D16" s="25">
        <v>0</v>
      </c>
      <c r="E16" s="26">
        <v>0.27</v>
      </c>
      <c r="F16" s="26">
        <v>0</v>
      </c>
      <c r="G16" s="25">
        <v>0</v>
      </c>
      <c r="H16" s="27">
        <v>4034.48</v>
      </c>
    </row>
    <row r="17" spans="1:8" x14ac:dyDescent="0.25">
      <c r="A17" s="12">
        <v>43814</v>
      </c>
      <c r="B17" s="25">
        <v>0</v>
      </c>
      <c r="C17" s="25">
        <v>40</v>
      </c>
      <c r="D17" s="25">
        <v>0</v>
      </c>
      <c r="E17" s="26">
        <v>0.05</v>
      </c>
      <c r="F17" s="26">
        <v>0.1</v>
      </c>
      <c r="G17" s="25">
        <v>0</v>
      </c>
      <c r="H17" s="27">
        <v>4034.48</v>
      </c>
    </row>
    <row r="18" spans="1:8" x14ac:dyDescent="0.25">
      <c r="A18" s="12">
        <v>43815</v>
      </c>
      <c r="B18" s="25">
        <v>0</v>
      </c>
      <c r="C18" s="25">
        <v>40</v>
      </c>
      <c r="D18" s="25">
        <v>0</v>
      </c>
      <c r="E18" s="26">
        <v>0.01</v>
      </c>
      <c r="F18" s="26">
        <v>0</v>
      </c>
      <c r="G18" s="25">
        <v>0</v>
      </c>
      <c r="H18" s="27">
        <v>4034.5</v>
      </c>
    </row>
    <row r="19" spans="1:8" x14ac:dyDescent="0.25">
      <c r="A19" s="12">
        <v>43816</v>
      </c>
      <c r="B19" s="25">
        <v>0</v>
      </c>
      <c r="C19" s="25">
        <v>45</v>
      </c>
      <c r="D19" s="25">
        <v>0</v>
      </c>
      <c r="E19" s="26">
        <v>0</v>
      </c>
      <c r="F19" s="26">
        <v>0</v>
      </c>
      <c r="G19" s="25">
        <v>0</v>
      </c>
      <c r="H19" s="27">
        <v>4034.5</v>
      </c>
    </row>
    <row r="20" spans="1:8" x14ac:dyDescent="0.25">
      <c r="A20" s="12">
        <v>43817</v>
      </c>
      <c r="B20" s="25">
        <v>0</v>
      </c>
      <c r="C20" s="25">
        <v>50</v>
      </c>
      <c r="D20" s="25">
        <v>0</v>
      </c>
      <c r="E20" s="26">
        <v>0</v>
      </c>
      <c r="F20" s="26">
        <v>0</v>
      </c>
      <c r="G20" s="25">
        <v>0</v>
      </c>
      <c r="H20" s="27">
        <v>4034.52</v>
      </c>
    </row>
    <row r="21" spans="1:8" x14ac:dyDescent="0.25">
      <c r="A21" s="12">
        <v>43818</v>
      </c>
      <c r="B21" s="25">
        <v>0</v>
      </c>
      <c r="C21" s="25">
        <v>50</v>
      </c>
      <c r="D21" s="25">
        <v>0</v>
      </c>
      <c r="E21" s="26">
        <v>0.06</v>
      </c>
      <c r="F21" s="26">
        <v>0</v>
      </c>
      <c r="G21" s="25">
        <v>0</v>
      </c>
      <c r="H21" s="27">
        <v>4034.54</v>
      </c>
    </row>
    <row r="22" spans="1:8" x14ac:dyDescent="0.25">
      <c r="A22" s="12">
        <v>43819</v>
      </c>
      <c r="B22" s="25">
        <v>0</v>
      </c>
      <c r="C22" s="25">
        <v>56</v>
      </c>
      <c r="D22" s="25">
        <v>0</v>
      </c>
      <c r="E22" s="26">
        <v>0</v>
      </c>
      <c r="F22" s="26">
        <v>0</v>
      </c>
      <c r="G22" s="25">
        <v>0</v>
      </c>
      <c r="H22" s="27">
        <v>4034.54</v>
      </c>
    </row>
    <row r="23" spans="1:8" x14ac:dyDescent="0.25">
      <c r="A23" s="12">
        <v>43820</v>
      </c>
      <c r="B23" s="25">
        <v>0</v>
      </c>
      <c r="C23" s="25">
        <v>60</v>
      </c>
      <c r="D23" s="25">
        <v>0</v>
      </c>
      <c r="E23" s="26">
        <v>0</v>
      </c>
      <c r="F23" s="26">
        <v>0</v>
      </c>
      <c r="G23" s="25">
        <v>0</v>
      </c>
      <c r="H23" s="27">
        <v>4034.54</v>
      </c>
    </row>
    <row r="24" spans="1:8" x14ac:dyDescent="0.25">
      <c r="A24" s="12">
        <v>43821</v>
      </c>
      <c r="B24" s="25">
        <v>0</v>
      </c>
      <c r="C24" s="25">
        <v>60</v>
      </c>
      <c r="D24" s="25">
        <v>0</v>
      </c>
      <c r="E24" s="26">
        <v>0</v>
      </c>
      <c r="F24" s="26">
        <v>0</v>
      </c>
      <c r="G24" s="25">
        <v>0</v>
      </c>
      <c r="H24" s="27">
        <v>4034.55</v>
      </c>
    </row>
    <row r="25" spans="1:8" x14ac:dyDescent="0.25">
      <c r="A25" s="12">
        <v>43822</v>
      </c>
      <c r="B25" s="25">
        <v>0</v>
      </c>
      <c r="C25" s="25">
        <v>60</v>
      </c>
      <c r="D25" s="25">
        <v>0</v>
      </c>
      <c r="E25" s="26">
        <v>0</v>
      </c>
      <c r="F25" s="26">
        <v>0</v>
      </c>
      <c r="G25" s="25">
        <v>0</v>
      </c>
      <c r="H25" s="27">
        <v>4034.55</v>
      </c>
    </row>
    <row r="26" spans="1:8" x14ac:dyDescent="0.25">
      <c r="A26" s="12">
        <v>43823</v>
      </c>
      <c r="B26" s="25">
        <v>0</v>
      </c>
      <c r="C26" s="25">
        <v>50</v>
      </c>
      <c r="D26" s="25">
        <v>0</v>
      </c>
      <c r="E26" s="26">
        <v>0</v>
      </c>
      <c r="F26" s="26">
        <v>0</v>
      </c>
      <c r="G26" s="25">
        <v>0</v>
      </c>
      <c r="H26" s="27">
        <v>4034.55</v>
      </c>
    </row>
    <row r="27" spans="1:8" x14ac:dyDescent="0.25">
      <c r="A27" s="12">
        <v>43824</v>
      </c>
      <c r="B27" s="25">
        <v>0</v>
      </c>
      <c r="C27" s="25">
        <v>36</v>
      </c>
      <c r="D27" s="25">
        <v>0</v>
      </c>
      <c r="E27" s="26">
        <v>0.03</v>
      </c>
      <c r="F27" s="26">
        <v>0.1</v>
      </c>
      <c r="G27" s="25">
        <v>0</v>
      </c>
      <c r="H27" s="27">
        <v>4034.54</v>
      </c>
    </row>
    <row r="28" spans="1:8" x14ac:dyDescent="0.25">
      <c r="A28" s="12">
        <v>43825</v>
      </c>
      <c r="B28" s="25">
        <v>0</v>
      </c>
      <c r="C28" s="25">
        <v>30</v>
      </c>
      <c r="D28" s="25">
        <v>0</v>
      </c>
      <c r="E28" s="26">
        <v>0</v>
      </c>
      <c r="F28" s="26">
        <v>0</v>
      </c>
      <c r="G28" s="25">
        <v>0</v>
      </c>
      <c r="H28" s="27">
        <v>4034.54</v>
      </c>
    </row>
    <row r="29" spans="1:8" x14ac:dyDescent="0.25">
      <c r="A29" s="12">
        <v>43826</v>
      </c>
      <c r="B29" s="25">
        <v>0</v>
      </c>
      <c r="C29" s="25">
        <v>30</v>
      </c>
      <c r="D29" s="25">
        <v>0</v>
      </c>
      <c r="E29" s="26">
        <v>0</v>
      </c>
      <c r="F29" s="26">
        <v>0</v>
      </c>
      <c r="G29" s="25">
        <v>0</v>
      </c>
      <c r="H29" s="27">
        <v>4034.54</v>
      </c>
    </row>
    <row r="30" spans="1:8" x14ac:dyDescent="0.25">
      <c r="A30" s="12">
        <v>43827</v>
      </c>
      <c r="B30" s="25">
        <v>0</v>
      </c>
      <c r="C30" s="25">
        <v>30</v>
      </c>
      <c r="D30" s="25">
        <v>0</v>
      </c>
      <c r="E30" s="26" t="s">
        <v>47</v>
      </c>
      <c r="F30" s="26">
        <v>0</v>
      </c>
      <c r="G30" s="25">
        <v>0</v>
      </c>
      <c r="H30" s="27">
        <v>4034.54</v>
      </c>
    </row>
    <row r="31" spans="1:8" x14ac:dyDescent="0.25">
      <c r="A31" s="12">
        <v>43828</v>
      </c>
      <c r="B31" s="25">
        <v>0</v>
      </c>
      <c r="C31" s="25">
        <v>30</v>
      </c>
      <c r="D31" s="25">
        <v>0</v>
      </c>
      <c r="E31" s="26">
        <v>0</v>
      </c>
      <c r="F31" s="26">
        <v>0</v>
      </c>
      <c r="G31" s="25">
        <v>0</v>
      </c>
      <c r="H31" s="27">
        <v>4034.54</v>
      </c>
    </row>
    <row r="32" spans="1:8" x14ac:dyDescent="0.25">
      <c r="A32" s="12">
        <v>43829</v>
      </c>
      <c r="B32" s="25">
        <v>0</v>
      </c>
      <c r="C32" s="25">
        <v>29</v>
      </c>
      <c r="D32" s="25">
        <v>0</v>
      </c>
      <c r="E32" s="26">
        <v>0</v>
      </c>
      <c r="F32" s="26">
        <v>0</v>
      </c>
      <c r="G32" s="25"/>
      <c r="H32" s="27">
        <v>4034.54</v>
      </c>
    </row>
    <row r="33" spans="1:15" ht="15.75" thickBot="1" x14ac:dyDescent="0.3">
      <c r="A33" s="12">
        <v>43830</v>
      </c>
      <c r="B33" s="88">
        <v>0</v>
      </c>
      <c r="C33" s="25">
        <v>25</v>
      </c>
      <c r="D33" s="25">
        <v>0</v>
      </c>
      <c r="E33" s="89">
        <v>0</v>
      </c>
      <c r="F33" s="26">
        <v>0</v>
      </c>
      <c r="G33" s="25">
        <v>0</v>
      </c>
      <c r="H33" s="27">
        <v>4034.54</v>
      </c>
    </row>
    <row r="34" spans="1:15" s="11" customFormat="1" ht="15.75" thickTop="1" x14ac:dyDescent="0.25">
      <c r="A34" s="16" t="s">
        <v>8</v>
      </c>
      <c r="B34" s="17">
        <f t="shared" ref="B34:G34" si="0">SUM(B3:B33)</f>
        <v>0</v>
      </c>
      <c r="C34" s="17">
        <f t="shared" si="0"/>
        <v>965</v>
      </c>
      <c r="D34" s="17">
        <f t="shared" si="0"/>
        <v>0</v>
      </c>
      <c r="E34" s="18">
        <f t="shared" si="0"/>
        <v>1.34</v>
      </c>
      <c r="F34" s="18">
        <f t="shared" si="0"/>
        <v>1.2000000000000002</v>
      </c>
      <c r="G34" s="17">
        <f t="shared" si="0"/>
        <v>0</v>
      </c>
      <c r="H34" s="18"/>
    </row>
    <row r="35" spans="1:15" s="11" customFormat="1" x14ac:dyDescent="0.25">
      <c r="A35" s="19" t="s">
        <v>9</v>
      </c>
      <c r="B35" s="20">
        <f>SUM(B34+'Nov 2019'!B34)</f>
        <v>4731</v>
      </c>
      <c r="C35" s="20">
        <f>SUM(C34+'Nov 2019'!C34)</f>
        <v>3196</v>
      </c>
      <c r="D35" s="20">
        <f>SUM(D34+'Nov 2019'!D34)</f>
        <v>5894</v>
      </c>
      <c r="E35" s="21">
        <f>SUM(E34+'Nov 2019'!E34)</f>
        <v>1.81</v>
      </c>
      <c r="F35" s="21">
        <f>SUM(F34+'Nov 2019'!F34)</f>
        <v>4.2</v>
      </c>
      <c r="G35" s="20">
        <f>SUM(G34+'Nov 2019'!G34)</f>
        <v>12349</v>
      </c>
      <c r="H35" s="21"/>
    </row>
    <row r="37" spans="1:15" x14ac:dyDescent="0.25">
      <c r="A37" t="s">
        <v>10</v>
      </c>
      <c r="B37" s="23">
        <f>SUM(B3:B33)*1.9835</f>
        <v>0</v>
      </c>
      <c r="C37" s="23">
        <f>SUM(C3:C33)*1.9835</f>
        <v>1914.0775000000001</v>
      </c>
      <c r="D37" s="23">
        <f>SUM(D3:D33)*1.9835</f>
        <v>0</v>
      </c>
      <c r="E37" s="23"/>
      <c r="F37" s="23"/>
      <c r="G37" s="23"/>
      <c r="I37" s="22"/>
    </row>
    <row r="39" spans="1:15" x14ac:dyDescent="0.25">
      <c r="A39" t="s">
        <v>24</v>
      </c>
      <c r="B39" s="23">
        <f>SUM('Nov 2019'!B38+B37)</f>
        <v>9383.9385000000002</v>
      </c>
      <c r="C39" s="23">
        <f>SUM('Nov 2019'!C38+C37)</f>
        <v>6339.2660000000005</v>
      </c>
      <c r="D39" s="23">
        <f>SUM('Nov 2019'!D38+D37)</f>
        <v>11690.749</v>
      </c>
      <c r="E39" s="23"/>
      <c r="F39" s="23"/>
      <c r="G39" s="23"/>
      <c r="I39" s="22"/>
    </row>
    <row r="40" spans="1:15" x14ac:dyDescent="0.25">
      <c r="B40" s="23"/>
      <c r="C40" s="23"/>
      <c r="D40" s="24"/>
      <c r="E40" s="23"/>
      <c r="F40" s="23"/>
      <c r="G40" s="23"/>
      <c r="I40" s="22"/>
    </row>
    <row r="41" spans="1:15" ht="17.45" customHeight="1" x14ac:dyDescent="0.25">
      <c r="A41" s="113"/>
      <c r="B41" s="113"/>
      <c r="C41" s="113"/>
      <c r="D41" s="113"/>
      <c r="E41" s="113"/>
      <c r="F41" s="114"/>
      <c r="G41" s="115" t="s">
        <v>12</v>
      </c>
      <c r="H41" s="116"/>
      <c r="I41" s="30"/>
      <c r="J41" s="30"/>
      <c r="K41" s="30"/>
      <c r="L41" s="30"/>
      <c r="M41" s="30"/>
      <c r="N41" s="31"/>
      <c r="O41" s="30"/>
    </row>
    <row r="42" spans="1:15" ht="16.899999999999999" customHeight="1" x14ac:dyDescent="0.25">
      <c r="A42" s="29"/>
      <c r="B42" s="29"/>
      <c r="C42" s="29"/>
      <c r="D42" s="29"/>
      <c r="E42" s="29"/>
      <c r="F42" s="29"/>
      <c r="G42" s="115"/>
      <c r="H42" s="116"/>
      <c r="I42" s="30"/>
      <c r="J42" s="30"/>
      <c r="K42" s="30"/>
      <c r="L42" s="30"/>
      <c r="M42" s="30"/>
      <c r="N42" s="31"/>
      <c r="O42" s="30"/>
    </row>
    <row r="43" spans="1:15" ht="13.9" customHeight="1" x14ac:dyDescent="0.25">
      <c r="A43" s="118" t="s">
        <v>23</v>
      </c>
      <c r="B43" s="118"/>
      <c r="C43" s="118"/>
      <c r="D43" s="118"/>
      <c r="E43" s="118"/>
      <c r="F43" s="118"/>
      <c r="G43" s="118"/>
      <c r="H43" s="118"/>
      <c r="I43" s="118"/>
      <c r="J43" s="118"/>
      <c r="K43" s="32"/>
      <c r="L43" s="32"/>
      <c r="M43" s="32"/>
      <c r="N43" s="33"/>
      <c r="O43" s="34"/>
    </row>
    <row r="44" spans="1:15" ht="15.6" customHeight="1" x14ac:dyDescent="0.25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4"/>
      <c r="L44" s="34"/>
      <c r="M44" s="34"/>
      <c r="N44" s="33"/>
    </row>
    <row r="45" spans="1:15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x14ac:dyDescent="0.25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4"/>
      <c r="N49" s="33"/>
    </row>
    <row r="50" spans="1:15" ht="13.15" customHeight="1" x14ac:dyDescent="0.25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15.75" thickBot="1" x14ac:dyDescent="0.3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4"/>
      <c r="N51" s="33"/>
      <c r="O51" s="34"/>
    </row>
    <row r="52" spans="1:15" ht="26.25" x14ac:dyDescent="0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</row>
    <row r="53" spans="1:15" ht="15.75" x14ac:dyDescent="0.25">
      <c r="A53" s="58"/>
      <c r="B53" s="59"/>
      <c r="C53" s="60"/>
      <c r="D53" s="61"/>
      <c r="E53" s="62"/>
      <c r="F53" s="63"/>
      <c r="G53" s="64"/>
      <c r="H53" s="65"/>
      <c r="I53" s="66"/>
      <c r="J53" s="66"/>
    </row>
    <row r="54" spans="1:15" x14ac:dyDescent="0.25">
      <c r="A54" s="67"/>
      <c r="B54" s="68"/>
      <c r="C54" s="69"/>
      <c r="D54" s="61"/>
      <c r="E54" s="70"/>
      <c r="F54" s="71"/>
      <c r="G54" s="64"/>
      <c r="H54" s="65"/>
    </row>
    <row r="55" spans="1:15" x14ac:dyDescent="0.25">
      <c r="A55" s="67"/>
      <c r="B55" s="68"/>
      <c r="C55" s="69"/>
      <c r="D55" s="61"/>
      <c r="E55" s="72"/>
      <c r="F55" s="71"/>
      <c r="G55" s="64"/>
      <c r="H55" s="65"/>
    </row>
    <row r="56" spans="1:15" x14ac:dyDescent="0.25">
      <c r="A56" s="67"/>
      <c r="B56" s="68"/>
      <c r="C56" s="69"/>
      <c r="D56" s="61"/>
      <c r="E56" s="72"/>
      <c r="F56" s="71"/>
      <c r="G56" s="64"/>
      <c r="H56" s="65"/>
    </row>
    <row r="57" spans="1:15" ht="15.75" thickBot="1" x14ac:dyDescent="0.3">
      <c r="A57" s="73"/>
      <c r="B57" s="74"/>
      <c r="C57" s="75"/>
      <c r="D57" s="76"/>
      <c r="E57" s="75"/>
      <c r="F57" s="77"/>
      <c r="G57" s="64"/>
      <c r="H57" s="65"/>
      <c r="I57" s="78"/>
      <c r="J57" s="78"/>
    </row>
    <row r="58" spans="1:15" s="84" customFormat="1" ht="30" customHeight="1" x14ac:dyDescent="0.25">
      <c r="A58" s="119" t="s">
        <v>21</v>
      </c>
      <c r="B58" s="120"/>
      <c r="C58" s="121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</row>
  </sheetData>
  <mergeCells count="4"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7"/>
  <sheetViews>
    <sheetView workbookViewId="0">
      <selection activeCell="H32" sqref="H32"/>
    </sheetView>
  </sheetViews>
  <sheetFormatPr defaultRowHeight="15" x14ac:dyDescent="0.25"/>
  <cols>
    <col min="1" max="1" width="13.5703125" style="2" bestFit="1" customWidth="1"/>
    <col min="2" max="4" width="11.7109375" style="6" customWidth="1"/>
    <col min="5" max="6" width="11.7109375" customWidth="1"/>
    <col min="7" max="7" width="11.7109375" style="6" customWidth="1"/>
    <col min="8" max="8" width="11.7109375" customWidth="1"/>
    <col min="9" max="9" width="29" bestFit="1" customWidth="1"/>
  </cols>
  <sheetData>
    <row r="1" spans="1:9" s="1" customFormat="1" ht="30" x14ac:dyDescent="0.25">
      <c r="A1" s="87" t="s">
        <v>0</v>
      </c>
      <c r="B1" s="5" t="s">
        <v>5</v>
      </c>
      <c r="C1" s="5" t="s">
        <v>1</v>
      </c>
      <c r="D1" s="5" t="s">
        <v>2</v>
      </c>
      <c r="E1" s="7" t="s">
        <v>6</v>
      </c>
      <c r="F1" s="7" t="s">
        <v>7</v>
      </c>
      <c r="G1" s="5" t="s">
        <v>3</v>
      </c>
      <c r="H1" s="3" t="s">
        <v>4</v>
      </c>
      <c r="I1" s="3" t="s">
        <v>11</v>
      </c>
    </row>
    <row r="2" spans="1:9" s="1" customFormat="1" x14ac:dyDescent="0.25">
      <c r="A2" s="86"/>
      <c r="B2" s="5" t="s">
        <v>25</v>
      </c>
      <c r="C2" s="5" t="s">
        <v>25</v>
      </c>
      <c r="D2" s="5" t="s">
        <v>25</v>
      </c>
      <c r="E2" s="7"/>
      <c r="F2" s="7"/>
      <c r="G2" s="5" t="s">
        <v>26</v>
      </c>
      <c r="H2" s="3"/>
      <c r="I2" s="85"/>
    </row>
    <row r="3" spans="1:9" x14ac:dyDescent="0.25">
      <c r="A3" s="12">
        <v>43770</v>
      </c>
      <c r="B3" s="90">
        <v>75</v>
      </c>
      <c r="C3" s="90">
        <v>0</v>
      </c>
      <c r="D3" s="90">
        <v>125</v>
      </c>
      <c r="E3" s="26">
        <v>0</v>
      </c>
      <c r="F3" s="26">
        <v>0</v>
      </c>
      <c r="G3" s="90">
        <v>160</v>
      </c>
      <c r="H3" s="26">
        <v>4034.62</v>
      </c>
      <c r="I3" s="108"/>
    </row>
    <row r="4" spans="1:9" x14ac:dyDescent="0.25">
      <c r="A4" s="12">
        <v>43771</v>
      </c>
      <c r="B4" s="90">
        <v>92</v>
      </c>
      <c r="C4" s="90">
        <v>0</v>
      </c>
      <c r="D4" s="90">
        <v>127</v>
      </c>
      <c r="E4" s="26">
        <v>0</v>
      </c>
      <c r="F4" s="26">
        <v>0</v>
      </c>
      <c r="G4" s="90">
        <v>160</v>
      </c>
      <c r="H4" s="26">
        <v>4034.62</v>
      </c>
      <c r="I4" s="108" t="s">
        <v>32</v>
      </c>
    </row>
    <row r="5" spans="1:9" x14ac:dyDescent="0.25">
      <c r="A5" s="12">
        <v>43772</v>
      </c>
      <c r="B5" s="90">
        <v>117</v>
      </c>
      <c r="C5" s="90">
        <v>0</v>
      </c>
      <c r="D5" s="90">
        <v>137</v>
      </c>
      <c r="E5" s="26">
        <v>0</v>
      </c>
      <c r="F5" s="26">
        <v>0</v>
      </c>
      <c r="G5" s="90">
        <v>160</v>
      </c>
      <c r="H5" s="26">
        <v>4034.6</v>
      </c>
      <c r="I5" s="108" t="s">
        <v>33</v>
      </c>
    </row>
    <row r="6" spans="1:9" x14ac:dyDescent="0.25">
      <c r="A6" s="12">
        <v>43773</v>
      </c>
      <c r="B6" s="90">
        <v>125</v>
      </c>
      <c r="C6" s="90">
        <v>0</v>
      </c>
      <c r="D6" s="90">
        <v>131</v>
      </c>
      <c r="E6" s="26">
        <v>0</v>
      </c>
      <c r="F6" s="26">
        <v>0</v>
      </c>
      <c r="G6" s="90">
        <v>160</v>
      </c>
      <c r="H6" s="26">
        <v>4034.58</v>
      </c>
      <c r="I6" s="108"/>
    </row>
    <row r="7" spans="1:9" x14ac:dyDescent="0.25">
      <c r="A7" s="12">
        <v>43774</v>
      </c>
      <c r="B7" s="90">
        <v>125</v>
      </c>
      <c r="C7" s="90">
        <v>0</v>
      </c>
      <c r="D7" s="90">
        <v>140</v>
      </c>
      <c r="E7" s="26">
        <v>0</v>
      </c>
      <c r="F7" s="26">
        <v>0</v>
      </c>
      <c r="G7" s="90">
        <v>160</v>
      </c>
      <c r="H7" s="26">
        <v>4034.58</v>
      </c>
      <c r="I7" s="108"/>
    </row>
    <row r="8" spans="1:9" x14ac:dyDescent="0.25">
      <c r="A8" s="12">
        <v>43775</v>
      </c>
      <c r="B8" s="90">
        <v>175</v>
      </c>
      <c r="C8" s="90">
        <v>1</v>
      </c>
      <c r="D8" s="90">
        <v>150</v>
      </c>
      <c r="E8" s="26">
        <v>0</v>
      </c>
      <c r="F8" s="26">
        <v>0</v>
      </c>
      <c r="G8" s="90">
        <v>241</v>
      </c>
      <c r="H8" s="26">
        <v>4034.54</v>
      </c>
      <c r="I8" s="108" t="s">
        <v>34</v>
      </c>
    </row>
    <row r="9" spans="1:9" x14ac:dyDescent="0.25">
      <c r="A9" s="12">
        <v>43776</v>
      </c>
      <c r="B9" s="90">
        <v>275</v>
      </c>
      <c r="C9" s="90">
        <v>111</v>
      </c>
      <c r="D9" s="90">
        <v>159</v>
      </c>
      <c r="E9" s="26">
        <v>0</v>
      </c>
      <c r="F9" s="26">
        <v>0</v>
      </c>
      <c r="G9" s="90">
        <v>318</v>
      </c>
      <c r="H9" s="26">
        <v>4034.54</v>
      </c>
      <c r="I9" s="108" t="s">
        <v>35</v>
      </c>
    </row>
    <row r="10" spans="1:9" x14ac:dyDescent="0.25">
      <c r="A10" s="12">
        <v>43777</v>
      </c>
      <c r="B10" s="90">
        <v>300</v>
      </c>
      <c r="C10" s="90">
        <v>196</v>
      </c>
      <c r="D10" s="90">
        <v>153</v>
      </c>
      <c r="E10" s="26">
        <v>0</v>
      </c>
      <c r="F10" s="26">
        <v>0</v>
      </c>
      <c r="G10" s="90">
        <v>318</v>
      </c>
      <c r="H10" s="26">
        <v>4034.54</v>
      </c>
      <c r="I10" s="108"/>
    </row>
    <row r="11" spans="1:9" x14ac:dyDescent="0.25">
      <c r="A11" s="12">
        <v>43778</v>
      </c>
      <c r="B11" s="90">
        <v>300</v>
      </c>
      <c r="C11" s="90">
        <v>207</v>
      </c>
      <c r="D11" s="90">
        <v>131</v>
      </c>
      <c r="E11" s="26">
        <v>0</v>
      </c>
      <c r="F11" s="26">
        <v>0</v>
      </c>
      <c r="G11" s="90">
        <v>318</v>
      </c>
      <c r="H11" s="26">
        <v>4034.56</v>
      </c>
      <c r="I11" s="108"/>
    </row>
    <row r="12" spans="1:9" x14ac:dyDescent="0.25">
      <c r="A12" s="12">
        <v>43779</v>
      </c>
      <c r="B12" s="90">
        <v>278</v>
      </c>
      <c r="C12" s="90">
        <v>238</v>
      </c>
      <c r="D12" s="90">
        <v>114</v>
      </c>
      <c r="E12" s="26">
        <v>0</v>
      </c>
      <c r="F12" s="26">
        <v>0</v>
      </c>
      <c r="G12" s="90">
        <v>318</v>
      </c>
      <c r="H12" s="26">
        <v>4034.56</v>
      </c>
      <c r="I12" s="108" t="s">
        <v>36</v>
      </c>
    </row>
    <row r="13" spans="1:9" x14ac:dyDescent="0.25">
      <c r="A13" s="12">
        <v>43780</v>
      </c>
      <c r="B13" s="90">
        <v>250</v>
      </c>
      <c r="C13" s="90">
        <v>205</v>
      </c>
      <c r="D13" s="90">
        <v>109</v>
      </c>
      <c r="E13" s="26">
        <v>0</v>
      </c>
      <c r="F13" s="26">
        <v>0</v>
      </c>
      <c r="G13" s="90">
        <v>318</v>
      </c>
      <c r="H13" s="26">
        <v>4034.56</v>
      </c>
      <c r="I13" s="108" t="s">
        <v>38</v>
      </c>
    </row>
    <row r="14" spans="1:9" x14ac:dyDescent="0.25">
      <c r="A14" s="12">
        <v>43781</v>
      </c>
      <c r="B14" s="90">
        <v>233</v>
      </c>
      <c r="C14" s="90">
        <v>181</v>
      </c>
      <c r="D14" s="90">
        <v>132</v>
      </c>
      <c r="E14" s="26">
        <v>0</v>
      </c>
      <c r="F14" s="26">
        <v>0</v>
      </c>
      <c r="G14" s="90">
        <v>318</v>
      </c>
      <c r="H14" s="26">
        <v>4034.56</v>
      </c>
      <c r="I14" s="108" t="s">
        <v>37</v>
      </c>
    </row>
    <row r="15" spans="1:9" x14ac:dyDescent="0.25">
      <c r="A15" s="12">
        <v>43782</v>
      </c>
      <c r="B15" s="90">
        <v>175</v>
      </c>
      <c r="C15" s="90">
        <v>56</v>
      </c>
      <c r="D15" s="90">
        <v>166</v>
      </c>
      <c r="E15" s="26">
        <v>0</v>
      </c>
      <c r="F15" s="26">
        <v>0</v>
      </c>
      <c r="G15" s="90">
        <v>318</v>
      </c>
      <c r="H15" s="26">
        <v>4034.55</v>
      </c>
      <c r="I15" s="108" t="s">
        <v>39</v>
      </c>
    </row>
    <row r="16" spans="1:9" x14ac:dyDescent="0.25">
      <c r="A16" s="12">
        <v>43783</v>
      </c>
      <c r="B16" s="90">
        <v>142</v>
      </c>
      <c r="C16" s="90">
        <v>11</v>
      </c>
      <c r="D16" s="90">
        <v>172</v>
      </c>
      <c r="E16" s="26">
        <v>0</v>
      </c>
      <c r="F16" s="26">
        <v>0</v>
      </c>
      <c r="G16" s="90">
        <v>318</v>
      </c>
      <c r="H16" s="26">
        <v>4034.54</v>
      </c>
      <c r="I16" s="108" t="s">
        <v>42</v>
      </c>
    </row>
    <row r="17" spans="1:9" x14ac:dyDescent="0.25">
      <c r="A17" s="12">
        <v>43784</v>
      </c>
      <c r="B17" s="90">
        <v>117</v>
      </c>
      <c r="C17" s="90">
        <v>14</v>
      </c>
      <c r="D17" s="90">
        <v>158</v>
      </c>
      <c r="E17" s="26">
        <v>0</v>
      </c>
      <c r="F17" s="26">
        <v>0</v>
      </c>
      <c r="G17" s="90">
        <v>318</v>
      </c>
      <c r="H17" s="26">
        <v>4034.52</v>
      </c>
      <c r="I17" s="108" t="s">
        <v>40</v>
      </c>
    </row>
    <row r="18" spans="1:9" x14ac:dyDescent="0.25">
      <c r="A18" s="12">
        <v>43785</v>
      </c>
      <c r="B18" s="90">
        <v>100</v>
      </c>
      <c r="C18" s="90">
        <v>0</v>
      </c>
      <c r="D18" s="90">
        <v>137</v>
      </c>
      <c r="E18" s="26">
        <v>0.02</v>
      </c>
      <c r="F18" s="26">
        <v>0</v>
      </c>
      <c r="G18" s="90">
        <v>318</v>
      </c>
      <c r="H18" s="26">
        <v>4034.48</v>
      </c>
      <c r="I18" s="108"/>
    </row>
    <row r="19" spans="1:9" x14ac:dyDescent="0.25">
      <c r="A19" s="12">
        <v>43786</v>
      </c>
      <c r="B19" s="90">
        <v>94</v>
      </c>
      <c r="C19" s="90">
        <v>0</v>
      </c>
      <c r="D19" s="90">
        <v>119</v>
      </c>
      <c r="E19" s="26">
        <v>0.01</v>
      </c>
      <c r="F19" s="26">
        <v>0</v>
      </c>
      <c r="G19" s="90">
        <v>318</v>
      </c>
      <c r="H19" s="26">
        <v>4034.48</v>
      </c>
      <c r="I19" s="108" t="s">
        <v>41</v>
      </c>
    </row>
    <row r="20" spans="1:9" x14ac:dyDescent="0.25">
      <c r="A20" s="12">
        <v>43787</v>
      </c>
      <c r="B20" s="90">
        <v>116</v>
      </c>
      <c r="C20" s="90">
        <v>0</v>
      </c>
      <c r="D20" s="90">
        <v>120</v>
      </c>
      <c r="E20" s="26">
        <v>0</v>
      </c>
      <c r="F20" s="26">
        <v>0</v>
      </c>
      <c r="G20" s="90">
        <v>318</v>
      </c>
      <c r="H20" s="26">
        <v>4034.44</v>
      </c>
      <c r="I20" s="108" t="s">
        <v>43</v>
      </c>
    </row>
    <row r="21" spans="1:9" x14ac:dyDescent="0.25">
      <c r="A21" s="12">
        <v>43788</v>
      </c>
      <c r="B21" s="90">
        <v>175</v>
      </c>
      <c r="C21" s="90">
        <v>78</v>
      </c>
      <c r="D21" s="90">
        <v>115</v>
      </c>
      <c r="E21" s="26">
        <v>0.01</v>
      </c>
      <c r="F21" s="26">
        <v>0</v>
      </c>
      <c r="G21" s="90">
        <v>318</v>
      </c>
      <c r="H21" s="26">
        <v>4034.42</v>
      </c>
      <c r="I21" s="108"/>
    </row>
    <row r="22" spans="1:9" x14ac:dyDescent="0.25">
      <c r="A22" s="12">
        <v>43789</v>
      </c>
      <c r="B22" s="90">
        <v>153</v>
      </c>
      <c r="C22" s="90">
        <v>69</v>
      </c>
      <c r="D22" s="90">
        <v>106</v>
      </c>
      <c r="E22" s="26" t="s">
        <v>47</v>
      </c>
      <c r="F22" s="26">
        <v>0</v>
      </c>
      <c r="G22" s="90">
        <v>318</v>
      </c>
      <c r="H22" s="26">
        <v>4034.38</v>
      </c>
      <c r="I22" s="108" t="s">
        <v>44</v>
      </c>
    </row>
    <row r="23" spans="1:9" x14ac:dyDescent="0.25">
      <c r="A23" s="12">
        <v>43790</v>
      </c>
      <c r="B23" s="90">
        <v>125</v>
      </c>
      <c r="C23" s="90">
        <v>51</v>
      </c>
      <c r="D23" s="90">
        <v>100</v>
      </c>
      <c r="E23" s="26">
        <v>0</v>
      </c>
      <c r="F23" s="26">
        <v>0</v>
      </c>
      <c r="G23" s="90">
        <v>318</v>
      </c>
      <c r="H23" s="26">
        <v>4034.35</v>
      </c>
      <c r="I23" s="108"/>
    </row>
    <row r="24" spans="1:9" x14ac:dyDescent="0.25">
      <c r="A24" s="12">
        <v>43791</v>
      </c>
      <c r="B24" s="90">
        <v>125</v>
      </c>
      <c r="C24" s="90">
        <v>51</v>
      </c>
      <c r="D24" s="90">
        <v>90</v>
      </c>
      <c r="E24" s="26">
        <v>0</v>
      </c>
      <c r="F24" s="26">
        <v>0</v>
      </c>
      <c r="G24" s="90">
        <v>318</v>
      </c>
      <c r="H24" s="26">
        <v>4034.32</v>
      </c>
      <c r="I24" s="108"/>
    </row>
    <row r="25" spans="1:9" x14ac:dyDescent="0.25">
      <c r="A25" s="12">
        <v>43792</v>
      </c>
      <c r="B25" s="90">
        <v>113</v>
      </c>
      <c r="C25" s="90">
        <v>56</v>
      </c>
      <c r="D25" s="90">
        <v>78</v>
      </c>
      <c r="E25" s="26">
        <v>0</v>
      </c>
      <c r="F25" s="26">
        <v>0</v>
      </c>
      <c r="G25" s="90">
        <v>318</v>
      </c>
      <c r="H25" s="26">
        <v>4034.32</v>
      </c>
      <c r="I25" s="108" t="s">
        <v>45</v>
      </c>
    </row>
    <row r="26" spans="1:9" x14ac:dyDescent="0.25">
      <c r="A26" s="12">
        <v>43793</v>
      </c>
      <c r="B26" s="90">
        <v>89</v>
      </c>
      <c r="C26" s="90">
        <v>49</v>
      </c>
      <c r="D26" s="90">
        <v>65</v>
      </c>
      <c r="E26" s="26">
        <v>0</v>
      </c>
      <c r="F26" s="26">
        <v>0</v>
      </c>
      <c r="G26" s="90">
        <v>318</v>
      </c>
      <c r="H26" s="26">
        <v>4034.31</v>
      </c>
      <c r="I26" s="108" t="s">
        <v>46</v>
      </c>
    </row>
    <row r="27" spans="1:9" x14ac:dyDescent="0.25">
      <c r="A27" s="12">
        <v>43794</v>
      </c>
      <c r="B27" s="90">
        <v>75</v>
      </c>
      <c r="C27" s="90">
        <v>14</v>
      </c>
      <c r="D27" s="90">
        <v>56</v>
      </c>
      <c r="E27" s="26">
        <v>0</v>
      </c>
      <c r="F27" s="26">
        <v>0</v>
      </c>
      <c r="G27" s="90">
        <v>318</v>
      </c>
      <c r="H27" s="26">
        <v>4034.28</v>
      </c>
      <c r="I27" s="108"/>
    </row>
    <row r="28" spans="1:9" x14ac:dyDescent="0.25">
      <c r="A28" s="12">
        <v>43795</v>
      </c>
      <c r="B28" s="90">
        <v>56</v>
      </c>
      <c r="C28" s="90">
        <v>14</v>
      </c>
      <c r="D28" s="90">
        <v>25</v>
      </c>
      <c r="E28" s="26">
        <v>0.01</v>
      </c>
      <c r="F28" s="26">
        <v>2</v>
      </c>
      <c r="G28" s="90">
        <v>246</v>
      </c>
      <c r="H28" s="26">
        <v>4034.26</v>
      </c>
      <c r="I28" s="108" t="s">
        <v>48</v>
      </c>
    </row>
    <row r="29" spans="1:9" x14ac:dyDescent="0.25">
      <c r="A29" s="12">
        <v>43796</v>
      </c>
      <c r="B29" s="90">
        <v>19</v>
      </c>
      <c r="C29" s="90">
        <v>0</v>
      </c>
      <c r="D29" s="90">
        <v>24</v>
      </c>
      <c r="E29" s="26">
        <v>0.02</v>
      </c>
      <c r="F29" s="26">
        <v>1</v>
      </c>
      <c r="G29" s="90">
        <v>60</v>
      </c>
      <c r="H29" s="26">
        <v>4034.25</v>
      </c>
      <c r="I29" s="108" t="s">
        <v>49</v>
      </c>
    </row>
    <row r="30" spans="1:9" x14ac:dyDescent="0.25">
      <c r="A30" s="12">
        <v>43797</v>
      </c>
      <c r="B30" s="90">
        <v>0</v>
      </c>
      <c r="C30" s="90">
        <v>0</v>
      </c>
      <c r="D30" s="90">
        <v>25</v>
      </c>
      <c r="E30" s="26" t="s">
        <v>47</v>
      </c>
      <c r="F30" s="26" t="s">
        <v>47</v>
      </c>
      <c r="G30" s="90">
        <v>0</v>
      </c>
      <c r="H30" s="26">
        <v>4034.23</v>
      </c>
      <c r="I30" s="108"/>
    </row>
    <row r="31" spans="1:9" x14ac:dyDescent="0.25">
      <c r="A31" s="12">
        <v>43798</v>
      </c>
      <c r="B31" s="90">
        <v>0</v>
      </c>
      <c r="C31" s="90">
        <v>10</v>
      </c>
      <c r="D31" s="90">
        <v>15</v>
      </c>
      <c r="E31" s="26" t="s">
        <v>47</v>
      </c>
      <c r="F31" s="26" t="s">
        <v>47</v>
      </c>
      <c r="G31" s="90">
        <v>0</v>
      </c>
      <c r="H31" s="26">
        <v>4034.23</v>
      </c>
      <c r="I31" s="108"/>
    </row>
    <row r="32" spans="1:9" ht="15.75" thickBot="1" x14ac:dyDescent="0.3">
      <c r="A32" s="12">
        <v>43799</v>
      </c>
      <c r="B32" s="90">
        <v>0</v>
      </c>
      <c r="C32" s="90">
        <v>20</v>
      </c>
      <c r="D32" s="90">
        <v>9</v>
      </c>
      <c r="E32" s="89">
        <v>0</v>
      </c>
      <c r="F32" s="89">
        <v>0</v>
      </c>
      <c r="G32" s="91">
        <v>0</v>
      </c>
      <c r="H32" s="26">
        <v>4034.22</v>
      </c>
      <c r="I32" s="108"/>
    </row>
    <row r="33" spans="1:15" s="11" customFormat="1" ht="15.75" thickTop="1" x14ac:dyDescent="0.25">
      <c r="A33" s="16" t="s">
        <v>8</v>
      </c>
      <c r="B33" s="17">
        <f t="shared" ref="B33:G33" si="0">SUM(B3:B32)</f>
        <v>4019</v>
      </c>
      <c r="C33" s="17">
        <f t="shared" si="0"/>
        <v>1632</v>
      </c>
      <c r="D33" s="17">
        <f t="shared" si="0"/>
        <v>3188</v>
      </c>
      <c r="E33" s="18">
        <f t="shared" si="0"/>
        <v>7.0000000000000007E-2</v>
      </c>
      <c r="F33" s="18">
        <f t="shared" si="0"/>
        <v>3</v>
      </c>
      <c r="G33" s="17">
        <f t="shared" si="0"/>
        <v>7389</v>
      </c>
      <c r="H33" s="18"/>
      <c r="I33"/>
    </row>
    <row r="34" spans="1:15" s="11" customFormat="1" x14ac:dyDescent="0.25">
      <c r="A34" s="19" t="s">
        <v>9</v>
      </c>
      <c r="B34" s="20">
        <f>SUM(B33+'Oct 2019'!B35)</f>
        <v>4731</v>
      </c>
      <c r="C34" s="20">
        <f>SUM(C33+'Oct 2019'!C35)</f>
        <v>2231</v>
      </c>
      <c r="D34" s="20">
        <f>SUM(D33+'Oct 2019'!D35)</f>
        <v>5894</v>
      </c>
      <c r="E34" s="21">
        <f>SUM(E33+'Oct 2019'!E35)</f>
        <v>0.47000000000000003</v>
      </c>
      <c r="F34" s="21">
        <f>SUM(F33+'Oct 2019'!F35)</f>
        <v>3</v>
      </c>
      <c r="G34" s="20">
        <f>SUM(G33+'Oct 2019'!G35)</f>
        <v>12349</v>
      </c>
      <c r="H34" s="21"/>
    </row>
    <row r="35" spans="1:15" x14ac:dyDescent="0.25">
      <c r="I35" s="11"/>
    </row>
    <row r="36" spans="1:15" x14ac:dyDescent="0.25">
      <c r="A36" t="s">
        <v>10</v>
      </c>
      <c r="B36" s="23">
        <f>SUM(B3:B32)*1.9835</f>
        <v>7971.6864999999998</v>
      </c>
      <c r="C36" s="23">
        <f>SUM(C3:C32)*1.9835</f>
        <v>3237.0720000000001</v>
      </c>
      <c r="D36" s="23">
        <f>SUM(D3:D32)*1.9835</f>
        <v>6323.3980000000001</v>
      </c>
      <c r="E36" s="23"/>
      <c r="F36" s="23"/>
      <c r="G36" s="23"/>
      <c r="I36" s="22"/>
    </row>
    <row r="37" spans="1:15" x14ac:dyDescent="0.25">
      <c r="A37"/>
      <c r="B37"/>
      <c r="C37"/>
      <c r="D37"/>
      <c r="G37"/>
    </row>
    <row r="38" spans="1:15" x14ac:dyDescent="0.25">
      <c r="A38" t="s">
        <v>24</v>
      </c>
      <c r="B38" s="23">
        <f>SUM('Oct 2019'!B39+B36)</f>
        <v>9383.9385000000002</v>
      </c>
      <c r="C38" s="23">
        <f>SUM('Oct 2019'!C39+C36)</f>
        <v>4425.1885000000002</v>
      </c>
      <c r="D38" s="23">
        <f>SUM('Oct 2019'!D39+D36)</f>
        <v>11690.749</v>
      </c>
      <c r="E38" s="23"/>
      <c r="F38" s="23"/>
      <c r="G38" s="23"/>
      <c r="I38" s="22"/>
    </row>
    <row r="39" spans="1:15" x14ac:dyDescent="0.25">
      <c r="A39"/>
      <c r="B39" s="23"/>
      <c r="C39" s="23"/>
      <c r="D39" s="24"/>
      <c r="E39" s="23"/>
      <c r="F39" s="23"/>
      <c r="G39" s="23"/>
      <c r="I39" s="22"/>
    </row>
    <row r="40" spans="1:15" ht="17.45" customHeight="1" x14ac:dyDescent="0.25">
      <c r="A40" s="113"/>
      <c r="B40" s="113"/>
      <c r="C40" s="113"/>
      <c r="D40" s="113"/>
      <c r="E40" s="113"/>
      <c r="F40" s="114"/>
      <c r="G40" s="115" t="s">
        <v>12</v>
      </c>
      <c r="H40" s="116"/>
      <c r="I40" s="30"/>
      <c r="J40" s="30"/>
      <c r="K40" s="30"/>
      <c r="L40" s="30"/>
      <c r="M40" s="30"/>
      <c r="N40" s="31"/>
      <c r="O40" s="30"/>
    </row>
    <row r="41" spans="1:15" ht="16.899999999999999" customHeight="1" x14ac:dyDescent="0.25">
      <c r="A41" s="29"/>
      <c r="B41" s="29"/>
      <c r="C41" s="29"/>
      <c r="D41" s="29"/>
      <c r="E41" s="29"/>
      <c r="F41" s="29"/>
      <c r="G41" s="115"/>
      <c r="H41" s="116"/>
      <c r="I41" s="30"/>
      <c r="J41" s="30"/>
      <c r="K41" s="30"/>
      <c r="L41" s="30"/>
      <c r="M41" s="30"/>
      <c r="N41" s="31"/>
      <c r="O41" s="30"/>
    </row>
    <row r="42" spans="1:15" ht="13.9" customHeight="1" x14ac:dyDescent="0.25">
      <c r="A42" s="118" t="s">
        <v>23</v>
      </c>
      <c r="B42" s="118"/>
      <c r="C42" s="118"/>
      <c r="D42" s="118"/>
      <c r="E42" s="118"/>
      <c r="F42" s="118"/>
      <c r="G42" s="118"/>
      <c r="H42" s="118"/>
      <c r="I42" s="118"/>
      <c r="J42" s="118"/>
      <c r="K42" s="32"/>
      <c r="L42" s="32"/>
      <c r="M42" s="32"/>
      <c r="N42" s="33"/>
      <c r="O42" s="34"/>
    </row>
    <row r="43" spans="1:15" ht="15.6" customHeight="1" x14ac:dyDescent="0.25">
      <c r="A43" s="42" t="s">
        <v>17</v>
      </c>
      <c r="B43" s="36"/>
      <c r="C43" s="37"/>
      <c r="D43" s="37"/>
      <c r="E43" s="38"/>
      <c r="F43" s="39"/>
      <c r="G43" s="40"/>
      <c r="H43" s="41"/>
      <c r="I43" s="34"/>
      <c r="J43" s="34"/>
      <c r="K43" s="34"/>
      <c r="L43" s="34"/>
      <c r="M43" s="34"/>
      <c r="N43" s="33"/>
    </row>
    <row r="44" spans="1:15" x14ac:dyDescent="0.25">
      <c r="A44" s="35"/>
      <c r="B44" s="36"/>
      <c r="C44" s="37"/>
      <c r="D44" s="37"/>
      <c r="E44" s="43"/>
      <c r="F44" s="39">
        <f>SUM(24-D44)</f>
        <v>24</v>
      </c>
      <c r="G44" s="40">
        <f>SUM(C44+E44)</f>
        <v>0</v>
      </c>
      <c r="H44" s="41">
        <f>SUM(C44/24*D44+G44/24*F44)</f>
        <v>0</v>
      </c>
      <c r="I44" s="34"/>
      <c r="J44" s="34"/>
      <c r="K44" s="34"/>
      <c r="L44" s="34"/>
      <c r="M44" s="34"/>
      <c r="N44" s="33"/>
    </row>
    <row r="45" spans="1:15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4"/>
      <c r="N45" s="33"/>
    </row>
    <row r="46" spans="1:15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4"/>
      <c r="N46" s="33"/>
    </row>
    <row r="47" spans="1:15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4"/>
      <c r="N47" s="33"/>
    </row>
    <row r="48" spans="1:15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4"/>
      <c r="N48" s="33"/>
    </row>
    <row r="49" spans="1:15" ht="13.15" customHeight="1" x14ac:dyDescent="0.25">
      <c r="A49" s="44"/>
      <c r="B49" s="45"/>
      <c r="C49" s="45"/>
      <c r="D49" s="45"/>
      <c r="E49" s="45"/>
      <c r="F49" s="45"/>
      <c r="G49" s="46"/>
      <c r="H49" s="34"/>
      <c r="I49" s="34"/>
      <c r="J49" s="34"/>
      <c r="K49" s="34"/>
      <c r="L49" s="34"/>
      <c r="M49" s="34"/>
      <c r="N49" s="33"/>
      <c r="O49" s="34"/>
    </row>
    <row r="50" spans="1:15" ht="15.75" thickBot="1" x14ac:dyDescent="0.3">
      <c r="A50" s="47" t="s">
        <v>18</v>
      </c>
      <c r="B50" s="47"/>
      <c r="C50" s="47"/>
      <c r="D50" s="47"/>
      <c r="E50" s="48"/>
      <c r="F50" s="49"/>
      <c r="G50" s="46"/>
      <c r="H50" s="34"/>
      <c r="I50" s="34"/>
      <c r="J50" s="34"/>
      <c r="K50" s="34"/>
      <c r="L50" s="34"/>
      <c r="M50" s="34"/>
      <c r="N50" s="33"/>
      <c r="O50" s="34"/>
    </row>
    <row r="51" spans="1:15" ht="26.25" x14ac:dyDescent="0.25">
      <c r="A51" s="50" t="s">
        <v>19</v>
      </c>
      <c r="B51" s="51" t="s">
        <v>13</v>
      </c>
      <c r="C51" s="52" t="s">
        <v>14</v>
      </c>
      <c r="D51" s="52" t="s">
        <v>15</v>
      </c>
      <c r="E51" s="53" t="s">
        <v>16</v>
      </c>
      <c r="F51" s="54" t="s">
        <v>20</v>
      </c>
      <c r="G51" s="55"/>
      <c r="H51" s="56"/>
      <c r="I51" s="57"/>
      <c r="J51" s="57"/>
    </row>
    <row r="52" spans="1:15" ht="15.75" x14ac:dyDescent="0.25">
      <c r="A52" s="58"/>
      <c r="B52" s="59"/>
      <c r="C52" s="60"/>
      <c r="D52" s="61"/>
      <c r="E52" s="62"/>
      <c r="F52" s="63"/>
      <c r="G52" s="64"/>
      <c r="H52" s="65"/>
      <c r="I52" s="66"/>
      <c r="J52" s="66"/>
    </row>
    <row r="53" spans="1:15" x14ac:dyDescent="0.25">
      <c r="A53" s="67"/>
      <c r="B53" s="68"/>
      <c r="C53" s="69"/>
      <c r="D53" s="61"/>
      <c r="E53" s="70"/>
      <c r="F53" s="71"/>
      <c r="G53" s="64"/>
      <c r="H53" s="65"/>
    </row>
    <row r="54" spans="1:15" x14ac:dyDescent="0.25">
      <c r="A54" s="67"/>
      <c r="B54" s="68"/>
      <c r="C54" s="69"/>
      <c r="D54" s="61"/>
      <c r="E54" s="72"/>
      <c r="F54" s="71"/>
      <c r="G54" s="64"/>
      <c r="H54" s="65"/>
    </row>
    <row r="55" spans="1:15" x14ac:dyDescent="0.25">
      <c r="A55" s="67"/>
      <c r="B55" s="68"/>
      <c r="C55" s="69"/>
      <c r="D55" s="61"/>
      <c r="E55" s="72"/>
      <c r="F55" s="71"/>
      <c r="G55" s="64"/>
      <c r="H55" s="65"/>
    </row>
    <row r="56" spans="1:15" ht="15.75" thickBot="1" x14ac:dyDescent="0.3">
      <c r="A56" s="73"/>
      <c r="B56" s="74"/>
      <c r="C56" s="75"/>
      <c r="D56" s="76"/>
      <c r="E56" s="75"/>
      <c r="F56" s="77"/>
      <c r="G56" s="64"/>
      <c r="H56" s="65"/>
      <c r="I56" s="78"/>
      <c r="J56" s="78"/>
    </row>
    <row r="57" spans="1:15" s="84" customFormat="1" ht="30" customHeight="1" x14ac:dyDescent="0.25">
      <c r="A57" s="119" t="s">
        <v>21</v>
      </c>
      <c r="B57" s="120"/>
      <c r="C57" s="121"/>
      <c r="D57" s="79">
        <f>SUM(D52:D56)</f>
        <v>0</v>
      </c>
      <c r="E57" s="80" t="s">
        <v>22</v>
      </c>
      <c r="F57" s="81">
        <f>SUM(F52:F56)</f>
        <v>0</v>
      </c>
      <c r="G57" s="82"/>
      <c r="H57" s="83"/>
    </row>
  </sheetData>
  <mergeCells count="4">
    <mergeCell ref="A40:F40"/>
    <mergeCell ref="G40:H41"/>
    <mergeCell ref="A42:J42"/>
    <mergeCell ref="A57:C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9"/>
  <sheetViews>
    <sheetView zoomScale="90" zoomScaleNormal="90"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5" x14ac:dyDescent="0.25"/>
  <cols>
    <col min="1" max="1" width="13.5703125" style="2" bestFit="1" customWidth="1"/>
    <col min="2" max="4" width="11.7109375" style="10" customWidth="1"/>
    <col min="5" max="6" width="11.7109375" style="8" customWidth="1"/>
    <col min="7" max="7" width="11.7109375" style="10" customWidth="1"/>
    <col min="8" max="8" width="11.7109375" style="4" customWidth="1"/>
    <col min="9" max="9" width="27.42578125" customWidth="1"/>
  </cols>
  <sheetData>
    <row r="1" spans="1:9" s="1" customFormat="1" ht="31.5" x14ac:dyDescent="0.25">
      <c r="A1" s="94" t="s">
        <v>0</v>
      </c>
      <c r="B1" s="95" t="s">
        <v>5</v>
      </c>
      <c r="C1" s="95" t="s">
        <v>1</v>
      </c>
      <c r="D1" s="95" t="s">
        <v>2</v>
      </c>
      <c r="E1" s="96" t="s">
        <v>6</v>
      </c>
      <c r="F1" s="96" t="s">
        <v>7</v>
      </c>
      <c r="G1" s="95" t="s">
        <v>3</v>
      </c>
      <c r="H1" s="97" t="s">
        <v>4</v>
      </c>
      <c r="I1" s="3" t="s">
        <v>11</v>
      </c>
    </row>
    <row r="2" spans="1:9" s="1" customFormat="1" ht="15.75" x14ac:dyDescent="0.25">
      <c r="A2" s="98"/>
      <c r="B2" s="95" t="s">
        <v>25</v>
      </c>
      <c r="C2" s="95" t="s">
        <v>25</v>
      </c>
      <c r="D2" s="95" t="s">
        <v>25</v>
      </c>
      <c r="E2" s="96"/>
      <c r="F2" s="96"/>
      <c r="G2" s="95" t="s">
        <v>27</v>
      </c>
      <c r="H2" s="97"/>
      <c r="I2" s="85"/>
    </row>
    <row r="3" spans="1:9" ht="15.75" x14ac:dyDescent="0.25">
      <c r="A3" s="105">
        <v>43739</v>
      </c>
      <c r="B3" s="99">
        <v>0</v>
      </c>
      <c r="C3" s="99">
        <v>69</v>
      </c>
      <c r="D3" s="99">
        <v>44</v>
      </c>
      <c r="E3" s="100">
        <v>0</v>
      </c>
      <c r="F3" s="100">
        <v>0</v>
      </c>
      <c r="G3" s="99">
        <v>160</v>
      </c>
      <c r="H3" s="100">
        <v>4034.9</v>
      </c>
      <c r="I3" s="108"/>
    </row>
    <row r="4" spans="1:9" ht="15.75" x14ac:dyDescent="0.25">
      <c r="A4" s="105">
        <v>43740</v>
      </c>
      <c r="B4" s="99">
        <v>0</v>
      </c>
      <c r="C4" s="99">
        <v>72</v>
      </c>
      <c r="D4" s="99">
        <v>46</v>
      </c>
      <c r="E4" s="100">
        <v>0</v>
      </c>
      <c r="F4" s="100">
        <v>0</v>
      </c>
      <c r="G4" s="99">
        <v>160</v>
      </c>
      <c r="H4" s="100">
        <v>4034.9</v>
      </c>
      <c r="I4" s="108" t="s">
        <v>28</v>
      </c>
    </row>
    <row r="5" spans="1:9" ht="15.75" x14ac:dyDescent="0.25">
      <c r="A5" s="105">
        <v>43741</v>
      </c>
      <c r="B5" s="99">
        <v>0</v>
      </c>
      <c r="C5" s="99">
        <v>72</v>
      </c>
      <c r="D5" s="99">
        <v>46</v>
      </c>
      <c r="E5" s="100">
        <v>0</v>
      </c>
      <c r="F5" s="100">
        <v>0</v>
      </c>
      <c r="G5" s="99">
        <v>160</v>
      </c>
      <c r="H5" s="100">
        <v>4034.9</v>
      </c>
      <c r="I5" s="108"/>
    </row>
    <row r="6" spans="1:9" ht="15.75" x14ac:dyDescent="0.25">
      <c r="A6" s="105">
        <v>43742</v>
      </c>
      <c r="B6" s="99">
        <v>0</v>
      </c>
      <c r="C6" s="99">
        <v>69</v>
      </c>
      <c r="D6" s="99">
        <v>53</v>
      </c>
      <c r="E6" s="100">
        <v>0.01</v>
      </c>
      <c r="F6" s="100">
        <v>0</v>
      </c>
      <c r="G6" s="99">
        <v>160</v>
      </c>
      <c r="H6" s="100">
        <v>4034.9</v>
      </c>
      <c r="I6" s="108"/>
    </row>
    <row r="7" spans="1:9" ht="15.75" x14ac:dyDescent="0.25">
      <c r="A7" s="105">
        <v>43743</v>
      </c>
      <c r="B7" s="99">
        <v>0</v>
      </c>
      <c r="C7" s="99">
        <v>46</v>
      </c>
      <c r="D7" s="99">
        <v>62</v>
      </c>
      <c r="E7" s="100">
        <v>0</v>
      </c>
      <c r="F7" s="100">
        <v>0</v>
      </c>
      <c r="G7" s="99">
        <v>160</v>
      </c>
      <c r="H7" s="100">
        <v>4034.9</v>
      </c>
      <c r="I7" s="108"/>
    </row>
    <row r="8" spans="1:9" ht="15.75" x14ac:dyDescent="0.25">
      <c r="A8" s="105">
        <v>43744</v>
      </c>
      <c r="B8" s="99">
        <v>0</v>
      </c>
      <c r="C8" s="99">
        <v>19</v>
      </c>
      <c r="D8" s="99">
        <v>63</v>
      </c>
      <c r="E8" s="100">
        <v>0</v>
      </c>
      <c r="F8" s="100">
        <v>0</v>
      </c>
      <c r="G8" s="99">
        <v>160</v>
      </c>
      <c r="H8" s="100">
        <v>4034.89</v>
      </c>
      <c r="I8" s="108"/>
    </row>
    <row r="9" spans="1:9" ht="15.75" x14ac:dyDescent="0.25">
      <c r="A9" s="105">
        <v>43745</v>
      </c>
      <c r="B9" s="99">
        <v>0</v>
      </c>
      <c r="C9" s="99">
        <v>26</v>
      </c>
      <c r="D9" s="99">
        <v>63</v>
      </c>
      <c r="E9" s="100">
        <v>0</v>
      </c>
      <c r="F9" s="100">
        <v>0</v>
      </c>
      <c r="G9" s="99">
        <v>160</v>
      </c>
      <c r="H9" s="100">
        <v>4034.88</v>
      </c>
      <c r="I9" s="108"/>
    </row>
    <row r="10" spans="1:9" ht="15.75" x14ac:dyDescent="0.25">
      <c r="A10" s="105">
        <v>43746</v>
      </c>
      <c r="B10" s="99">
        <v>0</v>
      </c>
      <c r="C10" s="99">
        <v>49</v>
      </c>
      <c r="D10" s="99">
        <v>65</v>
      </c>
      <c r="E10" s="100">
        <v>0</v>
      </c>
      <c r="F10" s="100">
        <v>0</v>
      </c>
      <c r="G10" s="99">
        <v>160</v>
      </c>
      <c r="H10" s="100">
        <v>4034.86</v>
      </c>
      <c r="I10" s="108"/>
    </row>
    <row r="11" spans="1:9" ht="15.75" x14ac:dyDescent="0.25">
      <c r="A11" s="105">
        <v>43747</v>
      </c>
      <c r="B11" s="99">
        <v>0</v>
      </c>
      <c r="C11" s="99">
        <v>19</v>
      </c>
      <c r="D11" s="99">
        <v>93</v>
      </c>
      <c r="E11" s="100">
        <v>0</v>
      </c>
      <c r="F11" s="100">
        <v>0</v>
      </c>
      <c r="G11" s="99">
        <v>160</v>
      </c>
      <c r="H11" s="100">
        <v>4034.86</v>
      </c>
      <c r="I11" s="108"/>
    </row>
    <row r="12" spans="1:9" ht="15.75" x14ac:dyDescent="0.25">
      <c r="A12" s="105">
        <v>43748</v>
      </c>
      <c r="B12" s="99">
        <v>0</v>
      </c>
      <c r="C12" s="99">
        <v>13</v>
      </c>
      <c r="D12" s="99">
        <v>91</v>
      </c>
      <c r="E12" s="100">
        <v>0</v>
      </c>
      <c r="F12" s="100">
        <v>0</v>
      </c>
      <c r="G12" s="99">
        <v>160</v>
      </c>
      <c r="H12" s="100">
        <v>4034.86</v>
      </c>
      <c r="I12" s="108"/>
    </row>
    <row r="13" spans="1:9" ht="15.75" x14ac:dyDescent="0.25">
      <c r="A13" s="105">
        <v>43749</v>
      </c>
      <c r="B13" s="99">
        <v>0</v>
      </c>
      <c r="C13" s="99">
        <v>19</v>
      </c>
      <c r="D13" s="99">
        <v>93</v>
      </c>
      <c r="E13" s="100">
        <v>0</v>
      </c>
      <c r="F13" s="100">
        <v>0</v>
      </c>
      <c r="G13" s="99">
        <v>160</v>
      </c>
      <c r="H13" s="100">
        <v>4034.86</v>
      </c>
      <c r="I13" s="108"/>
    </row>
    <row r="14" spans="1:9" ht="15.75" x14ac:dyDescent="0.25">
      <c r="A14" s="105">
        <v>43750</v>
      </c>
      <c r="B14" s="99">
        <v>0</v>
      </c>
      <c r="C14" s="99">
        <v>12</v>
      </c>
      <c r="D14" s="99">
        <v>92</v>
      </c>
      <c r="E14" s="100">
        <v>0</v>
      </c>
      <c r="F14" s="100">
        <v>0</v>
      </c>
      <c r="G14" s="99">
        <v>160</v>
      </c>
      <c r="H14" s="100">
        <v>4034.86</v>
      </c>
      <c r="I14" s="108"/>
    </row>
    <row r="15" spans="1:9" ht="15.75" x14ac:dyDescent="0.25">
      <c r="A15" s="105">
        <v>43751</v>
      </c>
      <c r="B15" s="99">
        <v>0</v>
      </c>
      <c r="C15" s="99">
        <v>17</v>
      </c>
      <c r="D15" s="99">
        <v>86</v>
      </c>
      <c r="E15" s="100">
        <v>0</v>
      </c>
      <c r="F15" s="100">
        <v>0</v>
      </c>
      <c r="G15" s="99">
        <v>160</v>
      </c>
      <c r="H15" s="100">
        <v>4034.85</v>
      </c>
      <c r="I15" s="108"/>
    </row>
    <row r="16" spans="1:9" ht="15.75" x14ac:dyDescent="0.25">
      <c r="A16" s="105">
        <v>43752</v>
      </c>
      <c r="B16" s="99">
        <v>0</v>
      </c>
      <c r="C16" s="99">
        <v>23</v>
      </c>
      <c r="D16" s="99">
        <v>86</v>
      </c>
      <c r="E16" s="100">
        <v>0</v>
      </c>
      <c r="F16" s="100">
        <v>0</v>
      </c>
      <c r="G16" s="99">
        <v>160</v>
      </c>
      <c r="H16" s="100">
        <v>4034.84</v>
      </c>
      <c r="I16" s="108"/>
    </row>
    <row r="17" spans="1:9" ht="15.75" x14ac:dyDescent="0.25">
      <c r="A17" s="105">
        <v>43753</v>
      </c>
      <c r="B17" s="99">
        <v>0</v>
      </c>
      <c r="C17" s="99">
        <v>33</v>
      </c>
      <c r="D17" s="99">
        <v>90</v>
      </c>
      <c r="E17" s="100">
        <v>0</v>
      </c>
      <c r="F17" s="100">
        <v>0</v>
      </c>
      <c r="G17" s="99">
        <v>160</v>
      </c>
      <c r="H17" s="100">
        <v>4034.84</v>
      </c>
      <c r="I17" s="108"/>
    </row>
    <row r="18" spans="1:9" ht="15.75" x14ac:dyDescent="0.25">
      <c r="A18" s="105">
        <v>43754</v>
      </c>
      <c r="B18" s="99">
        <v>0</v>
      </c>
      <c r="C18" s="99">
        <v>0</v>
      </c>
      <c r="D18" s="99">
        <v>94</v>
      </c>
      <c r="E18" s="100">
        <v>0</v>
      </c>
      <c r="F18" s="100">
        <v>0</v>
      </c>
      <c r="G18" s="99">
        <v>160</v>
      </c>
      <c r="H18" s="100">
        <v>4034.84</v>
      </c>
      <c r="I18" s="108"/>
    </row>
    <row r="19" spans="1:9" ht="15.75" x14ac:dyDescent="0.25">
      <c r="A19" s="105">
        <v>43755</v>
      </c>
      <c r="B19" s="99">
        <v>0</v>
      </c>
      <c r="C19" s="99">
        <v>0</v>
      </c>
      <c r="D19" s="99">
        <v>80</v>
      </c>
      <c r="E19" s="100">
        <v>7.0000000000000007E-2</v>
      </c>
      <c r="F19" s="100">
        <v>0</v>
      </c>
      <c r="G19" s="99">
        <v>160</v>
      </c>
      <c r="H19" s="100">
        <v>4034.84</v>
      </c>
      <c r="I19" s="108"/>
    </row>
    <row r="20" spans="1:9" ht="15.75" x14ac:dyDescent="0.25">
      <c r="A20" s="105">
        <v>43756</v>
      </c>
      <c r="B20" s="99">
        <v>0</v>
      </c>
      <c r="C20" s="99">
        <v>24</v>
      </c>
      <c r="D20" s="99">
        <v>74</v>
      </c>
      <c r="E20" s="100">
        <v>0.02</v>
      </c>
      <c r="F20" s="100">
        <v>0</v>
      </c>
      <c r="G20" s="99">
        <v>160</v>
      </c>
      <c r="H20" s="100">
        <v>4034.82</v>
      </c>
      <c r="I20" s="108"/>
    </row>
    <row r="21" spans="1:9" ht="15.75" x14ac:dyDescent="0.25">
      <c r="A21" s="105">
        <v>43757</v>
      </c>
      <c r="B21" s="99">
        <v>0</v>
      </c>
      <c r="C21" s="99">
        <v>17</v>
      </c>
      <c r="D21" s="99">
        <v>77</v>
      </c>
      <c r="E21" s="100">
        <v>0.3</v>
      </c>
      <c r="F21" s="100">
        <v>0</v>
      </c>
      <c r="G21" s="99">
        <v>160</v>
      </c>
      <c r="H21" s="100">
        <v>4034.82</v>
      </c>
      <c r="I21" s="108"/>
    </row>
    <row r="22" spans="1:9" ht="15.75" x14ac:dyDescent="0.25">
      <c r="A22" s="105">
        <v>43758</v>
      </c>
      <c r="B22" s="99">
        <v>0</v>
      </c>
      <c r="C22" s="99">
        <v>0</v>
      </c>
      <c r="D22" s="99">
        <v>83</v>
      </c>
      <c r="E22" s="100">
        <v>0</v>
      </c>
      <c r="F22" s="100">
        <v>0</v>
      </c>
      <c r="G22" s="99">
        <v>160</v>
      </c>
      <c r="H22" s="100">
        <v>4034.82</v>
      </c>
      <c r="I22" s="108"/>
    </row>
    <row r="23" spans="1:9" ht="15.75" x14ac:dyDescent="0.25">
      <c r="A23" s="105">
        <v>43759</v>
      </c>
      <c r="B23" s="99">
        <v>0</v>
      </c>
      <c r="C23" s="99">
        <v>0</v>
      </c>
      <c r="D23" s="99">
        <v>74</v>
      </c>
      <c r="E23" s="100">
        <v>0</v>
      </c>
      <c r="F23" s="100">
        <v>0</v>
      </c>
      <c r="G23" s="99">
        <v>160</v>
      </c>
      <c r="H23" s="100">
        <v>4034.8</v>
      </c>
      <c r="I23" s="108"/>
    </row>
    <row r="24" spans="1:9" ht="15.75" x14ac:dyDescent="0.25">
      <c r="A24" s="105">
        <v>43760</v>
      </c>
      <c r="B24" s="99">
        <v>23</v>
      </c>
      <c r="C24" s="99">
        <v>0</v>
      </c>
      <c r="D24" s="99">
        <v>82</v>
      </c>
      <c r="E24" s="100">
        <v>0</v>
      </c>
      <c r="F24" s="100">
        <v>0</v>
      </c>
      <c r="G24" s="99">
        <v>160</v>
      </c>
      <c r="H24" s="100">
        <v>4034.78</v>
      </c>
      <c r="I24" s="108" t="s">
        <v>29</v>
      </c>
    </row>
    <row r="25" spans="1:9" ht="15.75" x14ac:dyDescent="0.25">
      <c r="A25" s="105">
        <v>43761</v>
      </c>
      <c r="B25" s="99">
        <v>50</v>
      </c>
      <c r="C25" s="99">
        <v>0</v>
      </c>
      <c r="D25" s="99">
        <v>108</v>
      </c>
      <c r="E25" s="100">
        <v>0</v>
      </c>
      <c r="F25" s="100">
        <v>0</v>
      </c>
      <c r="G25" s="99">
        <v>160</v>
      </c>
      <c r="H25" s="100">
        <v>4034.78</v>
      </c>
      <c r="I25" s="108"/>
    </row>
    <row r="26" spans="1:9" ht="15.75" x14ac:dyDescent="0.25">
      <c r="A26" s="105">
        <v>43762</v>
      </c>
      <c r="B26" s="99">
        <v>50</v>
      </c>
      <c r="C26" s="99">
        <v>0</v>
      </c>
      <c r="D26" s="99">
        <v>115</v>
      </c>
      <c r="E26" s="100">
        <v>0</v>
      </c>
      <c r="F26" s="100">
        <v>0</v>
      </c>
      <c r="G26" s="99">
        <v>160</v>
      </c>
      <c r="H26" s="100">
        <v>4034.76</v>
      </c>
      <c r="I26" s="108"/>
    </row>
    <row r="27" spans="1:9" ht="15.75" x14ac:dyDescent="0.25">
      <c r="A27" s="105">
        <v>43763</v>
      </c>
      <c r="B27" s="99">
        <v>72</v>
      </c>
      <c r="C27" s="99">
        <v>0</v>
      </c>
      <c r="D27" s="99">
        <v>133</v>
      </c>
      <c r="E27" s="100">
        <v>0</v>
      </c>
      <c r="F27" s="100">
        <v>0</v>
      </c>
      <c r="G27" s="99">
        <v>160</v>
      </c>
      <c r="H27" s="100">
        <v>4034.74</v>
      </c>
      <c r="I27" s="108" t="s">
        <v>30</v>
      </c>
    </row>
    <row r="28" spans="1:9" ht="15.75" x14ac:dyDescent="0.25">
      <c r="A28" s="105">
        <v>43764</v>
      </c>
      <c r="B28" s="99">
        <v>125</v>
      </c>
      <c r="C28" s="99">
        <v>0</v>
      </c>
      <c r="D28" s="99">
        <v>129</v>
      </c>
      <c r="E28" s="100">
        <v>0</v>
      </c>
      <c r="F28" s="100">
        <v>0</v>
      </c>
      <c r="G28" s="99">
        <v>160</v>
      </c>
      <c r="H28" s="100">
        <v>4034.74</v>
      </c>
      <c r="I28" s="108"/>
    </row>
    <row r="29" spans="1:9" ht="15.75" x14ac:dyDescent="0.25">
      <c r="A29" s="105">
        <v>43765</v>
      </c>
      <c r="B29" s="99">
        <v>92</v>
      </c>
      <c r="C29" s="99">
        <v>0</v>
      </c>
      <c r="D29" s="99">
        <v>111</v>
      </c>
      <c r="E29" s="100">
        <v>0</v>
      </c>
      <c r="F29" s="100">
        <v>0</v>
      </c>
      <c r="G29" s="99">
        <v>160</v>
      </c>
      <c r="H29" s="100">
        <v>4034.74</v>
      </c>
      <c r="I29" s="108" t="s">
        <v>31</v>
      </c>
    </row>
    <row r="30" spans="1:9" ht="15.75" x14ac:dyDescent="0.25">
      <c r="A30" s="105">
        <v>43766</v>
      </c>
      <c r="B30" s="99">
        <v>75</v>
      </c>
      <c r="C30" s="99">
        <v>0</v>
      </c>
      <c r="D30" s="99">
        <v>112</v>
      </c>
      <c r="E30" s="100">
        <v>0</v>
      </c>
      <c r="F30" s="100">
        <v>0</v>
      </c>
      <c r="G30" s="99">
        <v>160</v>
      </c>
      <c r="H30" s="100">
        <v>4034.7</v>
      </c>
      <c r="I30" s="108"/>
    </row>
    <row r="31" spans="1:9" ht="15.75" x14ac:dyDescent="0.25">
      <c r="A31" s="105">
        <v>43767</v>
      </c>
      <c r="B31" s="99">
        <v>75</v>
      </c>
      <c r="C31" s="99">
        <v>0</v>
      </c>
      <c r="D31" s="99">
        <v>131</v>
      </c>
      <c r="E31" s="100">
        <v>0</v>
      </c>
      <c r="F31" s="100">
        <v>0</v>
      </c>
      <c r="G31" s="99">
        <v>160</v>
      </c>
      <c r="H31" s="100">
        <v>4034.7</v>
      </c>
      <c r="I31" s="108"/>
    </row>
    <row r="32" spans="1:9" ht="15.75" x14ac:dyDescent="0.25">
      <c r="A32" s="105">
        <v>43768</v>
      </c>
      <c r="B32" s="99">
        <v>75</v>
      </c>
      <c r="C32" s="99">
        <v>0</v>
      </c>
      <c r="D32" s="99">
        <v>121</v>
      </c>
      <c r="E32" s="100">
        <v>0</v>
      </c>
      <c r="F32" s="100">
        <v>0</v>
      </c>
      <c r="G32" s="99">
        <v>160</v>
      </c>
      <c r="H32" s="100">
        <v>4034.66</v>
      </c>
      <c r="I32" s="108"/>
    </row>
    <row r="33" spans="1:14" ht="16.5" thickBot="1" x14ac:dyDescent="0.3">
      <c r="A33" s="105">
        <v>43769</v>
      </c>
      <c r="B33" s="99">
        <v>75</v>
      </c>
      <c r="C33" s="99">
        <v>0</v>
      </c>
      <c r="D33" s="99">
        <v>109</v>
      </c>
      <c r="E33" s="100">
        <v>0</v>
      </c>
      <c r="F33" s="100">
        <v>0</v>
      </c>
      <c r="G33" s="99">
        <v>160</v>
      </c>
      <c r="H33" s="100">
        <v>4034.64</v>
      </c>
      <c r="I33" s="108"/>
    </row>
    <row r="34" spans="1:14" ht="16.5" thickTop="1" x14ac:dyDescent="0.25">
      <c r="A34" s="101" t="s">
        <v>8</v>
      </c>
      <c r="B34" s="99">
        <f t="shared" ref="B34:G34" si="0">SUM(B3:B33)</f>
        <v>712</v>
      </c>
      <c r="C34" s="99">
        <f t="shared" si="0"/>
        <v>599</v>
      </c>
      <c r="D34" s="99">
        <f t="shared" si="0"/>
        <v>2706</v>
      </c>
      <c r="E34" s="99">
        <f t="shared" si="0"/>
        <v>0.4</v>
      </c>
      <c r="F34" s="99">
        <f t="shared" si="0"/>
        <v>0</v>
      </c>
      <c r="G34" s="99">
        <f t="shared" si="0"/>
        <v>4960</v>
      </c>
      <c r="H34" s="99"/>
      <c r="J34" s="11"/>
    </row>
    <row r="35" spans="1:14" s="11" customFormat="1" ht="15.75" x14ac:dyDescent="0.25">
      <c r="A35" s="102" t="s">
        <v>9</v>
      </c>
      <c r="B35" s="103">
        <f>SUM(B34+'Oct 2019'!B36)</f>
        <v>712</v>
      </c>
      <c r="C35" s="103">
        <f>SUM(C34+'Oct 2019'!C36)</f>
        <v>599</v>
      </c>
      <c r="D35" s="103">
        <f>SUM(D34+'Oct 2019'!D36)</f>
        <v>2706</v>
      </c>
      <c r="E35" s="104">
        <f>SUM(E34+'Oct 2019'!E36)</f>
        <v>0.4</v>
      </c>
      <c r="F35" s="104">
        <f>SUM(F34+'Oct 2019'!F36)</f>
        <v>0</v>
      </c>
      <c r="G35" s="103">
        <f>SUM(G34+'Oct 2019'!G36)</f>
        <v>4960</v>
      </c>
      <c r="H35" s="104"/>
    </row>
    <row r="36" spans="1:14" s="11" customFormat="1" x14ac:dyDescent="0.25">
      <c r="A36" s="2"/>
      <c r="B36" s="6"/>
      <c r="C36" s="6"/>
      <c r="D36" s="6"/>
      <c r="E36"/>
      <c r="F36"/>
      <c r="G36" s="6"/>
      <c r="H36"/>
      <c r="J36"/>
    </row>
    <row r="37" spans="1:14" x14ac:dyDescent="0.25">
      <c r="A37" t="s">
        <v>10</v>
      </c>
      <c r="B37" s="23">
        <f>SUM(B3:B33)*1.9835</f>
        <v>1412.252</v>
      </c>
      <c r="C37" s="23">
        <f>SUM(C3:C33)*1.9835</f>
        <v>1188.1165000000001</v>
      </c>
      <c r="D37" s="23">
        <f>SUM(D3:D33)*1.9835</f>
        <v>5367.3509999999997</v>
      </c>
      <c r="E37" s="23"/>
      <c r="F37" s="23"/>
      <c r="G37" s="23"/>
      <c r="H37"/>
      <c r="I37" s="22"/>
    </row>
    <row r="38" spans="1:14" x14ac:dyDescent="0.25">
      <c r="A38"/>
      <c r="B38"/>
      <c r="C38"/>
      <c r="D38"/>
      <c r="E38"/>
      <c r="F38"/>
      <c r="G38"/>
      <c r="H38"/>
    </row>
    <row r="39" spans="1:14" x14ac:dyDescent="0.25">
      <c r="A39" t="s">
        <v>24</v>
      </c>
      <c r="B39" s="23">
        <f>SUM('Oct 2019'!B40+B37)</f>
        <v>1412.252</v>
      </c>
      <c r="C39" s="23">
        <f>SUM('Oct 2019'!C40+C37)</f>
        <v>1188.1165000000001</v>
      </c>
      <c r="D39" s="23">
        <f>SUM('Oct 2019'!D40+D37)</f>
        <v>5367.3509999999997</v>
      </c>
      <c r="E39" s="23"/>
      <c r="F39" s="23"/>
      <c r="G39" s="23"/>
      <c r="H39"/>
      <c r="I39" s="22"/>
    </row>
    <row r="40" spans="1:14" x14ac:dyDescent="0.25">
      <c r="A40"/>
      <c r="B40" s="23"/>
      <c r="C40" s="23"/>
      <c r="D40" s="24"/>
      <c r="E40" s="23"/>
      <c r="F40" s="23"/>
      <c r="G40" s="23"/>
      <c r="H40"/>
      <c r="I40" s="22"/>
    </row>
    <row r="41" spans="1:14" ht="15" customHeight="1" x14ac:dyDescent="0.25">
      <c r="A41" s="113"/>
      <c r="B41" s="113"/>
      <c r="C41" s="113"/>
      <c r="D41" s="113"/>
      <c r="E41" s="113"/>
      <c r="F41" s="114"/>
      <c r="G41" s="115" t="s">
        <v>12</v>
      </c>
      <c r="H41" s="116"/>
      <c r="I41" s="30"/>
      <c r="J41" s="30"/>
    </row>
    <row r="42" spans="1:14" ht="17.45" customHeight="1" x14ac:dyDescent="0.25">
      <c r="A42" s="29"/>
      <c r="B42" s="29"/>
      <c r="C42" s="29"/>
      <c r="D42" s="29"/>
      <c r="E42" s="29"/>
      <c r="F42" s="29"/>
      <c r="G42" s="115"/>
      <c r="H42" s="116"/>
      <c r="I42" s="30"/>
      <c r="J42" s="30"/>
      <c r="K42" s="30"/>
      <c r="L42" s="30"/>
      <c r="M42" s="31"/>
      <c r="N42" s="30"/>
    </row>
    <row r="43" spans="1:14" ht="16.899999999999999" customHeight="1" x14ac:dyDescent="0.25">
      <c r="A43" s="118" t="s">
        <v>23</v>
      </c>
      <c r="B43" s="118"/>
      <c r="C43" s="118"/>
      <c r="D43" s="118"/>
      <c r="E43" s="118"/>
      <c r="F43" s="118"/>
      <c r="G43" s="118"/>
      <c r="H43" s="118"/>
      <c r="I43" s="118"/>
      <c r="J43" s="118"/>
      <c r="K43" s="30"/>
      <c r="L43" s="30"/>
      <c r="M43" s="31"/>
      <c r="N43" s="30"/>
    </row>
    <row r="44" spans="1:14" ht="13.9" customHeight="1" x14ac:dyDescent="0.25">
      <c r="A44" s="42" t="s">
        <v>17</v>
      </c>
      <c r="B44" s="36"/>
      <c r="C44" s="37"/>
      <c r="D44" s="37"/>
      <c r="E44" s="38"/>
      <c r="F44" s="39"/>
      <c r="G44" s="40"/>
      <c r="H44" s="41"/>
      <c r="I44" s="34"/>
      <c r="J44" s="34"/>
      <c r="K44" s="32"/>
      <c r="L44" s="32"/>
      <c r="M44" s="33"/>
      <c r="N44" s="34"/>
    </row>
    <row r="45" spans="1:14" ht="15.6" customHeight="1" x14ac:dyDescent="0.25">
      <c r="A45" s="35"/>
      <c r="B45" s="36"/>
      <c r="C45" s="37"/>
      <c r="D45" s="37"/>
      <c r="E45" s="43"/>
      <c r="F45" s="39">
        <f>SUM(24-D45)</f>
        <v>24</v>
      </c>
      <c r="G45" s="40">
        <f>SUM(C45+E45)</f>
        <v>0</v>
      </c>
      <c r="H45" s="41">
        <f>SUM(C45/24*D45+G45/24*F45)</f>
        <v>0</v>
      </c>
      <c r="I45" s="34"/>
      <c r="J45" s="34"/>
      <c r="K45" s="34"/>
      <c r="L45" s="34"/>
      <c r="M45" s="33"/>
    </row>
    <row r="46" spans="1:14" x14ac:dyDescent="0.25">
      <c r="A46" s="35"/>
      <c r="B46" s="36"/>
      <c r="C46" s="37"/>
      <c r="D46" s="37"/>
      <c r="E46" s="43"/>
      <c r="F46" s="39">
        <f>SUM(24-D46)</f>
        <v>24</v>
      </c>
      <c r="G46" s="40">
        <f>SUM(C46+E46)</f>
        <v>0</v>
      </c>
      <c r="H46" s="41">
        <f>SUM(C46/24*D46+G46/24*F46)</f>
        <v>0</v>
      </c>
      <c r="I46" s="34"/>
      <c r="J46" s="34"/>
      <c r="K46" s="34"/>
      <c r="L46" s="34"/>
      <c r="M46" s="33"/>
    </row>
    <row r="47" spans="1:14" x14ac:dyDescent="0.25">
      <c r="A47" s="35"/>
      <c r="B47" s="36"/>
      <c r="C47" s="37"/>
      <c r="D47" s="37"/>
      <c r="E47" s="43"/>
      <c r="F47" s="39">
        <f>SUM(24-D47)</f>
        <v>24</v>
      </c>
      <c r="G47" s="40">
        <f>SUM(C47+E47)</f>
        <v>0</v>
      </c>
      <c r="H47" s="41">
        <f>SUM(C47/24*D47+G47/24*F47)</f>
        <v>0</v>
      </c>
      <c r="I47" s="34"/>
      <c r="J47" s="34"/>
      <c r="K47" s="34"/>
      <c r="L47" s="34"/>
      <c r="M47" s="33"/>
    </row>
    <row r="48" spans="1:14" x14ac:dyDescent="0.25">
      <c r="A48" s="35"/>
      <c r="B48" s="36"/>
      <c r="C48" s="37"/>
      <c r="D48" s="37"/>
      <c r="E48" s="43"/>
      <c r="F48" s="39">
        <f>SUM(24-D48)</f>
        <v>24</v>
      </c>
      <c r="G48" s="40">
        <f>SUM(C48+E48)</f>
        <v>0</v>
      </c>
      <c r="H48" s="41">
        <f>SUM(C48/24*D48+G48/24*F48)</f>
        <v>0</v>
      </c>
      <c r="I48" s="34"/>
      <c r="J48" s="34"/>
      <c r="K48" s="34"/>
      <c r="L48" s="34"/>
      <c r="M48" s="33"/>
    </row>
    <row r="49" spans="1:14" x14ac:dyDescent="0.25">
      <c r="A49" s="35"/>
      <c r="B49" s="36"/>
      <c r="C49" s="37"/>
      <c r="D49" s="37"/>
      <c r="E49" s="43"/>
      <c r="F49" s="39">
        <f>SUM(24-D49)</f>
        <v>24</v>
      </c>
      <c r="G49" s="40">
        <f>SUM(C49+E49)</f>
        <v>0</v>
      </c>
      <c r="H49" s="41">
        <f>SUM(C49/24*D49+G49/24*F49)</f>
        <v>0</v>
      </c>
      <c r="I49" s="34"/>
      <c r="J49" s="34"/>
      <c r="K49" s="34"/>
      <c r="L49" s="34"/>
      <c r="M49" s="33"/>
    </row>
    <row r="50" spans="1:14" x14ac:dyDescent="0.25">
      <c r="A50" s="44"/>
      <c r="B50" s="45"/>
      <c r="C50" s="45"/>
      <c r="D50" s="45"/>
      <c r="E50" s="45"/>
      <c r="F50" s="45"/>
      <c r="G50" s="46"/>
      <c r="H50" s="34"/>
      <c r="I50" s="34"/>
      <c r="J50" s="34"/>
      <c r="K50" s="34"/>
      <c r="L50" s="34"/>
      <c r="M50" s="33"/>
    </row>
    <row r="51" spans="1:14" ht="13.15" customHeight="1" thickBot="1" x14ac:dyDescent="0.3">
      <c r="A51" s="47" t="s">
        <v>18</v>
      </c>
      <c r="B51" s="47"/>
      <c r="C51" s="47"/>
      <c r="D51" s="47"/>
      <c r="E51" s="48"/>
      <c r="F51" s="49"/>
      <c r="G51" s="46"/>
      <c r="H51" s="34"/>
      <c r="I51" s="34"/>
      <c r="J51" s="34"/>
      <c r="K51" s="34"/>
      <c r="L51" s="34"/>
      <c r="M51" s="33"/>
      <c r="N51" s="34"/>
    </row>
    <row r="52" spans="1:14" ht="26.25" x14ac:dyDescent="0.25">
      <c r="A52" s="50" t="s">
        <v>19</v>
      </c>
      <c r="B52" s="51" t="s">
        <v>13</v>
      </c>
      <c r="C52" s="52" t="s">
        <v>14</v>
      </c>
      <c r="D52" s="52" t="s">
        <v>15</v>
      </c>
      <c r="E52" s="53" t="s">
        <v>16</v>
      </c>
      <c r="F52" s="54" t="s">
        <v>20</v>
      </c>
      <c r="G52" s="55"/>
      <c r="H52" s="56"/>
      <c r="I52" s="57"/>
      <c r="J52" s="57"/>
      <c r="K52" s="34"/>
      <c r="L52" s="34"/>
      <c r="M52" s="33"/>
      <c r="N52" s="34"/>
    </row>
    <row r="53" spans="1:14" ht="15.75" x14ac:dyDescent="0.25">
      <c r="A53" s="58"/>
      <c r="B53" s="59"/>
      <c r="C53" s="60"/>
      <c r="D53" s="61"/>
      <c r="E53" s="62"/>
      <c r="F53" s="63"/>
      <c r="G53" s="64"/>
      <c r="H53" s="65"/>
      <c r="I53" s="66"/>
      <c r="J53" s="66"/>
    </row>
    <row r="54" spans="1:14" x14ac:dyDescent="0.25">
      <c r="A54" s="67"/>
      <c r="B54" s="68"/>
      <c r="C54" s="69"/>
      <c r="D54" s="61"/>
      <c r="E54" s="70"/>
      <c r="F54" s="71"/>
      <c r="G54" s="64"/>
      <c r="H54" s="65"/>
    </row>
    <row r="55" spans="1:14" x14ac:dyDescent="0.25">
      <c r="A55" s="67"/>
      <c r="B55" s="68"/>
      <c r="C55" s="69"/>
      <c r="D55" s="61"/>
      <c r="E55" s="72"/>
      <c r="F55" s="71"/>
      <c r="G55" s="64"/>
      <c r="H55" s="65"/>
    </row>
    <row r="56" spans="1:14" x14ac:dyDescent="0.25">
      <c r="A56" s="67"/>
      <c r="B56" s="68"/>
      <c r="C56" s="69"/>
      <c r="D56" s="61"/>
      <c r="E56" s="72"/>
      <c r="F56" s="71"/>
      <c r="G56" s="64"/>
      <c r="H56" s="65"/>
    </row>
    <row r="57" spans="1:14" ht="15.75" thickBot="1" x14ac:dyDescent="0.3">
      <c r="A57" s="73"/>
      <c r="B57" s="74"/>
      <c r="C57" s="75"/>
      <c r="D57" s="76"/>
      <c r="E57" s="75"/>
      <c r="F57" s="77"/>
      <c r="G57" s="64"/>
      <c r="H57" s="65"/>
      <c r="I57" s="78"/>
      <c r="J57" s="78"/>
    </row>
    <row r="58" spans="1:14" ht="26.25" thickBot="1" x14ac:dyDescent="0.3">
      <c r="A58" s="119" t="s">
        <v>21</v>
      </c>
      <c r="B58" s="120"/>
      <c r="C58" s="121"/>
      <c r="D58" s="79">
        <f>SUM(D53:D57)</f>
        <v>0</v>
      </c>
      <c r="E58" s="80" t="s">
        <v>22</v>
      </c>
      <c r="F58" s="81">
        <f>SUM(F53:F57)</f>
        <v>0</v>
      </c>
      <c r="G58" s="82"/>
      <c r="H58" s="83"/>
      <c r="I58" s="84"/>
      <c r="J58" s="84"/>
    </row>
    <row r="59" spans="1:14" s="84" customFormat="1" ht="30" customHeight="1" x14ac:dyDescent="0.25">
      <c r="A59" s="119" t="s">
        <v>21</v>
      </c>
      <c r="B59" s="120"/>
      <c r="C59" s="121"/>
      <c r="D59" s="79">
        <f>SUM(D54:D58)</f>
        <v>0</v>
      </c>
      <c r="E59" s="80" t="s">
        <v>22</v>
      </c>
      <c r="F59" s="81">
        <f>SUM(F54:F58)</f>
        <v>0</v>
      </c>
      <c r="G59" s="82"/>
      <c r="H59" s="83"/>
    </row>
  </sheetData>
  <mergeCells count="5">
    <mergeCell ref="A59:C59"/>
    <mergeCell ref="A41:F41"/>
    <mergeCell ref="G41:H42"/>
    <mergeCell ref="A43:J43"/>
    <mergeCell ref="A58:C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Sep 2020</vt:lpstr>
      <vt:lpstr>Aug 2020</vt:lpstr>
      <vt:lpstr>Jul 2020</vt:lpstr>
      <vt:lpstr>Jun 2020</vt:lpstr>
      <vt:lpstr>May 2020</vt:lpstr>
      <vt:lpstr>Apr 2020</vt:lpstr>
      <vt:lpstr>Mar 2020</vt:lpstr>
      <vt:lpstr>Feb 2020</vt:lpstr>
      <vt:lpstr>Jan 2020</vt:lpstr>
      <vt:lpstr>Dec 2019</vt:lpstr>
      <vt:lpstr>Nov 2019</vt:lpstr>
      <vt:lpstr>Oct 2019</vt:lpstr>
      <vt:lpstr>'Apr 2020'!Print_Area</vt:lpstr>
      <vt:lpstr>'Aug 2020'!Print_Area</vt:lpstr>
      <vt:lpstr>'Feb 2020'!Print_Area</vt:lpstr>
      <vt:lpstr>'Jan 2020'!Print_Area</vt:lpstr>
      <vt:lpstr>'Jul 2020'!Print_Area</vt:lpstr>
      <vt:lpstr>'Jun 2020'!Print_Area</vt:lpstr>
      <vt:lpstr>'Mar 2020'!Print_Area</vt:lpstr>
      <vt:lpstr>'Nov 2019'!Print_Area</vt:lpstr>
      <vt:lpstr>'Oct 2019'!Print_Area</vt:lpstr>
      <vt:lpstr>'Sep 2020'!Print_Area</vt:lpstr>
    </vt:vector>
  </TitlesOfParts>
  <Company>Bureau of Reclamation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Birri</dc:creator>
  <cp:lastModifiedBy>Water office</cp:lastModifiedBy>
  <cp:lastPrinted>2020-09-21T17:48:52Z</cp:lastPrinted>
  <dcterms:created xsi:type="dcterms:W3CDTF">2010-05-21T17:05:57Z</dcterms:created>
  <dcterms:modified xsi:type="dcterms:W3CDTF">2020-10-02T20:55:41Z</dcterms:modified>
</cp:coreProperties>
</file>