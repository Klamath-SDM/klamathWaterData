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6835" windowHeight="10290"/>
  </bookViews>
  <sheets>
    <sheet name="J-CAN" sheetId="1" r:id="rId1"/>
    <sheet name="ST-48" sheetId="2" r:id="rId2"/>
    <sheet name="SPILL" sheetId="3" r:id="rId3"/>
    <sheet name="D-PLNT HRS" sheetId="4" r:id="rId4"/>
    <sheet name="D-PLNT A.F." sheetId="5" r:id="rId5"/>
    <sheet name="STRAITS" sheetId="6" r:id="rId6"/>
  </sheets>
  <definedNames>
    <definedName name="_xlnm.Print_Area" localSheetId="3">'D-PLNT HRS'!$A$1:$M$38</definedName>
    <definedName name="_xlnm.Print_Area" localSheetId="5">STRAITS!$A$1:$K$56</definedName>
  </definedNames>
  <calcPr calcId="145621" iterate="1" iterateCount="1"/>
</workbook>
</file>

<file path=xl/calcChain.xml><?xml version="1.0" encoding="utf-8"?>
<calcChain xmlns="http://schemas.openxmlformats.org/spreadsheetml/2006/main">
  <c r="I56" i="6" l="1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J4" i="6" s="1"/>
  <c r="K4" i="6" s="1"/>
  <c r="N53" i="5"/>
  <c r="M52" i="5"/>
  <c r="L52" i="5"/>
  <c r="K52" i="5"/>
  <c r="J52" i="5"/>
  <c r="I52" i="5"/>
  <c r="H52" i="5"/>
  <c r="G52" i="5"/>
  <c r="F52" i="5"/>
  <c r="E52" i="5"/>
  <c r="D52" i="5"/>
  <c r="C52" i="5"/>
  <c r="B52" i="5"/>
  <c r="B53" i="5" s="1"/>
  <c r="C53" i="5" s="1"/>
  <c r="D53" i="5" s="1"/>
  <c r="E53" i="5" s="1"/>
  <c r="F53" i="5" s="1"/>
  <c r="G53" i="5" s="1"/>
  <c r="H53" i="5" s="1"/>
  <c r="I53" i="5" s="1"/>
  <c r="J53" i="5" s="1"/>
  <c r="K53" i="5" s="1"/>
  <c r="L53" i="5" s="1"/>
  <c r="M53" i="5" s="1"/>
  <c r="N50" i="5"/>
  <c r="N49" i="5"/>
  <c r="N48" i="5"/>
  <c r="N47" i="5"/>
  <c r="N46" i="5"/>
  <c r="N45" i="5"/>
  <c r="N44" i="5"/>
  <c r="N43" i="5"/>
  <c r="N42" i="5"/>
  <c r="N41" i="5"/>
  <c r="M38" i="5"/>
  <c r="L38" i="5"/>
  <c r="K38" i="5"/>
  <c r="J38" i="5"/>
  <c r="I38" i="5"/>
  <c r="H38" i="5"/>
  <c r="G38" i="5"/>
  <c r="F38" i="5"/>
  <c r="E38" i="5"/>
  <c r="D38" i="5"/>
  <c r="C38" i="5"/>
  <c r="B38" i="5"/>
  <c r="B39" i="5" s="1"/>
  <c r="C39" i="5" s="1"/>
  <c r="D39" i="5" s="1"/>
  <c r="E39" i="5" s="1"/>
  <c r="F39" i="5" s="1"/>
  <c r="G39" i="5" s="1"/>
  <c r="H39" i="5" s="1"/>
  <c r="I39" i="5" s="1"/>
  <c r="J39" i="5" s="1"/>
  <c r="K39" i="5" s="1"/>
  <c r="L39" i="5" s="1"/>
  <c r="M39" i="5" s="1"/>
  <c r="M37" i="5"/>
  <c r="L37" i="5"/>
  <c r="K37" i="5"/>
  <c r="J37" i="5"/>
  <c r="I37" i="5"/>
  <c r="H37" i="5"/>
  <c r="G37" i="5"/>
  <c r="F37" i="5"/>
  <c r="E37" i="5"/>
  <c r="D37" i="5"/>
  <c r="C37" i="5"/>
  <c r="B37" i="5"/>
  <c r="M36" i="4"/>
  <c r="L36" i="4"/>
  <c r="K36" i="4"/>
  <c r="J36" i="4"/>
  <c r="I36" i="4"/>
  <c r="H36" i="4"/>
  <c r="G36" i="4"/>
  <c r="F36" i="4"/>
  <c r="E36" i="4"/>
  <c r="D36" i="4"/>
  <c r="C36" i="4"/>
  <c r="B36" i="4"/>
  <c r="B37" i="4" s="1"/>
  <c r="C37" i="4" s="1"/>
  <c r="D37" i="4" s="1"/>
  <c r="E37" i="4" s="1"/>
  <c r="F37" i="4" s="1"/>
  <c r="G37" i="4" s="1"/>
  <c r="H37" i="4" s="1"/>
  <c r="I37" i="4" s="1"/>
  <c r="J37" i="4" s="1"/>
  <c r="K37" i="4" s="1"/>
  <c r="L37" i="4" s="1"/>
  <c r="M37" i="4" s="1"/>
  <c r="M51" i="3"/>
  <c r="L51" i="3"/>
  <c r="K51" i="3"/>
  <c r="J51" i="3"/>
  <c r="I51" i="3"/>
  <c r="H51" i="3"/>
  <c r="G51" i="3"/>
  <c r="F51" i="3"/>
  <c r="E51" i="3"/>
  <c r="D51" i="3"/>
  <c r="C51" i="3"/>
  <c r="B51" i="3"/>
  <c r="B52" i="3" s="1"/>
  <c r="C52" i="3" s="1"/>
  <c r="D52" i="3" s="1"/>
  <c r="E52" i="3" s="1"/>
  <c r="F52" i="3" s="1"/>
  <c r="G52" i="3" s="1"/>
  <c r="H52" i="3" s="1"/>
  <c r="I52" i="3" s="1"/>
  <c r="J52" i="3" s="1"/>
  <c r="K52" i="3" s="1"/>
  <c r="L52" i="3" s="1"/>
  <c r="M52" i="3" s="1"/>
  <c r="N49" i="3"/>
  <c r="N48" i="3"/>
  <c r="N47" i="3"/>
  <c r="N46" i="3"/>
  <c r="N45" i="3"/>
  <c r="N44" i="3"/>
  <c r="N43" i="3"/>
  <c r="N42" i="3"/>
  <c r="N41" i="3"/>
  <c r="N52" i="3" s="1"/>
  <c r="N40" i="3"/>
  <c r="G37" i="3"/>
  <c r="M36" i="3"/>
  <c r="M37" i="3" s="1"/>
  <c r="L36" i="3"/>
  <c r="L37" i="3" s="1"/>
  <c r="K36" i="3"/>
  <c r="K37" i="3" s="1"/>
  <c r="J36" i="3"/>
  <c r="J37" i="3" s="1"/>
  <c r="I36" i="3"/>
  <c r="I37" i="3" s="1"/>
  <c r="H36" i="3"/>
  <c r="H37" i="3" s="1"/>
  <c r="G36" i="3"/>
  <c r="F36" i="3"/>
  <c r="F37" i="3" s="1"/>
  <c r="E36" i="3"/>
  <c r="E37" i="3" s="1"/>
  <c r="D36" i="3"/>
  <c r="D37" i="3" s="1"/>
  <c r="C36" i="3"/>
  <c r="C37" i="3" s="1"/>
  <c r="C38" i="3" s="1"/>
  <c r="B36" i="3"/>
  <c r="B37" i="3" s="1"/>
  <c r="B38" i="3" s="1"/>
  <c r="M51" i="2"/>
  <c r="L51" i="2"/>
  <c r="K51" i="2"/>
  <c r="J51" i="2"/>
  <c r="I51" i="2"/>
  <c r="H51" i="2"/>
  <c r="G51" i="2"/>
  <c r="F51" i="2"/>
  <c r="E51" i="2"/>
  <c r="D51" i="2"/>
  <c r="C51" i="2"/>
  <c r="B51" i="2"/>
  <c r="B52" i="2" s="1"/>
  <c r="C52" i="2" s="1"/>
  <c r="D52" i="2" s="1"/>
  <c r="E52" i="2" s="1"/>
  <c r="F52" i="2" s="1"/>
  <c r="G52" i="2" s="1"/>
  <c r="H52" i="2" s="1"/>
  <c r="I52" i="2" s="1"/>
  <c r="J52" i="2" s="1"/>
  <c r="K52" i="2" s="1"/>
  <c r="L52" i="2" s="1"/>
  <c r="M52" i="2" s="1"/>
  <c r="N49" i="2"/>
  <c r="N48" i="2"/>
  <c r="N47" i="2"/>
  <c r="N46" i="2"/>
  <c r="N45" i="2"/>
  <c r="N44" i="2"/>
  <c r="N43" i="2"/>
  <c r="N42" i="2"/>
  <c r="N41" i="2"/>
  <c r="N40" i="2"/>
  <c r="G37" i="2"/>
  <c r="F37" i="2"/>
  <c r="M36" i="2"/>
  <c r="M37" i="2" s="1"/>
  <c r="L36" i="2"/>
  <c r="L37" i="2" s="1"/>
  <c r="K36" i="2"/>
  <c r="K37" i="2" s="1"/>
  <c r="J36" i="2"/>
  <c r="J37" i="2" s="1"/>
  <c r="I36" i="2"/>
  <c r="I37" i="2" s="1"/>
  <c r="H36" i="2"/>
  <c r="H37" i="2" s="1"/>
  <c r="G36" i="2"/>
  <c r="F36" i="2"/>
  <c r="E36" i="2"/>
  <c r="E37" i="2" s="1"/>
  <c r="D36" i="2"/>
  <c r="D37" i="2" s="1"/>
  <c r="C36" i="2"/>
  <c r="C37" i="2" s="1"/>
  <c r="B36" i="2"/>
  <c r="B37" i="2" s="1"/>
  <c r="B38" i="2" s="1"/>
  <c r="C38" i="2" s="1"/>
  <c r="D38" i="2" s="1"/>
  <c r="E38" i="2" s="1"/>
  <c r="F38" i="2" s="1"/>
  <c r="G38" i="2" s="1"/>
  <c r="H38" i="2" s="1"/>
  <c r="I38" i="2" s="1"/>
  <c r="J38" i="2" s="1"/>
  <c r="K38" i="2" s="1"/>
  <c r="L38" i="2" s="1"/>
  <c r="M38" i="2" s="1"/>
  <c r="D52" i="1"/>
  <c r="M51" i="1"/>
  <c r="L51" i="1"/>
  <c r="K51" i="1"/>
  <c r="J51" i="1"/>
  <c r="I51" i="1"/>
  <c r="H51" i="1"/>
  <c r="G51" i="1"/>
  <c r="F51" i="1"/>
  <c r="E51" i="1"/>
  <c r="D51" i="1"/>
  <c r="N49" i="1"/>
  <c r="N48" i="1"/>
  <c r="N47" i="1"/>
  <c r="N46" i="1"/>
  <c r="N45" i="1"/>
  <c r="N44" i="1"/>
  <c r="N43" i="1"/>
  <c r="N42" i="1"/>
  <c r="N41" i="1"/>
  <c r="N40" i="1"/>
  <c r="M36" i="1"/>
  <c r="M37" i="1" s="1"/>
  <c r="L36" i="1"/>
  <c r="L37" i="1" s="1"/>
  <c r="K36" i="1"/>
  <c r="K37" i="1" s="1"/>
  <c r="J36" i="1"/>
  <c r="J37" i="1" s="1"/>
  <c r="I36" i="1"/>
  <c r="I37" i="1" s="1"/>
  <c r="H36" i="1"/>
  <c r="H37" i="1" s="1"/>
  <c r="G36" i="1"/>
  <c r="G37" i="1" s="1"/>
  <c r="F36" i="1"/>
  <c r="F37" i="1" s="1"/>
  <c r="E36" i="1"/>
  <c r="E37" i="1" s="1"/>
  <c r="D36" i="1"/>
  <c r="D37" i="1" s="1"/>
  <c r="C36" i="1"/>
  <c r="C37" i="1" s="1"/>
  <c r="B36" i="1"/>
  <c r="B37" i="1" s="1"/>
  <c r="B38" i="1" s="1"/>
  <c r="C38" i="1" s="1"/>
  <c r="D38" i="1" s="1"/>
  <c r="E38" i="1" s="1"/>
  <c r="F38" i="1" s="1"/>
  <c r="G38" i="1" s="1"/>
  <c r="H38" i="1" s="1"/>
  <c r="I38" i="1" s="1"/>
  <c r="J38" i="1" s="1"/>
  <c r="K38" i="1" s="1"/>
  <c r="L38" i="1" s="1"/>
  <c r="M38" i="1" s="1"/>
  <c r="D38" i="3" l="1"/>
  <c r="E38" i="3" s="1"/>
  <c r="F38" i="3" s="1"/>
  <c r="G38" i="3" s="1"/>
  <c r="H38" i="3" s="1"/>
  <c r="I38" i="3" s="1"/>
  <c r="J38" i="3" s="1"/>
  <c r="K38" i="3" s="1"/>
  <c r="L38" i="3" s="1"/>
  <c r="M38" i="3" s="1"/>
  <c r="E52" i="1"/>
  <c r="F52" i="1" s="1"/>
  <c r="G52" i="1" s="1"/>
  <c r="H52" i="1" s="1"/>
  <c r="I52" i="1" s="1"/>
  <c r="J52" i="1" s="1"/>
  <c r="K52" i="1" s="1"/>
  <c r="L52" i="1" s="1"/>
  <c r="M52" i="1" s="1"/>
  <c r="N52" i="2"/>
  <c r="J5" i="6"/>
  <c r="N52" i="1"/>
  <c r="K5" i="6" l="1"/>
  <c r="J6" i="6"/>
  <c r="K6" i="6" l="1"/>
  <c r="J7" i="6"/>
  <c r="K7" i="6" l="1"/>
  <c r="J8" i="6"/>
  <c r="K8" i="6" l="1"/>
  <c r="J9" i="6"/>
  <c r="K9" i="6" l="1"/>
  <c r="J10" i="6"/>
  <c r="K10" i="6" l="1"/>
  <c r="J11" i="6"/>
  <c r="K11" i="6" l="1"/>
  <c r="J12" i="6"/>
  <c r="K12" i="6" l="1"/>
  <c r="J13" i="6"/>
  <c r="K13" i="6" l="1"/>
  <c r="J14" i="6"/>
  <c r="K14" i="6" l="1"/>
  <c r="J15" i="6"/>
  <c r="K15" i="6" l="1"/>
  <c r="J16" i="6"/>
  <c r="K16" i="6" l="1"/>
  <c r="J17" i="6"/>
  <c r="K17" i="6" l="1"/>
  <c r="J18" i="6"/>
  <c r="K18" i="6" l="1"/>
  <c r="J19" i="6"/>
  <c r="K19" i="6" l="1"/>
  <c r="J20" i="6"/>
  <c r="K20" i="6" l="1"/>
  <c r="J21" i="6"/>
  <c r="K21" i="6" l="1"/>
  <c r="J22" i="6"/>
  <c r="K22" i="6" l="1"/>
  <c r="J23" i="6"/>
  <c r="K23" i="6" l="1"/>
  <c r="J24" i="6"/>
  <c r="K24" i="6" l="1"/>
  <c r="J25" i="6"/>
  <c r="K25" i="6" l="1"/>
  <c r="J26" i="6"/>
  <c r="K26" i="6" l="1"/>
  <c r="J27" i="6"/>
  <c r="K27" i="6" l="1"/>
  <c r="J28" i="6"/>
  <c r="K28" i="6" l="1"/>
  <c r="J29" i="6"/>
  <c r="K29" i="6" l="1"/>
  <c r="J30" i="6"/>
  <c r="K30" i="6" l="1"/>
  <c r="J31" i="6"/>
  <c r="K31" i="6" l="1"/>
  <c r="J32" i="6"/>
  <c r="K32" i="6" l="1"/>
  <c r="J33" i="6"/>
  <c r="K33" i="6" l="1"/>
  <c r="J34" i="6"/>
  <c r="K34" i="6" l="1"/>
  <c r="J35" i="6"/>
  <c r="K35" i="6" l="1"/>
  <c r="J36" i="6"/>
  <c r="K36" i="6" l="1"/>
  <c r="J37" i="6"/>
  <c r="K37" i="6" l="1"/>
  <c r="J38" i="6"/>
  <c r="K38" i="6" l="1"/>
  <c r="J39" i="6"/>
  <c r="K39" i="6" l="1"/>
  <c r="J40" i="6"/>
  <c r="K40" i="6" l="1"/>
  <c r="J41" i="6"/>
  <c r="K41" i="6" l="1"/>
  <c r="J42" i="6"/>
  <c r="K42" i="6" l="1"/>
  <c r="J43" i="6"/>
  <c r="K43" i="6" l="1"/>
  <c r="J44" i="6"/>
  <c r="K44" i="6" l="1"/>
  <c r="J45" i="6"/>
  <c r="K45" i="6" l="1"/>
  <c r="J46" i="6"/>
  <c r="K46" i="6" l="1"/>
  <c r="J47" i="6"/>
  <c r="K47" i="6" l="1"/>
  <c r="J48" i="6"/>
  <c r="K48" i="6" l="1"/>
  <c r="J49" i="6"/>
  <c r="K49" i="6" l="1"/>
  <c r="J50" i="6"/>
  <c r="K50" i="6" l="1"/>
  <c r="J51" i="6"/>
  <c r="K51" i="6" l="1"/>
  <c r="J52" i="6"/>
  <c r="K52" i="6" l="1"/>
  <c r="J53" i="6"/>
  <c r="K53" i="6" l="1"/>
  <c r="J54" i="6"/>
  <c r="K54" i="6" l="1"/>
  <c r="J55" i="6"/>
  <c r="K55" i="6" l="1"/>
  <c r="J56" i="6"/>
  <c r="K56" i="6" s="1"/>
</calcChain>
</file>

<file path=xl/sharedStrings.xml><?xml version="1.0" encoding="utf-8"?>
<sst xmlns="http://schemas.openxmlformats.org/spreadsheetml/2006/main" count="441" uniqueCount="90">
  <si>
    <t>J-CANAL HEADWORKS 1997</t>
  </si>
  <si>
    <t>DAY</t>
  </si>
  <si>
    <t xml:space="preserve">JAN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</si>
  <si>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</si>
  <si>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</si>
  <si>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</si>
  <si>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</si>
  <si>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</si>
  <si>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</si>
  <si>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</si>
  <si>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</si>
  <si>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</si>
  <si>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</si>
  <si>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</si>
  <si>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</t>
  </si>
  <si>
    <t>CFS</t>
  </si>
  <si>
    <t>AF</t>
  </si>
  <si>
    <t>AAF</t>
  </si>
  <si>
    <t>AVG</t>
  </si>
  <si>
    <t>STATION 48 1997</t>
  </si>
  <si>
    <t>LOST RIVER SPILL-AND-ROSE-DAM 1997</t>
  </si>
  <si>
    <t>JAN</t>
  </si>
  <si>
    <t>D-PLANT HOURS 1997</t>
  </si>
  <si>
    <t>HRS</t>
  </si>
  <si>
    <t>ACCUHRS</t>
  </si>
  <si>
    <t>D-PLANT ACRE FEET 1997</t>
  </si>
  <si>
    <t>TO STRAITS DRAIN @ REFUGE 1997</t>
  </si>
  <si>
    <t>Sun</t>
  </si>
  <si>
    <t>Mon</t>
  </si>
  <si>
    <t>Tue</t>
  </si>
  <si>
    <t>Wed</t>
  </si>
  <si>
    <t>Thu</t>
  </si>
  <si>
    <t>Fri</t>
  </si>
  <si>
    <t>Sat</t>
  </si>
  <si>
    <t>TOTAL C.F.S.</t>
  </si>
  <si>
    <t>ACCU. C.F.S</t>
  </si>
  <si>
    <t>ACCU. A.F.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</si>
  <si>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</si>
  <si>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</si>
  <si>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</si>
  <si>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</si>
  <si>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</si>
  <si>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</si>
  <si>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</si>
  <si>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</si>
  <si>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</si>
  <si>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</si>
  <si>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</si>
  <si>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</si>
  <si>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</si>
  <si>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</si>
  <si>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</si>
  <si>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</si>
  <si>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</si>
  <si>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</si>
  <si>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</si>
  <si>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</si>
  <si>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</si>
  <si>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</si>
  <si>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</si>
  <si>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</si>
  <si>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</si>
  <si>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</si>
  <si>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</si>
  <si>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</si>
  <si>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</si>
  <si>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</si>
  <si>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</si>
  <si>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</si>
  <si>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</si>
  <si>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</si>
  <si>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</si>
  <si>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</si>
  <si>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</si>
  <si>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</si>
  <si>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</si>
  <si>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</si>
  <si>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</si>
  <si>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</si>
  <si>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</si>
  <si>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</si>
  <si>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</si>
  <si>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</si>
  <si>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</si>
  <si>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</si>
  <si>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</si>
  <si>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</si>
  <si>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</si>
  <si>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</si>
  <si>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Week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</si>
</sst>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#,##0.0_);\(#,##0.0\)"/>
  </numFmts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0" fontId="0" fillId="2" borderId="0" xfId="0" applyFill="1" applyProtection="1">
      <protection locked="0"/>
    </xf>
    <xf numFmtId="41" fontId="0" fillId="0" borderId="0" xfId="1" applyNumberFormat="1" applyFont="1"/>
    <xf numFmtId="41" fontId="0" fillId="0" borderId="0" xfId="0" applyNumberFormat="1"/>
    <xf numFmtId="0" fontId="2" fillId="0" borderId="0" xfId="0" quotePrefix="1" applyFont="1" applyAlignment="1">
      <alignment horizontal="right"/>
    </xf>
    <xf numFmtId="0" fontId="0" fillId="0" borderId="0" xfId="0" quotePrefix="1" applyAlignment="1">
      <alignment horizontal="left"/>
    </xf>
    <xf numFmtId="164" fontId="0" fillId="0" borderId="0" xfId="1" applyNumberFormat="1" applyFont="1" applyAlignment="1">
      <alignment horizontal="left"/>
    </xf>
    <xf numFmtId="164" fontId="0" fillId="0" borderId="0" xfId="1" applyNumberFormat="1" applyFont="1"/>
    <xf numFmtId="43" fontId="0" fillId="0" borderId="0" xfId="1" applyFont="1"/>
    <xf numFmtId="0" fontId="2" fillId="0" borderId="0" xfId="0" applyFont="1" applyAlignment="1" applyProtection="1">
      <alignment horizontal="right"/>
    </xf>
    <xf numFmtId="41" fontId="0" fillId="0" borderId="0" xfId="1" quotePrefix="1" applyNumberFormat="1" applyFont="1" applyAlignment="1">
      <alignment horizontal="left"/>
    </xf>
    <xf numFmtId="165" fontId="0" fillId="2" borderId="0" xfId="0" applyNumberFormat="1" applyFill="1" applyProtection="1">
      <protection locked="0"/>
    </xf>
    <xf numFmtId="165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166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tabSelected="1"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cols>
    <col min="1" max="14" width="9.7109375" customWidth="1"/>
  </cols>
  <sheetData>
    <row r="1" spans="1:13" x14ac:dyDescent="0.2">
      <c r="A1" t="s">
        <v>0</v>
      </c>
      <c r="K1" t="s">
        <v>0</v>
      </c>
    </row>
    <row r="3" spans="1:13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x14ac:dyDescent="0.2">
      <c r="A4" s="2">
        <v>1</v>
      </c>
      <c r="B4" s="3">
        <v>0</v>
      </c>
      <c r="C4" s="3">
        <v>0</v>
      </c>
      <c r="D4" s="3">
        <v>0</v>
      </c>
      <c r="E4" s="3">
        <v>270</v>
      </c>
      <c r="F4" s="3">
        <v>161</v>
      </c>
      <c r="G4" s="3">
        <v>368</v>
      </c>
      <c r="H4" s="3">
        <v>472</v>
      </c>
      <c r="I4" s="3">
        <v>293</v>
      </c>
      <c r="J4" s="3">
        <v>361</v>
      </c>
      <c r="K4" s="3">
        <v>80</v>
      </c>
      <c r="L4" s="3">
        <v>36</v>
      </c>
      <c r="M4" s="3">
        <v>0</v>
      </c>
    </row>
    <row r="5" spans="1:13" x14ac:dyDescent="0.2">
      <c r="A5" s="2">
        <v>2</v>
      </c>
      <c r="B5" s="3">
        <v>0</v>
      </c>
      <c r="C5" s="3">
        <v>0</v>
      </c>
      <c r="D5" s="3">
        <v>0</v>
      </c>
      <c r="E5" s="3">
        <v>330</v>
      </c>
      <c r="F5" s="3">
        <v>171</v>
      </c>
      <c r="G5" s="3">
        <v>400</v>
      </c>
      <c r="H5" s="3">
        <v>469</v>
      </c>
      <c r="I5" s="3">
        <v>323</v>
      </c>
      <c r="J5" s="3">
        <v>362</v>
      </c>
      <c r="K5" s="3">
        <v>69</v>
      </c>
      <c r="L5" s="3">
        <v>46</v>
      </c>
      <c r="M5" s="3">
        <v>0</v>
      </c>
    </row>
    <row r="6" spans="1:13" x14ac:dyDescent="0.2">
      <c r="A6" s="2">
        <v>3</v>
      </c>
      <c r="B6" s="3">
        <v>0</v>
      </c>
      <c r="C6" s="3">
        <v>0</v>
      </c>
      <c r="D6" s="3">
        <v>0</v>
      </c>
      <c r="E6" s="3">
        <v>339</v>
      </c>
      <c r="F6" s="3">
        <v>172</v>
      </c>
      <c r="G6" s="3">
        <v>424</v>
      </c>
      <c r="H6" s="3">
        <v>478</v>
      </c>
      <c r="I6" s="3">
        <v>366</v>
      </c>
      <c r="J6" s="3">
        <v>340</v>
      </c>
      <c r="K6" s="3">
        <v>82</v>
      </c>
      <c r="L6" s="3">
        <v>30</v>
      </c>
      <c r="M6" s="3">
        <v>0</v>
      </c>
    </row>
    <row r="7" spans="1:13" x14ac:dyDescent="0.2">
      <c r="A7" s="2">
        <v>4</v>
      </c>
      <c r="B7" s="3">
        <v>0</v>
      </c>
      <c r="C7" s="3">
        <v>0</v>
      </c>
      <c r="D7" s="3">
        <v>0</v>
      </c>
      <c r="E7" s="3">
        <v>329</v>
      </c>
      <c r="F7" s="3">
        <v>183</v>
      </c>
      <c r="G7" s="3">
        <v>415</v>
      </c>
      <c r="H7" s="3">
        <v>494</v>
      </c>
      <c r="I7" s="3">
        <v>430</v>
      </c>
      <c r="J7" s="3">
        <v>336</v>
      </c>
      <c r="K7" s="3">
        <v>87</v>
      </c>
      <c r="L7" s="3">
        <v>32</v>
      </c>
      <c r="M7" s="3">
        <v>0</v>
      </c>
    </row>
    <row r="8" spans="1:13" x14ac:dyDescent="0.2">
      <c r="A8" s="2">
        <v>5</v>
      </c>
      <c r="B8" s="3">
        <v>0</v>
      </c>
      <c r="C8" s="3">
        <v>0</v>
      </c>
      <c r="D8" s="3">
        <v>0</v>
      </c>
      <c r="E8" s="3">
        <v>314</v>
      </c>
      <c r="F8" s="3">
        <v>214</v>
      </c>
      <c r="G8" s="3">
        <v>372</v>
      </c>
      <c r="H8" s="3">
        <v>480</v>
      </c>
      <c r="I8" s="3">
        <v>393</v>
      </c>
      <c r="J8" s="3">
        <v>320</v>
      </c>
      <c r="K8" s="3">
        <v>80</v>
      </c>
      <c r="L8" s="3">
        <v>34</v>
      </c>
      <c r="M8" s="3">
        <v>0</v>
      </c>
    </row>
    <row r="9" spans="1:13" x14ac:dyDescent="0.2">
      <c r="A9" s="2">
        <v>6</v>
      </c>
      <c r="B9" s="3">
        <v>0</v>
      </c>
      <c r="C9" s="3">
        <v>0</v>
      </c>
      <c r="D9" s="3">
        <v>0</v>
      </c>
      <c r="E9" s="3">
        <v>315</v>
      </c>
      <c r="F9" s="3">
        <v>252</v>
      </c>
      <c r="G9" s="3">
        <v>371</v>
      </c>
      <c r="H9" s="3">
        <v>441</v>
      </c>
      <c r="I9" s="3">
        <v>385</v>
      </c>
      <c r="J9" s="3">
        <v>294</v>
      </c>
      <c r="K9" s="3">
        <v>81</v>
      </c>
      <c r="L9" s="3">
        <v>7</v>
      </c>
      <c r="M9" s="3">
        <v>0</v>
      </c>
    </row>
    <row r="10" spans="1:13" x14ac:dyDescent="0.2">
      <c r="A10" s="2">
        <v>7</v>
      </c>
      <c r="B10" s="3">
        <v>0</v>
      </c>
      <c r="C10" s="3">
        <v>0</v>
      </c>
      <c r="D10" s="3">
        <v>0</v>
      </c>
      <c r="E10" s="3">
        <v>326</v>
      </c>
      <c r="F10" s="3">
        <v>288</v>
      </c>
      <c r="G10" s="3">
        <v>396</v>
      </c>
      <c r="H10" s="3">
        <v>467</v>
      </c>
      <c r="I10" s="3">
        <v>394</v>
      </c>
      <c r="J10" s="3">
        <v>279</v>
      </c>
      <c r="K10" s="3">
        <v>81</v>
      </c>
      <c r="L10" s="3">
        <v>0</v>
      </c>
      <c r="M10" s="3">
        <v>0</v>
      </c>
    </row>
    <row r="11" spans="1:13" x14ac:dyDescent="0.2">
      <c r="A11" s="2">
        <v>8</v>
      </c>
      <c r="B11" s="3">
        <v>0</v>
      </c>
      <c r="C11" s="3">
        <v>0</v>
      </c>
      <c r="D11" s="3">
        <v>0</v>
      </c>
      <c r="E11" s="3">
        <v>319</v>
      </c>
      <c r="F11" s="3">
        <v>306</v>
      </c>
      <c r="G11" s="3">
        <v>409</v>
      </c>
      <c r="H11" s="3">
        <v>503</v>
      </c>
      <c r="I11" s="3">
        <v>404</v>
      </c>
      <c r="J11" s="3">
        <v>299</v>
      </c>
      <c r="K11" s="3">
        <v>87</v>
      </c>
      <c r="L11" s="3">
        <v>0</v>
      </c>
      <c r="M11" s="3">
        <v>0</v>
      </c>
    </row>
    <row r="12" spans="1:13" x14ac:dyDescent="0.2">
      <c r="A12" s="2">
        <v>9</v>
      </c>
      <c r="B12" s="3">
        <v>0</v>
      </c>
      <c r="C12" s="3">
        <v>0</v>
      </c>
      <c r="D12" s="3">
        <v>0</v>
      </c>
      <c r="E12" s="3">
        <v>291</v>
      </c>
      <c r="F12" s="3">
        <v>325</v>
      </c>
      <c r="G12" s="3">
        <v>446</v>
      </c>
      <c r="H12" s="3">
        <v>559</v>
      </c>
      <c r="I12" s="3">
        <v>439</v>
      </c>
      <c r="J12" s="3">
        <v>272</v>
      </c>
      <c r="K12" s="3">
        <v>86</v>
      </c>
      <c r="L12" s="3">
        <v>0</v>
      </c>
      <c r="M12" s="3">
        <v>0</v>
      </c>
    </row>
    <row r="13" spans="1:13" x14ac:dyDescent="0.2">
      <c r="A13" s="2">
        <v>10</v>
      </c>
      <c r="B13" s="3">
        <v>0</v>
      </c>
      <c r="C13" s="3">
        <v>0</v>
      </c>
      <c r="D13" s="3">
        <v>0</v>
      </c>
      <c r="E13" s="3">
        <v>191</v>
      </c>
      <c r="F13" s="3">
        <v>341</v>
      </c>
      <c r="G13" s="3">
        <v>466</v>
      </c>
      <c r="H13" s="3">
        <v>564</v>
      </c>
      <c r="I13" s="3">
        <v>452</v>
      </c>
      <c r="J13" s="3">
        <v>276</v>
      </c>
      <c r="K13" s="3">
        <v>86</v>
      </c>
      <c r="L13" s="3">
        <v>0</v>
      </c>
      <c r="M13" s="3">
        <v>0</v>
      </c>
    </row>
    <row r="14" spans="1:13" x14ac:dyDescent="0.2">
      <c r="A14" s="2">
        <v>11</v>
      </c>
      <c r="B14" s="3">
        <v>0</v>
      </c>
      <c r="C14" s="3">
        <v>0</v>
      </c>
      <c r="D14" s="3">
        <v>0</v>
      </c>
      <c r="E14" s="3">
        <v>188</v>
      </c>
      <c r="F14" s="3">
        <v>354</v>
      </c>
      <c r="G14" s="3">
        <v>500</v>
      </c>
      <c r="H14" s="3">
        <v>565</v>
      </c>
      <c r="I14" s="3">
        <v>459</v>
      </c>
      <c r="J14" s="3">
        <v>264</v>
      </c>
      <c r="K14" s="3">
        <v>91</v>
      </c>
      <c r="L14" s="3">
        <v>0</v>
      </c>
      <c r="M14" s="3">
        <v>0</v>
      </c>
    </row>
    <row r="15" spans="1:13" x14ac:dyDescent="0.2">
      <c r="A15" s="2">
        <v>12</v>
      </c>
      <c r="B15" s="3">
        <v>0</v>
      </c>
      <c r="C15" s="3">
        <v>0</v>
      </c>
      <c r="D15" s="3">
        <v>0</v>
      </c>
      <c r="E15" s="3">
        <v>199</v>
      </c>
      <c r="F15" s="3">
        <v>399</v>
      </c>
      <c r="G15" s="3">
        <v>470</v>
      </c>
      <c r="H15" s="3">
        <v>580</v>
      </c>
      <c r="I15" s="3">
        <v>441</v>
      </c>
      <c r="J15" s="3">
        <v>256</v>
      </c>
      <c r="K15" s="3">
        <v>89</v>
      </c>
      <c r="L15" s="3">
        <v>0</v>
      </c>
      <c r="M15" s="3">
        <v>0</v>
      </c>
    </row>
    <row r="16" spans="1:13" x14ac:dyDescent="0.2">
      <c r="A16" s="2">
        <v>13</v>
      </c>
      <c r="B16" s="3">
        <v>0</v>
      </c>
      <c r="C16" s="3">
        <v>0</v>
      </c>
      <c r="D16" s="3">
        <v>0</v>
      </c>
      <c r="E16" s="3">
        <v>211</v>
      </c>
      <c r="F16" s="3">
        <v>434</v>
      </c>
      <c r="G16" s="3">
        <v>435</v>
      </c>
      <c r="H16" s="3">
        <v>569</v>
      </c>
      <c r="I16" s="3">
        <v>441</v>
      </c>
      <c r="J16" s="3">
        <v>230</v>
      </c>
      <c r="K16" s="3">
        <v>91</v>
      </c>
      <c r="L16" s="3">
        <v>0</v>
      </c>
      <c r="M16" s="3">
        <v>0</v>
      </c>
    </row>
    <row r="17" spans="1:13" x14ac:dyDescent="0.2">
      <c r="A17" s="2">
        <v>14</v>
      </c>
      <c r="B17" s="3">
        <v>0</v>
      </c>
      <c r="C17" s="3">
        <v>0</v>
      </c>
      <c r="D17" s="3">
        <v>0</v>
      </c>
      <c r="E17" s="3">
        <v>223</v>
      </c>
      <c r="F17" s="3">
        <v>448</v>
      </c>
      <c r="G17" s="3">
        <v>432</v>
      </c>
      <c r="H17" s="3">
        <v>519</v>
      </c>
      <c r="I17" s="3">
        <v>448</v>
      </c>
      <c r="J17" s="3">
        <v>201</v>
      </c>
      <c r="K17" s="3">
        <v>84</v>
      </c>
      <c r="L17" s="3">
        <v>0</v>
      </c>
      <c r="M17" s="3">
        <v>0</v>
      </c>
    </row>
    <row r="18" spans="1:13" x14ac:dyDescent="0.2">
      <c r="A18" s="2">
        <v>15</v>
      </c>
      <c r="B18" s="3">
        <v>0</v>
      </c>
      <c r="C18" s="3">
        <v>0</v>
      </c>
      <c r="D18" s="3">
        <v>46</v>
      </c>
      <c r="E18" s="3">
        <v>235</v>
      </c>
      <c r="F18" s="3">
        <v>467</v>
      </c>
      <c r="G18" s="3">
        <v>428</v>
      </c>
      <c r="H18" s="3">
        <v>490</v>
      </c>
      <c r="I18" s="3">
        <v>450</v>
      </c>
      <c r="J18" s="3">
        <v>177</v>
      </c>
      <c r="K18" s="3">
        <v>78</v>
      </c>
      <c r="L18" s="3">
        <v>0</v>
      </c>
      <c r="M18" s="3">
        <v>0</v>
      </c>
    </row>
    <row r="19" spans="1:13" x14ac:dyDescent="0.2">
      <c r="A19" s="2">
        <v>16</v>
      </c>
      <c r="B19" s="3">
        <v>0</v>
      </c>
      <c r="C19" s="3">
        <v>0</v>
      </c>
      <c r="D19" s="3">
        <v>57</v>
      </c>
      <c r="E19" s="3">
        <v>222</v>
      </c>
      <c r="F19" s="3">
        <v>473</v>
      </c>
      <c r="G19" s="3">
        <v>473</v>
      </c>
      <c r="H19" s="3">
        <v>526</v>
      </c>
      <c r="I19" s="3">
        <v>471</v>
      </c>
      <c r="J19" s="3">
        <v>151</v>
      </c>
      <c r="K19" s="3">
        <v>80</v>
      </c>
      <c r="L19" s="3">
        <v>0</v>
      </c>
      <c r="M19" s="3">
        <v>0</v>
      </c>
    </row>
    <row r="20" spans="1:13" x14ac:dyDescent="0.2">
      <c r="A20" s="2">
        <v>17</v>
      </c>
      <c r="B20" s="3">
        <v>0</v>
      </c>
      <c r="C20" s="3">
        <v>0</v>
      </c>
      <c r="D20" s="3">
        <v>50</v>
      </c>
      <c r="E20" s="3">
        <v>225</v>
      </c>
      <c r="F20" s="3">
        <v>467</v>
      </c>
      <c r="G20" s="3">
        <v>544</v>
      </c>
      <c r="H20" s="3">
        <v>535</v>
      </c>
      <c r="I20" s="3">
        <v>484</v>
      </c>
      <c r="J20" s="3">
        <v>157</v>
      </c>
      <c r="K20" s="3">
        <v>80</v>
      </c>
      <c r="L20" s="3">
        <v>0</v>
      </c>
      <c r="M20" s="3">
        <v>0</v>
      </c>
    </row>
    <row r="21" spans="1:13" x14ac:dyDescent="0.2">
      <c r="A21" s="2">
        <v>18</v>
      </c>
      <c r="B21" s="3">
        <v>0</v>
      </c>
      <c r="C21" s="3">
        <v>0</v>
      </c>
      <c r="D21" s="3">
        <v>60</v>
      </c>
      <c r="E21" s="3">
        <v>217</v>
      </c>
      <c r="F21" s="3">
        <v>452</v>
      </c>
      <c r="G21" s="3">
        <v>550</v>
      </c>
      <c r="H21" s="3">
        <v>497</v>
      </c>
      <c r="I21" s="3">
        <v>481</v>
      </c>
      <c r="J21" s="3">
        <v>145</v>
      </c>
      <c r="K21" s="3">
        <v>71</v>
      </c>
      <c r="L21" s="3">
        <v>0</v>
      </c>
      <c r="M21" s="3">
        <v>0</v>
      </c>
    </row>
    <row r="22" spans="1:13" x14ac:dyDescent="0.2">
      <c r="A22" s="2">
        <v>19</v>
      </c>
      <c r="B22" s="3">
        <v>0</v>
      </c>
      <c r="C22" s="3">
        <v>0</v>
      </c>
      <c r="D22" s="3">
        <v>68</v>
      </c>
      <c r="E22" s="3">
        <v>185</v>
      </c>
      <c r="F22" s="3">
        <v>495</v>
      </c>
      <c r="G22" s="3">
        <v>555</v>
      </c>
      <c r="H22" s="3">
        <v>452</v>
      </c>
      <c r="I22" s="3">
        <v>453</v>
      </c>
      <c r="J22" s="3">
        <v>125</v>
      </c>
      <c r="K22" s="3">
        <v>70</v>
      </c>
      <c r="L22" s="3">
        <v>0</v>
      </c>
      <c r="M22" s="3">
        <v>0</v>
      </c>
    </row>
    <row r="23" spans="1:13" x14ac:dyDescent="0.2">
      <c r="A23" s="2">
        <v>20</v>
      </c>
      <c r="B23" s="3">
        <v>0</v>
      </c>
      <c r="C23" s="3">
        <v>0</v>
      </c>
      <c r="D23" s="3">
        <v>78</v>
      </c>
      <c r="E23" s="3">
        <v>167</v>
      </c>
      <c r="F23" s="3">
        <v>499</v>
      </c>
      <c r="G23" s="3">
        <v>556</v>
      </c>
      <c r="H23" s="3">
        <v>497</v>
      </c>
      <c r="I23" s="3">
        <v>366</v>
      </c>
      <c r="J23" s="3">
        <v>119</v>
      </c>
      <c r="K23" s="3">
        <v>58</v>
      </c>
      <c r="L23" s="3">
        <v>0</v>
      </c>
      <c r="M23" s="3">
        <v>0</v>
      </c>
    </row>
    <row r="24" spans="1:13" x14ac:dyDescent="0.2">
      <c r="A24" s="2">
        <v>21</v>
      </c>
      <c r="B24" s="3">
        <v>0</v>
      </c>
      <c r="C24" s="3">
        <v>0</v>
      </c>
      <c r="D24" s="3">
        <v>86</v>
      </c>
      <c r="E24" s="3">
        <v>170</v>
      </c>
      <c r="F24" s="3">
        <v>494</v>
      </c>
      <c r="G24" s="3">
        <v>537</v>
      </c>
      <c r="H24" s="3">
        <v>457</v>
      </c>
      <c r="I24" s="3">
        <v>334</v>
      </c>
      <c r="J24" s="3">
        <v>118</v>
      </c>
      <c r="K24" s="3">
        <v>41</v>
      </c>
      <c r="L24" s="3">
        <v>0</v>
      </c>
      <c r="M24" s="3">
        <v>0</v>
      </c>
    </row>
    <row r="25" spans="1:13" x14ac:dyDescent="0.2">
      <c r="A25" s="2">
        <v>22</v>
      </c>
      <c r="B25" s="3">
        <v>0</v>
      </c>
      <c r="C25" s="3">
        <v>0</v>
      </c>
      <c r="D25" s="3">
        <v>86</v>
      </c>
      <c r="E25" s="3">
        <v>139</v>
      </c>
      <c r="F25" s="3">
        <v>492</v>
      </c>
      <c r="G25" s="3">
        <v>533</v>
      </c>
      <c r="H25" s="3">
        <v>433</v>
      </c>
      <c r="I25" s="3">
        <v>330</v>
      </c>
      <c r="J25" s="3">
        <v>137</v>
      </c>
      <c r="K25" s="3">
        <v>41</v>
      </c>
      <c r="L25" s="3">
        <v>0</v>
      </c>
      <c r="M25" s="3">
        <v>0</v>
      </c>
    </row>
    <row r="26" spans="1:13" x14ac:dyDescent="0.2">
      <c r="A26" s="2">
        <v>23</v>
      </c>
      <c r="B26" s="3">
        <v>0</v>
      </c>
      <c r="C26" s="3">
        <v>0</v>
      </c>
      <c r="D26" s="3">
        <v>84</v>
      </c>
      <c r="E26" s="3">
        <v>122</v>
      </c>
      <c r="F26" s="3">
        <v>491</v>
      </c>
      <c r="G26" s="3">
        <v>514</v>
      </c>
      <c r="H26" s="3">
        <v>421</v>
      </c>
      <c r="I26" s="3">
        <v>328</v>
      </c>
      <c r="J26" s="3">
        <v>135</v>
      </c>
      <c r="K26" s="3">
        <v>41</v>
      </c>
      <c r="L26" s="3">
        <v>0</v>
      </c>
      <c r="M26" s="3">
        <v>0</v>
      </c>
    </row>
    <row r="27" spans="1:13" x14ac:dyDescent="0.2">
      <c r="A27" s="2">
        <v>24</v>
      </c>
      <c r="B27" s="3">
        <v>0</v>
      </c>
      <c r="C27" s="3">
        <v>0</v>
      </c>
      <c r="D27" s="3">
        <v>129</v>
      </c>
      <c r="E27" s="3">
        <v>103</v>
      </c>
      <c r="F27" s="3">
        <v>459</v>
      </c>
      <c r="G27" s="3">
        <v>486</v>
      </c>
      <c r="H27" s="3">
        <v>429</v>
      </c>
      <c r="I27" s="3">
        <v>329</v>
      </c>
      <c r="J27" s="3">
        <v>122</v>
      </c>
      <c r="K27" s="3">
        <v>41</v>
      </c>
      <c r="L27" s="3">
        <v>0</v>
      </c>
      <c r="M27" s="3">
        <v>0</v>
      </c>
    </row>
    <row r="28" spans="1:13" x14ac:dyDescent="0.2">
      <c r="A28" s="2">
        <v>25</v>
      </c>
      <c r="B28" s="3">
        <v>0</v>
      </c>
      <c r="C28" s="3">
        <v>0</v>
      </c>
      <c r="D28" s="3">
        <v>133</v>
      </c>
      <c r="E28" s="3">
        <v>110</v>
      </c>
      <c r="F28" s="3">
        <v>447</v>
      </c>
      <c r="G28" s="3">
        <v>490</v>
      </c>
      <c r="H28" s="3">
        <v>443</v>
      </c>
      <c r="I28" s="3">
        <v>333</v>
      </c>
      <c r="J28" s="3">
        <v>118</v>
      </c>
      <c r="K28" s="3">
        <v>40</v>
      </c>
      <c r="L28" s="3">
        <v>0</v>
      </c>
      <c r="M28" s="3">
        <v>0</v>
      </c>
    </row>
    <row r="29" spans="1:13" x14ac:dyDescent="0.2">
      <c r="A29" s="2">
        <v>26</v>
      </c>
      <c r="B29" s="3">
        <v>0</v>
      </c>
      <c r="C29" s="3">
        <v>0</v>
      </c>
      <c r="D29" s="3">
        <v>137</v>
      </c>
      <c r="E29" s="3">
        <v>140</v>
      </c>
      <c r="F29" s="3">
        <v>438</v>
      </c>
      <c r="G29" s="3">
        <v>539</v>
      </c>
      <c r="H29" s="3">
        <v>426</v>
      </c>
      <c r="I29" s="3">
        <v>365</v>
      </c>
      <c r="J29" s="3">
        <v>113</v>
      </c>
      <c r="K29" s="3">
        <v>38</v>
      </c>
      <c r="L29" s="3">
        <v>0</v>
      </c>
      <c r="M29" s="3">
        <v>0</v>
      </c>
    </row>
    <row r="30" spans="1:13" x14ac:dyDescent="0.2">
      <c r="A30" s="2">
        <v>27</v>
      </c>
      <c r="B30" s="3">
        <v>0</v>
      </c>
      <c r="C30" s="3">
        <v>0</v>
      </c>
      <c r="D30" s="3">
        <v>194</v>
      </c>
      <c r="E30" s="3">
        <v>165</v>
      </c>
      <c r="F30" s="3">
        <v>433</v>
      </c>
      <c r="G30" s="3">
        <v>558</v>
      </c>
      <c r="H30" s="3">
        <v>385</v>
      </c>
      <c r="I30" s="3">
        <v>350</v>
      </c>
      <c r="J30" s="3">
        <v>90</v>
      </c>
      <c r="K30" s="3">
        <v>39</v>
      </c>
      <c r="L30" s="3">
        <v>0</v>
      </c>
      <c r="M30" s="3">
        <v>0</v>
      </c>
    </row>
    <row r="31" spans="1:13" x14ac:dyDescent="0.2">
      <c r="A31" s="2">
        <v>28</v>
      </c>
      <c r="B31" s="3">
        <v>0</v>
      </c>
      <c r="C31" s="3">
        <v>0</v>
      </c>
      <c r="D31" s="3">
        <v>175</v>
      </c>
      <c r="E31" s="3">
        <v>162</v>
      </c>
      <c r="F31" s="3">
        <v>422</v>
      </c>
      <c r="G31" s="3">
        <v>544</v>
      </c>
      <c r="H31" s="3">
        <v>409</v>
      </c>
      <c r="I31" s="3">
        <v>317</v>
      </c>
      <c r="J31" s="3">
        <v>76</v>
      </c>
      <c r="K31" s="3">
        <v>36</v>
      </c>
      <c r="L31" s="3">
        <v>0</v>
      </c>
      <c r="M31" s="3">
        <v>0</v>
      </c>
    </row>
    <row r="32" spans="1:13" x14ac:dyDescent="0.2">
      <c r="A32" s="2">
        <v>29</v>
      </c>
      <c r="B32" s="3">
        <v>0</v>
      </c>
      <c r="C32" t="s">
        <v>14</v>
      </c>
      <c r="D32" s="3">
        <v>196</v>
      </c>
      <c r="E32" s="3">
        <v>142</v>
      </c>
      <c r="F32" s="3">
        <v>391</v>
      </c>
      <c r="G32" s="3">
        <v>496</v>
      </c>
      <c r="H32" s="3">
        <v>361</v>
      </c>
      <c r="I32" s="3">
        <v>313</v>
      </c>
      <c r="J32" s="3">
        <v>85</v>
      </c>
      <c r="K32" s="3">
        <v>33</v>
      </c>
      <c r="L32" s="3">
        <v>0</v>
      </c>
      <c r="M32" s="3">
        <v>0</v>
      </c>
    </row>
    <row r="33" spans="1:14" x14ac:dyDescent="0.2">
      <c r="A33" s="2">
        <v>30</v>
      </c>
      <c r="B33" s="3">
        <v>0</v>
      </c>
      <c r="C33" t="s">
        <v>14</v>
      </c>
      <c r="D33" s="3">
        <v>229</v>
      </c>
      <c r="E33" s="3">
        <v>141</v>
      </c>
      <c r="F33" s="3">
        <v>372</v>
      </c>
      <c r="G33" s="3">
        <v>474</v>
      </c>
      <c r="H33" s="3">
        <v>319</v>
      </c>
      <c r="I33" s="3">
        <v>322</v>
      </c>
      <c r="J33" s="3">
        <v>89</v>
      </c>
      <c r="K33" s="3">
        <v>33</v>
      </c>
      <c r="L33" s="3">
        <v>0</v>
      </c>
      <c r="M33" s="3">
        <v>0</v>
      </c>
    </row>
    <row r="34" spans="1:14" x14ac:dyDescent="0.2">
      <c r="A34" s="2">
        <v>31</v>
      </c>
      <c r="B34" s="3">
        <v>0</v>
      </c>
      <c r="C34" t="s">
        <v>14</v>
      </c>
      <c r="D34" s="3">
        <v>262</v>
      </c>
      <c r="E34" t="s">
        <v>14</v>
      </c>
      <c r="F34" s="3">
        <v>370</v>
      </c>
      <c r="G34" t="s">
        <v>14</v>
      </c>
      <c r="H34" s="3">
        <v>308</v>
      </c>
      <c r="I34" s="3">
        <v>336</v>
      </c>
      <c r="J34" t="s">
        <v>14</v>
      </c>
      <c r="K34" s="3">
        <v>36</v>
      </c>
      <c r="L34" t="s">
        <v>14</v>
      </c>
      <c r="M34" s="3">
        <v>0</v>
      </c>
    </row>
    <row r="36" spans="1:14" x14ac:dyDescent="0.2">
      <c r="A36" t="s">
        <v>15</v>
      </c>
      <c r="B36" s="4">
        <f>SUM(B4:B35)</f>
        <v>0</v>
      </c>
      <c r="C36" s="4">
        <f t="shared" ref="C36:M36" si="0">SUM(C4:C35)</f>
        <v>0</v>
      </c>
      <c r="D36" s="4">
        <f t="shared" si="0"/>
        <v>2070</v>
      </c>
      <c r="E36" s="4">
        <f t="shared" si="0"/>
        <v>6490</v>
      </c>
      <c r="F36" s="4">
        <f t="shared" si="0"/>
        <v>11710</v>
      </c>
      <c r="G36" s="4">
        <f t="shared" si="0"/>
        <v>14181</v>
      </c>
      <c r="H36" s="4">
        <f t="shared" si="0"/>
        <v>14548</v>
      </c>
      <c r="I36" s="4">
        <f t="shared" si="0"/>
        <v>12030</v>
      </c>
      <c r="J36" s="4">
        <f t="shared" si="0"/>
        <v>6047</v>
      </c>
      <c r="K36" s="4">
        <f t="shared" si="0"/>
        <v>2030</v>
      </c>
      <c r="L36" s="4">
        <f t="shared" si="0"/>
        <v>185</v>
      </c>
      <c r="M36" s="4">
        <f t="shared" si="0"/>
        <v>0</v>
      </c>
      <c r="N36" s="4"/>
    </row>
    <row r="37" spans="1:14" x14ac:dyDescent="0.2">
      <c r="A37" t="s">
        <v>16</v>
      </c>
      <c r="B37" s="4">
        <f>+B36*1.98</f>
        <v>0</v>
      </c>
      <c r="C37" s="4">
        <f t="shared" ref="C37:M37" si="1">+C36*1.98</f>
        <v>0</v>
      </c>
      <c r="D37" s="4">
        <f t="shared" si="1"/>
        <v>4098.6000000000004</v>
      </c>
      <c r="E37" s="4">
        <f t="shared" si="1"/>
        <v>12850.2</v>
      </c>
      <c r="F37" s="4">
        <f t="shared" si="1"/>
        <v>23185.8</v>
      </c>
      <c r="G37" s="4">
        <f t="shared" si="1"/>
        <v>28078.38</v>
      </c>
      <c r="H37" s="4">
        <f t="shared" si="1"/>
        <v>28805.040000000001</v>
      </c>
      <c r="I37" s="4">
        <f t="shared" si="1"/>
        <v>23819.4</v>
      </c>
      <c r="J37" s="4">
        <f t="shared" si="1"/>
        <v>11973.06</v>
      </c>
      <c r="K37" s="4">
        <f t="shared" si="1"/>
        <v>4019.4</v>
      </c>
      <c r="L37" s="4">
        <f t="shared" si="1"/>
        <v>366.3</v>
      </c>
      <c r="M37" s="4">
        <f t="shared" si="1"/>
        <v>0</v>
      </c>
      <c r="N37" s="4"/>
    </row>
    <row r="38" spans="1:14" x14ac:dyDescent="0.2">
      <c r="A38" t="s">
        <v>17</v>
      </c>
      <c r="B38" s="4">
        <f>+B37</f>
        <v>0</v>
      </c>
      <c r="C38" s="4">
        <f>+B38+C37</f>
        <v>0</v>
      </c>
      <c r="D38" s="4">
        <f t="shared" ref="D38:M38" si="2">+C38+D37</f>
        <v>4098.6000000000004</v>
      </c>
      <c r="E38" s="4">
        <f t="shared" si="2"/>
        <v>16948.800000000003</v>
      </c>
      <c r="F38" s="4">
        <f t="shared" si="2"/>
        <v>40134.600000000006</v>
      </c>
      <c r="G38" s="4">
        <f t="shared" si="2"/>
        <v>68212.98000000001</v>
      </c>
      <c r="H38" s="4">
        <f t="shared" si="2"/>
        <v>97018.020000000019</v>
      </c>
      <c r="I38" s="4">
        <f t="shared" si="2"/>
        <v>120837.42000000001</v>
      </c>
      <c r="J38" s="4">
        <f t="shared" si="2"/>
        <v>132810.48000000001</v>
      </c>
      <c r="K38" s="4">
        <f t="shared" si="2"/>
        <v>136829.88</v>
      </c>
      <c r="L38" s="4">
        <f t="shared" si="2"/>
        <v>137196.18</v>
      </c>
      <c r="M38" s="4">
        <f t="shared" si="2"/>
        <v>137196.18</v>
      </c>
      <c r="N38" s="4"/>
    </row>
    <row r="39" spans="1:14" x14ac:dyDescent="0.2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">
      <c r="A40">
        <v>87</v>
      </c>
      <c r="B40" s="4" t="s">
        <v>14</v>
      </c>
      <c r="C40" s="4" t="s">
        <v>14</v>
      </c>
      <c r="D40" s="4">
        <v>4105</v>
      </c>
      <c r="E40" s="4">
        <v>21135</v>
      </c>
      <c r="F40" s="4">
        <v>25102</v>
      </c>
      <c r="G40" s="4">
        <v>27445</v>
      </c>
      <c r="H40" s="4">
        <v>21881</v>
      </c>
      <c r="I40" s="4">
        <v>23806</v>
      </c>
      <c r="J40" s="4">
        <v>12983</v>
      </c>
      <c r="K40" s="4">
        <v>7158</v>
      </c>
      <c r="L40" s="4">
        <v>1628</v>
      </c>
      <c r="M40" s="4">
        <v>0</v>
      </c>
      <c r="N40" s="4">
        <f>SUM(B40:M40)</f>
        <v>145243</v>
      </c>
    </row>
    <row r="41" spans="1:14" x14ac:dyDescent="0.2">
      <c r="A41">
        <v>88</v>
      </c>
      <c r="B41" s="4" t="s">
        <v>14</v>
      </c>
      <c r="C41" s="4" t="s">
        <v>14</v>
      </c>
      <c r="D41" s="4">
        <v>7114</v>
      </c>
      <c r="E41" s="4">
        <v>19085</v>
      </c>
      <c r="F41" s="4">
        <v>17178</v>
      </c>
      <c r="G41" s="4">
        <v>31062</v>
      </c>
      <c r="H41" s="4">
        <v>30538</v>
      </c>
      <c r="I41" s="4">
        <v>23016</v>
      </c>
      <c r="J41" s="4">
        <v>19382</v>
      </c>
      <c r="K41" s="4">
        <v>8874</v>
      </c>
      <c r="L41" s="4">
        <v>1808</v>
      </c>
      <c r="M41" s="4">
        <v>0</v>
      </c>
      <c r="N41" s="4">
        <f t="shared" ref="N41:N49" si="3">SUM(B41:M41)</f>
        <v>158057</v>
      </c>
    </row>
    <row r="42" spans="1:14" x14ac:dyDescent="0.2">
      <c r="A42">
        <v>89</v>
      </c>
      <c r="B42" s="4" t="s">
        <v>14</v>
      </c>
      <c r="C42" s="4"/>
      <c r="D42" s="4">
        <v>1899</v>
      </c>
      <c r="E42" s="4">
        <v>8975</v>
      </c>
      <c r="F42" s="4">
        <v>13424</v>
      </c>
      <c r="G42" s="4">
        <v>32084</v>
      </c>
      <c r="H42" s="4">
        <v>29637</v>
      </c>
      <c r="I42" s="4">
        <v>24675</v>
      </c>
      <c r="J42" s="4">
        <v>12882</v>
      </c>
      <c r="K42" s="4">
        <v>4522</v>
      </c>
      <c r="L42" s="4">
        <v>434</v>
      </c>
      <c r="M42" s="4">
        <v>0</v>
      </c>
      <c r="N42" s="4">
        <f t="shared" si="3"/>
        <v>128532</v>
      </c>
    </row>
    <row r="43" spans="1:14" x14ac:dyDescent="0.2">
      <c r="A43">
        <v>90</v>
      </c>
      <c r="B43" s="4"/>
      <c r="C43" s="4"/>
      <c r="D43" s="4">
        <v>1679</v>
      </c>
      <c r="E43" s="4">
        <v>15206</v>
      </c>
      <c r="F43" s="4">
        <v>20113</v>
      </c>
      <c r="G43" s="4">
        <v>27801</v>
      </c>
      <c r="H43" s="4">
        <v>30846</v>
      </c>
      <c r="I43" s="4">
        <v>22778</v>
      </c>
      <c r="J43" s="4">
        <v>15777</v>
      </c>
      <c r="K43" s="4">
        <v>5067</v>
      </c>
      <c r="L43" s="4">
        <v>2002</v>
      </c>
      <c r="M43" s="4">
        <v>0</v>
      </c>
      <c r="N43" s="4">
        <f t="shared" si="3"/>
        <v>141269</v>
      </c>
    </row>
    <row r="44" spans="1:14" x14ac:dyDescent="0.2">
      <c r="A44">
        <v>91</v>
      </c>
      <c r="B44" s="4"/>
      <c r="C44" s="4"/>
      <c r="D44" s="4">
        <v>2467</v>
      </c>
      <c r="E44" s="4">
        <v>17089</v>
      </c>
      <c r="F44" s="4">
        <v>11880</v>
      </c>
      <c r="G44" s="4">
        <v>31050</v>
      </c>
      <c r="H44" s="4">
        <v>29948</v>
      </c>
      <c r="I44" s="4">
        <v>25770</v>
      </c>
      <c r="J44" s="4">
        <v>19034</v>
      </c>
      <c r="K44" s="4">
        <v>8031</v>
      </c>
      <c r="L44" s="4">
        <v>42</v>
      </c>
      <c r="M44" s="4">
        <v>0</v>
      </c>
      <c r="N44" s="4">
        <f t="shared" si="3"/>
        <v>145311</v>
      </c>
    </row>
    <row r="45" spans="1:14" x14ac:dyDescent="0.2">
      <c r="A45">
        <v>92</v>
      </c>
      <c r="B45" s="4"/>
      <c r="C45" s="4"/>
      <c r="D45" s="4">
        <v>1394</v>
      </c>
      <c r="E45" s="4">
        <v>24768</v>
      </c>
      <c r="F45" s="4">
        <v>28639</v>
      </c>
      <c r="G45" s="4">
        <v>30292</v>
      </c>
      <c r="H45" s="4">
        <v>21441</v>
      </c>
      <c r="I45" s="4">
        <v>21321</v>
      </c>
      <c r="J45" s="4">
        <v>8039</v>
      </c>
      <c r="K45" s="4">
        <v>0</v>
      </c>
      <c r="L45" s="4">
        <v>0</v>
      </c>
      <c r="M45" s="4">
        <v>0</v>
      </c>
      <c r="N45" s="4">
        <f t="shared" si="3"/>
        <v>135894</v>
      </c>
    </row>
    <row r="46" spans="1:14" x14ac:dyDescent="0.2">
      <c r="A46">
        <v>93</v>
      </c>
      <c r="B46" s="4"/>
      <c r="C46" s="4"/>
      <c r="D46" s="4">
        <v>697</v>
      </c>
      <c r="E46" s="4">
        <v>5853</v>
      </c>
      <c r="F46" s="4">
        <v>19216</v>
      </c>
      <c r="G46" s="4">
        <v>26184</v>
      </c>
      <c r="H46" s="4">
        <v>28233</v>
      </c>
      <c r="I46" s="4">
        <v>21558</v>
      </c>
      <c r="J46" s="4">
        <v>13050</v>
      </c>
      <c r="K46" s="4">
        <v>4437</v>
      </c>
      <c r="L46" s="4">
        <v>259</v>
      </c>
      <c r="M46" s="4">
        <v>0</v>
      </c>
      <c r="N46" s="4">
        <f t="shared" si="3"/>
        <v>119487</v>
      </c>
    </row>
    <row r="47" spans="1:14" x14ac:dyDescent="0.2">
      <c r="A47">
        <v>94</v>
      </c>
      <c r="B47" s="4"/>
      <c r="C47" s="4"/>
      <c r="D47" s="4">
        <v>7332</v>
      </c>
      <c r="E47" s="4">
        <v>24204</v>
      </c>
      <c r="F47" s="4">
        <v>14705</v>
      </c>
      <c r="G47" s="4">
        <v>31557</v>
      </c>
      <c r="H47" s="4">
        <v>31607</v>
      </c>
      <c r="I47" s="4">
        <v>26477</v>
      </c>
      <c r="J47" s="4">
        <v>8682</v>
      </c>
      <c r="K47" s="4">
        <v>0</v>
      </c>
      <c r="L47" s="4">
        <v>0</v>
      </c>
      <c r="M47" s="4">
        <v>0</v>
      </c>
      <c r="N47" s="4">
        <f t="shared" si="3"/>
        <v>144564</v>
      </c>
    </row>
    <row r="48" spans="1:14" x14ac:dyDescent="0.2">
      <c r="A48">
        <v>95</v>
      </c>
      <c r="B48" s="4"/>
      <c r="C48" s="4"/>
      <c r="D48" s="4">
        <v>1327</v>
      </c>
      <c r="E48" s="4">
        <v>6061</v>
      </c>
      <c r="F48" s="4">
        <v>12098</v>
      </c>
      <c r="G48" s="4">
        <v>22386</v>
      </c>
      <c r="H48" s="4">
        <v>28211</v>
      </c>
      <c r="I48" s="4">
        <v>26130</v>
      </c>
      <c r="J48" s="4">
        <v>17173</v>
      </c>
      <c r="K48" s="4">
        <v>5718</v>
      </c>
      <c r="L48" s="4">
        <v>596</v>
      </c>
      <c r="M48" s="4">
        <v>0</v>
      </c>
      <c r="N48" s="4">
        <f t="shared" si="3"/>
        <v>119700</v>
      </c>
    </row>
    <row r="49" spans="1:14" x14ac:dyDescent="0.2">
      <c r="A49">
        <v>96</v>
      </c>
      <c r="B49" s="4"/>
      <c r="C49" s="4"/>
      <c r="D49" s="4">
        <v>752</v>
      </c>
      <c r="E49" s="4">
        <v>7884</v>
      </c>
      <c r="F49" s="4">
        <v>16547</v>
      </c>
      <c r="G49" s="4">
        <v>32777</v>
      </c>
      <c r="H49" s="4">
        <v>30375</v>
      </c>
      <c r="I49" s="4">
        <v>23459</v>
      </c>
      <c r="J49" s="4">
        <v>16133</v>
      </c>
      <c r="K49" s="4">
        <v>5199</v>
      </c>
      <c r="L49" s="4">
        <v>723</v>
      </c>
      <c r="M49" s="4">
        <v>0</v>
      </c>
      <c r="N49" s="4">
        <f t="shared" si="3"/>
        <v>133849</v>
      </c>
    </row>
    <row r="51" spans="1:14" x14ac:dyDescent="0.2">
      <c r="A51" t="s">
        <v>18</v>
      </c>
      <c r="B51" s="5" t="s">
        <v>14</v>
      </c>
      <c r="C51" s="5" t="s">
        <v>14</v>
      </c>
      <c r="D51" s="5">
        <f t="shared" ref="D51:M51" si="4">AVERAGE(D40:D49)</f>
        <v>2876.6</v>
      </c>
      <c r="E51" s="5">
        <f t="shared" si="4"/>
        <v>15026</v>
      </c>
      <c r="F51" s="5">
        <f t="shared" si="4"/>
        <v>17890.2</v>
      </c>
      <c r="G51" s="5">
        <f t="shared" si="4"/>
        <v>29263.8</v>
      </c>
      <c r="H51" s="5">
        <f t="shared" si="4"/>
        <v>28271.7</v>
      </c>
      <c r="I51" s="5">
        <f t="shared" si="4"/>
        <v>23899</v>
      </c>
      <c r="J51" s="5">
        <f t="shared" si="4"/>
        <v>14313.5</v>
      </c>
      <c r="K51" s="5">
        <f t="shared" si="4"/>
        <v>4900.6000000000004</v>
      </c>
      <c r="L51" s="5">
        <f t="shared" si="4"/>
        <v>749.2</v>
      </c>
      <c r="M51" s="5">
        <f t="shared" si="4"/>
        <v>0</v>
      </c>
    </row>
    <row r="52" spans="1:14" x14ac:dyDescent="0.2">
      <c r="B52" s="5" t="s">
        <v>14</v>
      </c>
      <c r="C52" s="5" t="s">
        <v>14</v>
      </c>
      <c r="D52" s="5">
        <f>+D51</f>
        <v>2876.6</v>
      </c>
      <c r="E52" s="5">
        <f t="shared" ref="E52:M52" si="5">+D52+E51</f>
        <v>17902.599999999999</v>
      </c>
      <c r="F52" s="5">
        <f t="shared" si="5"/>
        <v>35792.800000000003</v>
      </c>
      <c r="G52" s="5">
        <f t="shared" si="5"/>
        <v>65056.600000000006</v>
      </c>
      <c r="H52" s="5">
        <f t="shared" si="5"/>
        <v>93328.3</v>
      </c>
      <c r="I52" s="5">
        <f t="shared" si="5"/>
        <v>117227.3</v>
      </c>
      <c r="J52" s="5">
        <f t="shared" si="5"/>
        <v>131540.79999999999</v>
      </c>
      <c r="K52" s="5">
        <f t="shared" si="5"/>
        <v>136441.4</v>
      </c>
      <c r="L52" s="5">
        <f t="shared" si="5"/>
        <v>137190.6</v>
      </c>
      <c r="M52" s="5">
        <f t="shared" si="5"/>
        <v>137190.6</v>
      </c>
      <c r="N52" s="5">
        <f>AVERAGE(N40:N49)</f>
        <v>137190.6</v>
      </c>
    </row>
  </sheetData>
  <sheetProtection sheet="1" objects="1" scenarios="1"/>
  <pageMargins left="0.16" right="0.12" top="1" bottom="1" header="0.44" footer="0.5"/>
  <pageSetup scale="76" orientation="portrait" horizontalDpi="180" verticalDpi="180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cols>
    <col min="1" max="1" width="9.7109375" customWidth="1"/>
    <col min="2" max="2" width="10" customWidth="1"/>
    <col min="3" max="14" width="9.7109375" customWidth="1"/>
  </cols>
  <sheetData>
    <row r="1" spans="1:13" x14ac:dyDescent="0.2">
      <c r="A1" t="s">
        <v>19</v>
      </c>
      <c r="K1" t="s">
        <v>19</v>
      </c>
    </row>
    <row r="3" spans="1:13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</row>
    <row r="4" spans="1:13" x14ac:dyDescent="0.2">
      <c r="A4" s="2">
        <v>1</v>
      </c>
      <c r="B4" s="3">
        <v>0</v>
      </c>
      <c r="C4" s="3">
        <v>0</v>
      </c>
      <c r="D4" s="3">
        <v>0</v>
      </c>
      <c r="E4" s="3">
        <v>350</v>
      </c>
      <c r="F4" s="3">
        <v>42</v>
      </c>
      <c r="G4" s="3">
        <v>150</v>
      </c>
      <c r="H4" s="3">
        <v>263</v>
      </c>
      <c r="I4" s="3">
        <v>0</v>
      </c>
      <c r="J4" s="3">
        <v>165</v>
      </c>
      <c r="K4" s="3">
        <v>0</v>
      </c>
      <c r="L4" s="3">
        <v>0</v>
      </c>
      <c r="M4" s="3">
        <v>0</v>
      </c>
    </row>
    <row r="5" spans="1:13" x14ac:dyDescent="0.2">
      <c r="A5" s="2">
        <v>2</v>
      </c>
      <c r="B5" s="3">
        <v>0</v>
      </c>
      <c r="C5" s="3">
        <v>0</v>
      </c>
      <c r="D5" s="3">
        <v>0</v>
      </c>
      <c r="E5" s="3">
        <v>371</v>
      </c>
      <c r="F5" s="3">
        <v>75</v>
      </c>
      <c r="G5" s="3">
        <v>198</v>
      </c>
      <c r="H5" s="3">
        <v>290</v>
      </c>
      <c r="I5" s="3">
        <v>69</v>
      </c>
      <c r="J5" s="3">
        <v>200</v>
      </c>
      <c r="K5" s="3">
        <v>0</v>
      </c>
      <c r="L5" s="3">
        <v>0</v>
      </c>
      <c r="M5" s="3">
        <v>0</v>
      </c>
    </row>
    <row r="6" spans="1:13" x14ac:dyDescent="0.2">
      <c r="A6" s="2">
        <v>3</v>
      </c>
      <c r="B6" s="3">
        <v>0</v>
      </c>
      <c r="C6" s="3">
        <v>0</v>
      </c>
      <c r="D6" s="3">
        <v>0</v>
      </c>
      <c r="E6" s="3">
        <v>400</v>
      </c>
      <c r="F6" s="3">
        <v>75</v>
      </c>
      <c r="G6" s="3">
        <v>250</v>
      </c>
      <c r="H6" s="3">
        <v>283</v>
      </c>
      <c r="I6" s="3">
        <v>169</v>
      </c>
      <c r="J6" s="3">
        <v>215</v>
      </c>
      <c r="K6" s="3">
        <v>0</v>
      </c>
      <c r="L6" s="3">
        <v>0</v>
      </c>
      <c r="M6" s="3">
        <v>0</v>
      </c>
    </row>
    <row r="7" spans="1:13" x14ac:dyDescent="0.2">
      <c r="A7" s="2">
        <v>4</v>
      </c>
      <c r="B7" s="3">
        <v>0</v>
      </c>
      <c r="C7" s="3">
        <v>0</v>
      </c>
      <c r="D7" s="3">
        <v>0</v>
      </c>
      <c r="E7" s="3">
        <v>400</v>
      </c>
      <c r="F7" s="3">
        <v>94</v>
      </c>
      <c r="G7" s="3">
        <v>167</v>
      </c>
      <c r="H7" s="3">
        <v>250</v>
      </c>
      <c r="I7" s="3">
        <v>238</v>
      </c>
      <c r="J7" s="3">
        <v>219</v>
      </c>
      <c r="K7" s="3">
        <v>0</v>
      </c>
      <c r="L7" s="3">
        <v>0</v>
      </c>
      <c r="M7" s="3">
        <v>0</v>
      </c>
    </row>
    <row r="8" spans="1:13" x14ac:dyDescent="0.2">
      <c r="A8" s="2">
        <v>5</v>
      </c>
      <c r="B8" s="3">
        <v>0</v>
      </c>
      <c r="C8" s="3">
        <v>0</v>
      </c>
      <c r="D8" s="3">
        <v>0</v>
      </c>
      <c r="E8" s="3">
        <v>367</v>
      </c>
      <c r="F8" s="3">
        <v>156</v>
      </c>
      <c r="G8" s="3">
        <v>163</v>
      </c>
      <c r="H8" s="3">
        <v>250</v>
      </c>
      <c r="I8" s="3">
        <v>288</v>
      </c>
      <c r="J8" s="3">
        <v>185</v>
      </c>
      <c r="K8" s="3">
        <v>0</v>
      </c>
      <c r="L8" s="3">
        <v>0</v>
      </c>
      <c r="M8" s="3">
        <v>0</v>
      </c>
    </row>
    <row r="9" spans="1:13" x14ac:dyDescent="0.2">
      <c r="A9" s="2">
        <v>6</v>
      </c>
      <c r="B9" s="3">
        <v>0</v>
      </c>
      <c r="C9" s="3">
        <v>0</v>
      </c>
      <c r="D9" s="3">
        <v>0</v>
      </c>
      <c r="E9" s="3">
        <v>367</v>
      </c>
      <c r="F9" s="3">
        <v>200</v>
      </c>
      <c r="G9" s="3">
        <v>200</v>
      </c>
      <c r="H9" s="3">
        <v>283</v>
      </c>
      <c r="I9" s="3">
        <v>223</v>
      </c>
      <c r="J9" s="3">
        <v>169</v>
      </c>
      <c r="K9" s="3">
        <v>0</v>
      </c>
      <c r="L9" s="3">
        <v>0</v>
      </c>
      <c r="M9" s="3">
        <v>0</v>
      </c>
    </row>
    <row r="10" spans="1:13" x14ac:dyDescent="0.2">
      <c r="A10" s="2">
        <v>7</v>
      </c>
      <c r="B10" s="3">
        <v>0</v>
      </c>
      <c r="C10" s="3">
        <v>0</v>
      </c>
      <c r="D10" s="3">
        <v>0</v>
      </c>
      <c r="E10" s="3">
        <v>300</v>
      </c>
      <c r="F10" s="3">
        <v>216</v>
      </c>
      <c r="G10" s="3">
        <v>233</v>
      </c>
      <c r="H10" s="3">
        <v>321</v>
      </c>
      <c r="I10" s="3">
        <v>271</v>
      </c>
      <c r="J10" s="3">
        <v>150</v>
      </c>
      <c r="K10" s="3">
        <v>0</v>
      </c>
      <c r="L10" s="3">
        <v>0</v>
      </c>
      <c r="M10" s="3">
        <v>0</v>
      </c>
    </row>
    <row r="11" spans="1:13" x14ac:dyDescent="0.2">
      <c r="A11" s="2">
        <v>8</v>
      </c>
      <c r="B11" s="3">
        <v>0</v>
      </c>
      <c r="C11" s="3">
        <v>0</v>
      </c>
      <c r="D11" s="3">
        <v>0</v>
      </c>
      <c r="E11" s="3">
        <v>355</v>
      </c>
      <c r="F11" s="3">
        <v>250</v>
      </c>
      <c r="G11" s="3">
        <v>285</v>
      </c>
      <c r="H11" s="3">
        <v>438</v>
      </c>
      <c r="I11" s="3">
        <v>317</v>
      </c>
      <c r="J11" s="3">
        <v>83</v>
      </c>
      <c r="K11" s="3">
        <v>0</v>
      </c>
      <c r="L11" s="3">
        <v>0</v>
      </c>
      <c r="M11" s="3">
        <v>0</v>
      </c>
    </row>
    <row r="12" spans="1:13" x14ac:dyDescent="0.2">
      <c r="A12" s="2">
        <v>9</v>
      </c>
      <c r="B12" s="3">
        <v>0</v>
      </c>
      <c r="C12" s="3">
        <v>0</v>
      </c>
      <c r="D12" s="3">
        <v>0</v>
      </c>
      <c r="E12" s="3">
        <v>292</v>
      </c>
      <c r="F12" s="3">
        <v>250</v>
      </c>
      <c r="G12" s="3">
        <v>300</v>
      </c>
      <c r="H12" s="3">
        <v>450</v>
      </c>
      <c r="I12" s="3">
        <v>366</v>
      </c>
      <c r="J12" s="3">
        <v>79</v>
      </c>
      <c r="K12" s="3">
        <v>0</v>
      </c>
      <c r="L12" s="3">
        <v>0</v>
      </c>
      <c r="M12" s="3">
        <v>0</v>
      </c>
    </row>
    <row r="13" spans="1:13" x14ac:dyDescent="0.2">
      <c r="A13" s="2">
        <v>10</v>
      </c>
      <c r="B13" s="3">
        <v>0</v>
      </c>
      <c r="C13" s="3">
        <v>0</v>
      </c>
      <c r="D13" s="3">
        <v>0</v>
      </c>
      <c r="E13" s="3">
        <v>173</v>
      </c>
      <c r="F13" s="3">
        <v>217</v>
      </c>
      <c r="G13" s="3">
        <v>277</v>
      </c>
      <c r="H13" s="3">
        <v>487</v>
      </c>
      <c r="I13" s="3">
        <v>294</v>
      </c>
      <c r="J13" s="3">
        <v>100</v>
      </c>
      <c r="K13" s="3">
        <v>0</v>
      </c>
      <c r="L13" s="3">
        <v>0</v>
      </c>
      <c r="M13" s="3">
        <v>0</v>
      </c>
    </row>
    <row r="14" spans="1:13" x14ac:dyDescent="0.2">
      <c r="A14" s="2">
        <v>11</v>
      </c>
      <c r="B14" s="3">
        <v>0</v>
      </c>
      <c r="C14" s="3">
        <v>0</v>
      </c>
      <c r="D14" s="3">
        <v>0</v>
      </c>
      <c r="E14" s="3">
        <v>126</v>
      </c>
      <c r="F14" s="3">
        <v>238</v>
      </c>
      <c r="G14" s="3">
        <v>264</v>
      </c>
      <c r="H14" s="3">
        <v>438</v>
      </c>
      <c r="I14" s="3">
        <v>273</v>
      </c>
      <c r="J14" s="3">
        <v>100</v>
      </c>
      <c r="K14" s="3">
        <v>0</v>
      </c>
      <c r="L14" s="3">
        <v>0</v>
      </c>
      <c r="M14" s="3">
        <v>0</v>
      </c>
    </row>
    <row r="15" spans="1:13" x14ac:dyDescent="0.2">
      <c r="A15" s="2">
        <v>12</v>
      </c>
      <c r="B15" s="3">
        <v>0</v>
      </c>
      <c r="C15" s="3">
        <v>0</v>
      </c>
      <c r="D15" s="3">
        <v>0</v>
      </c>
      <c r="E15" s="3">
        <v>150</v>
      </c>
      <c r="F15" s="3">
        <v>300</v>
      </c>
      <c r="G15" s="3">
        <v>202</v>
      </c>
      <c r="H15" s="3">
        <v>413</v>
      </c>
      <c r="I15" s="3">
        <v>267</v>
      </c>
      <c r="J15" s="3">
        <v>84</v>
      </c>
      <c r="K15" s="3">
        <v>0</v>
      </c>
      <c r="L15" s="3">
        <v>0</v>
      </c>
      <c r="M15" s="3">
        <v>0</v>
      </c>
    </row>
    <row r="16" spans="1:13" x14ac:dyDescent="0.2">
      <c r="A16" s="2">
        <v>13</v>
      </c>
      <c r="B16" s="3">
        <v>0</v>
      </c>
      <c r="C16" s="3">
        <v>0</v>
      </c>
      <c r="D16" s="3">
        <v>0</v>
      </c>
      <c r="E16" s="3">
        <v>117</v>
      </c>
      <c r="F16" s="3">
        <v>300</v>
      </c>
      <c r="G16" s="3">
        <v>194</v>
      </c>
      <c r="H16" s="3">
        <v>379</v>
      </c>
      <c r="I16" s="3">
        <v>317</v>
      </c>
      <c r="J16" s="3">
        <v>50</v>
      </c>
      <c r="K16" s="3">
        <v>0</v>
      </c>
      <c r="L16" s="3">
        <v>0</v>
      </c>
      <c r="M16" s="3">
        <v>0</v>
      </c>
    </row>
    <row r="17" spans="1:13" x14ac:dyDescent="0.2">
      <c r="A17" s="2">
        <v>14</v>
      </c>
      <c r="B17" s="3">
        <v>0</v>
      </c>
      <c r="C17" s="3">
        <v>0</v>
      </c>
      <c r="D17" s="3">
        <v>14</v>
      </c>
      <c r="E17" s="3">
        <v>100</v>
      </c>
      <c r="F17" s="3">
        <v>273</v>
      </c>
      <c r="G17" s="3">
        <v>192</v>
      </c>
      <c r="H17" s="3">
        <v>331</v>
      </c>
      <c r="I17" s="3">
        <v>302</v>
      </c>
      <c r="J17" s="3">
        <v>23</v>
      </c>
      <c r="K17" s="3">
        <v>0</v>
      </c>
      <c r="L17" s="3">
        <v>0</v>
      </c>
      <c r="M17" s="3">
        <v>0</v>
      </c>
    </row>
    <row r="18" spans="1:13" x14ac:dyDescent="0.2">
      <c r="A18" s="2">
        <v>15</v>
      </c>
      <c r="B18" s="3">
        <v>0</v>
      </c>
      <c r="C18" s="3">
        <v>0</v>
      </c>
      <c r="D18" s="3">
        <v>25</v>
      </c>
      <c r="E18" s="3">
        <v>116</v>
      </c>
      <c r="F18" s="3">
        <v>290</v>
      </c>
      <c r="G18" s="3">
        <v>200</v>
      </c>
      <c r="H18" s="3">
        <v>338</v>
      </c>
      <c r="I18" s="3">
        <v>300</v>
      </c>
      <c r="J18" s="3">
        <v>23</v>
      </c>
      <c r="K18" s="3">
        <v>0</v>
      </c>
      <c r="L18" s="3">
        <v>0</v>
      </c>
      <c r="M18" s="3">
        <v>0</v>
      </c>
    </row>
    <row r="19" spans="1:13" x14ac:dyDescent="0.2">
      <c r="A19" s="2">
        <v>16</v>
      </c>
      <c r="B19" s="3">
        <v>0</v>
      </c>
      <c r="C19" s="3">
        <v>0</v>
      </c>
      <c r="D19" s="3">
        <v>25</v>
      </c>
      <c r="E19" s="3">
        <v>115</v>
      </c>
      <c r="F19" s="3">
        <v>335</v>
      </c>
      <c r="G19" s="3">
        <v>289</v>
      </c>
      <c r="H19" s="3">
        <v>300</v>
      </c>
      <c r="I19" s="3">
        <v>300</v>
      </c>
      <c r="J19" s="3">
        <v>11</v>
      </c>
      <c r="K19" s="3">
        <v>0</v>
      </c>
      <c r="L19" s="3">
        <v>0</v>
      </c>
      <c r="M19" s="3">
        <v>0</v>
      </c>
    </row>
    <row r="20" spans="1:13" x14ac:dyDescent="0.2">
      <c r="A20" s="2">
        <v>17</v>
      </c>
      <c r="B20" s="3">
        <v>0</v>
      </c>
      <c r="C20" s="3">
        <v>0</v>
      </c>
      <c r="D20" s="3">
        <v>25</v>
      </c>
      <c r="E20" s="3">
        <v>100</v>
      </c>
      <c r="F20" s="3">
        <v>300</v>
      </c>
      <c r="G20" s="3">
        <v>396</v>
      </c>
      <c r="H20" s="3">
        <v>312</v>
      </c>
      <c r="I20" s="3">
        <v>300</v>
      </c>
      <c r="J20" s="3">
        <v>0</v>
      </c>
      <c r="K20" s="3">
        <v>0</v>
      </c>
      <c r="L20" s="3">
        <v>0</v>
      </c>
      <c r="M20" s="3">
        <v>0</v>
      </c>
    </row>
    <row r="21" spans="1:13" x14ac:dyDescent="0.2">
      <c r="A21" s="2">
        <v>18</v>
      </c>
      <c r="B21" s="3">
        <v>0</v>
      </c>
      <c r="C21" s="3">
        <v>0</v>
      </c>
      <c r="D21" s="3">
        <v>25</v>
      </c>
      <c r="E21" s="3">
        <v>65</v>
      </c>
      <c r="F21" s="3">
        <v>300</v>
      </c>
      <c r="G21" s="3">
        <v>450</v>
      </c>
      <c r="H21" s="3">
        <v>299</v>
      </c>
      <c r="I21" s="3">
        <v>300</v>
      </c>
      <c r="J21" s="3">
        <v>0</v>
      </c>
      <c r="K21" s="3">
        <v>0</v>
      </c>
      <c r="L21" s="3">
        <v>0</v>
      </c>
      <c r="M21" s="3">
        <v>0</v>
      </c>
    </row>
    <row r="22" spans="1:13" x14ac:dyDescent="0.2">
      <c r="A22" s="2">
        <v>19</v>
      </c>
      <c r="B22" s="3">
        <v>0</v>
      </c>
      <c r="C22" s="3">
        <v>0</v>
      </c>
      <c r="D22" s="3">
        <v>33</v>
      </c>
      <c r="E22" s="3">
        <v>42</v>
      </c>
      <c r="F22" s="3">
        <v>285</v>
      </c>
      <c r="G22" s="3">
        <v>415</v>
      </c>
      <c r="H22" s="3">
        <v>218</v>
      </c>
      <c r="I22" s="3">
        <v>300</v>
      </c>
      <c r="J22" s="3">
        <v>0</v>
      </c>
      <c r="K22" s="3">
        <v>0</v>
      </c>
      <c r="L22" s="3">
        <v>0</v>
      </c>
      <c r="M22" s="3">
        <v>0</v>
      </c>
    </row>
    <row r="23" spans="1:13" x14ac:dyDescent="0.2">
      <c r="A23" s="2">
        <v>20</v>
      </c>
      <c r="B23" s="3">
        <v>0</v>
      </c>
      <c r="C23" s="3">
        <v>0</v>
      </c>
      <c r="D23" s="3">
        <v>50</v>
      </c>
      <c r="E23" s="3">
        <v>25</v>
      </c>
      <c r="F23" s="3">
        <v>319</v>
      </c>
      <c r="G23" s="3">
        <v>365</v>
      </c>
      <c r="H23" s="3">
        <v>200</v>
      </c>
      <c r="I23" s="3">
        <v>194</v>
      </c>
      <c r="J23" s="3">
        <v>0</v>
      </c>
      <c r="K23" s="3">
        <v>0</v>
      </c>
      <c r="L23" s="3">
        <v>0</v>
      </c>
      <c r="M23" s="3">
        <v>0</v>
      </c>
    </row>
    <row r="24" spans="1:13" x14ac:dyDescent="0.2">
      <c r="A24" s="2">
        <v>21</v>
      </c>
      <c r="B24" s="3">
        <v>0</v>
      </c>
      <c r="C24" s="3">
        <v>0</v>
      </c>
      <c r="D24" s="3">
        <v>50</v>
      </c>
      <c r="E24" s="3">
        <v>9</v>
      </c>
      <c r="F24" s="3">
        <v>415</v>
      </c>
      <c r="G24" s="3">
        <v>350</v>
      </c>
      <c r="H24" s="3">
        <v>200</v>
      </c>
      <c r="I24" s="3">
        <v>179</v>
      </c>
      <c r="J24" s="3">
        <v>0</v>
      </c>
      <c r="K24" s="3">
        <v>0</v>
      </c>
      <c r="L24" s="3">
        <v>0</v>
      </c>
      <c r="M24" s="3">
        <v>0</v>
      </c>
    </row>
    <row r="25" spans="1:13" x14ac:dyDescent="0.2">
      <c r="A25" s="2">
        <v>22</v>
      </c>
      <c r="B25" s="3">
        <v>0</v>
      </c>
      <c r="C25" s="3">
        <v>0</v>
      </c>
      <c r="D25" s="3">
        <v>50</v>
      </c>
      <c r="E25" s="3">
        <v>0</v>
      </c>
      <c r="F25" s="3">
        <v>400</v>
      </c>
      <c r="G25" s="3">
        <v>390</v>
      </c>
      <c r="H25" s="3">
        <v>213</v>
      </c>
      <c r="I25" s="3">
        <v>131</v>
      </c>
      <c r="J25" s="3">
        <v>0</v>
      </c>
      <c r="K25" s="3">
        <v>0</v>
      </c>
      <c r="L25" s="3">
        <v>0</v>
      </c>
      <c r="M25" s="3">
        <v>0</v>
      </c>
    </row>
    <row r="26" spans="1:13" x14ac:dyDescent="0.2">
      <c r="A26" s="2">
        <v>23</v>
      </c>
      <c r="B26" s="3">
        <v>0</v>
      </c>
      <c r="C26" s="3">
        <v>0</v>
      </c>
      <c r="D26" s="3">
        <v>58</v>
      </c>
      <c r="E26" s="3">
        <v>0</v>
      </c>
      <c r="F26" s="3">
        <v>323</v>
      </c>
      <c r="G26" s="3">
        <v>254</v>
      </c>
      <c r="H26" s="3">
        <v>250</v>
      </c>
      <c r="I26" s="3">
        <v>119</v>
      </c>
      <c r="J26" s="3">
        <v>0</v>
      </c>
      <c r="K26" s="3">
        <v>0</v>
      </c>
      <c r="L26" s="3">
        <v>0</v>
      </c>
      <c r="M26" s="3">
        <v>0</v>
      </c>
    </row>
    <row r="27" spans="1:13" x14ac:dyDescent="0.2">
      <c r="A27" s="2">
        <v>24</v>
      </c>
      <c r="B27" s="3">
        <v>0</v>
      </c>
      <c r="C27" s="3">
        <v>0</v>
      </c>
      <c r="D27" s="3">
        <v>83</v>
      </c>
      <c r="E27" s="3">
        <v>0</v>
      </c>
      <c r="F27" s="3">
        <v>267</v>
      </c>
      <c r="G27" s="3">
        <v>313</v>
      </c>
      <c r="H27" s="3">
        <v>250</v>
      </c>
      <c r="I27" s="3">
        <v>171</v>
      </c>
      <c r="J27" s="3">
        <v>0</v>
      </c>
      <c r="K27" s="3">
        <v>0</v>
      </c>
      <c r="L27" s="3">
        <v>0</v>
      </c>
      <c r="M27" s="3">
        <v>0</v>
      </c>
    </row>
    <row r="28" spans="1:13" x14ac:dyDescent="0.2">
      <c r="A28" s="2">
        <v>25</v>
      </c>
      <c r="B28" s="3">
        <v>0</v>
      </c>
      <c r="C28" s="3">
        <v>0</v>
      </c>
      <c r="D28" s="3">
        <v>117</v>
      </c>
      <c r="E28" s="3">
        <v>0</v>
      </c>
      <c r="F28" s="3">
        <v>250</v>
      </c>
      <c r="G28" s="3">
        <v>369</v>
      </c>
      <c r="H28" s="3">
        <v>277</v>
      </c>
      <c r="I28" s="3">
        <v>181</v>
      </c>
      <c r="J28" s="3">
        <v>0</v>
      </c>
      <c r="K28" s="3">
        <v>0</v>
      </c>
      <c r="L28" s="3">
        <v>0</v>
      </c>
      <c r="M28" s="3">
        <v>0</v>
      </c>
    </row>
    <row r="29" spans="1:13" x14ac:dyDescent="0.2">
      <c r="A29" s="2">
        <v>26</v>
      </c>
      <c r="B29" s="3">
        <v>0</v>
      </c>
      <c r="C29" s="3">
        <v>0</v>
      </c>
      <c r="D29" s="3">
        <v>150</v>
      </c>
      <c r="E29" s="3">
        <v>0</v>
      </c>
      <c r="F29" s="3">
        <v>250</v>
      </c>
      <c r="G29" s="3">
        <v>438</v>
      </c>
      <c r="H29" s="3">
        <v>265</v>
      </c>
      <c r="I29" s="3">
        <v>230</v>
      </c>
      <c r="J29" s="3">
        <v>0</v>
      </c>
      <c r="K29" s="3">
        <v>0</v>
      </c>
      <c r="L29" s="3">
        <v>0</v>
      </c>
      <c r="M29" s="3">
        <v>0</v>
      </c>
    </row>
    <row r="30" spans="1:13" x14ac:dyDescent="0.2">
      <c r="A30" s="2">
        <v>27</v>
      </c>
      <c r="B30" s="3">
        <v>0</v>
      </c>
      <c r="C30" s="3">
        <v>0</v>
      </c>
      <c r="D30" s="3">
        <v>173</v>
      </c>
      <c r="E30" s="3">
        <v>67</v>
      </c>
      <c r="F30" s="3">
        <v>231</v>
      </c>
      <c r="G30" s="3">
        <v>525</v>
      </c>
      <c r="H30" s="3">
        <v>221</v>
      </c>
      <c r="I30" s="3">
        <v>179</v>
      </c>
      <c r="J30" s="3">
        <v>0</v>
      </c>
      <c r="K30" s="3">
        <v>0</v>
      </c>
      <c r="L30" s="3">
        <v>0</v>
      </c>
      <c r="M30" s="3">
        <v>0</v>
      </c>
    </row>
    <row r="31" spans="1:13" x14ac:dyDescent="0.2">
      <c r="A31" s="2">
        <v>28</v>
      </c>
      <c r="B31" s="3">
        <v>0</v>
      </c>
      <c r="C31" s="3">
        <v>0</v>
      </c>
      <c r="D31" s="3">
        <v>177</v>
      </c>
      <c r="E31" s="3">
        <v>71</v>
      </c>
      <c r="F31" s="3">
        <v>185</v>
      </c>
      <c r="G31" s="3">
        <v>395</v>
      </c>
      <c r="H31" s="3">
        <v>200</v>
      </c>
      <c r="I31" s="3">
        <v>202</v>
      </c>
      <c r="J31" s="3">
        <v>0</v>
      </c>
      <c r="K31" s="3">
        <v>0</v>
      </c>
      <c r="L31" s="3">
        <v>0</v>
      </c>
      <c r="M31" s="3">
        <v>0</v>
      </c>
    </row>
    <row r="32" spans="1:13" x14ac:dyDescent="0.2">
      <c r="A32" s="2">
        <v>29</v>
      </c>
      <c r="B32" s="3">
        <v>0</v>
      </c>
      <c r="C32" s="7" t="s">
        <v>14</v>
      </c>
      <c r="D32" s="3">
        <v>167</v>
      </c>
      <c r="E32" s="3">
        <v>42</v>
      </c>
      <c r="F32" s="3">
        <v>121</v>
      </c>
      <c r="G32" s="3">
        <v>352</v>
      </c>
      <c r="H32" s="3">
        <v>120</v>
      </c>
      <c r="I32" s="3">
        <v>200</v>
      </c>
      <c r="J32" s="3">
        <v>0</v>
      </c>
      <c r="K32" s="3">
        <v>0</v>
      </c>
      <c r="L32" s="3">
        <v>0</v>
      </c>
      <c r="M32" s="3">
        <v>0</v>
      </c>
    </row>
    <row r="33" spans="1:14" x14ac:dyDescent="0.2">
      <c r="A33" s="2">
        <v>30</v>
      </c>
      <c r="B33" s="3">
        <v>0</v>
      </c>
      <c r="C33" s="7" t="s">
        <v>14</v>
      </c>
      <c r="D33" s="3">
        <v>231</v>
      </c>
      <c r="E33" s="3">
        <v>25</v>
      </c>
      <c r="F33" s="3">
        <v>100</v>
      </c>
      <c r="G33" s="3">
        <v>281</v>
      </c>
      <c r="H33" s="3">
        <v>50</v>
      </c>
      <c r="I33" s="3">
        <v>200</v>
      </c>
      <c r="J33" s="3">
        <v>0</v>
      </c>
      <c r="K33" s="3">
        <v>0</v>
      </c>
      <c r="L33" s="3">
        <v>0</v>
      </c>
      <c r="M33" s="3">
        <v>0</v>
      </c>
    </row>
    <row r="34" spans="1:14" x14ac:dyDescent="0.2">
      <c r="A34" s="2">
        <v>31</v>
      </c>
      <c r="B34" s="3">
        <v>0</v>
      </c>
      <c r="C34" s="7" t="s">
        <v>14</v>
      </c>
      <c r="D34" s="3">
        <v>313</v>
      </c>
      <c r="E34" s="7" t="s">
        <v>14</v>
      </c>
      <c r="F34" s="3">
        <v>123</v>
      </c>
      <c r="G34" s="7" t="s">
        <v>14</v>
      </c>
      <c r="H34" s="3">
        <v>31</v>
      </c>
      <c r="I34" s="3">
        <v>173</v>
      </c>
      <c r="J34" s="7" t="s">
        <v>14</v>
      </c>
      <c r="K34" s="3">
        <v>0</v>
      </c>
      <c r="L34" s="7" t="s">
        <v>14</v>
      </c>
      <c r="M34" s="3">
        <v>0</v>
      </c>
    </row>
    <row r="36" spans="1:14" x14ac:dyDescent="0.2">
      <c r="A36" s="7" t="s">
        <v>15</v>
      </c>
      <c r="B36" s="4">
        <f>SUM(B4:B35)</f>
        <v>0</v>
      </c>
      <c r="C36" s="4">
        <f t="shared" ref="C36:M36" si="0">SUM(C4:C35)</f>
        <v>0</v>
      </c>
      <c r="D36" s="4">
        <f t="shared" si="0"/>
        <v>1766</v>
      </c>
      <c r="E36" s="4">
        <f t="shared" si="0"/>
        <v>4545</v>
      </c>
      <c r="F36" s="4">
        <f t="shared" si="0"/>
        <v>7180</v>
      </c>
      <c r="G36" s="4">
        <f t="shared" si="0"/>
        <v>8857</v>
      </c>
      <c r="H36" s="4">
        <f t="shared" si="0"/>
        <v>8620</v>
      </c>
      <c r="I36" s="4">
        <f t="shared" si="0"/>
        <v>7053</v>
      </c>
      <c r="J36" s="4">
        <f t="shared" si="0"/>
        <v>1856</v>
      </c>
      <c r="K36" s="4">
        <f t="shared" si="0"/>
        <v>0</v>
      </c>
      <c r="L36" s="4">
        <f t="shared" si="0"/>
        <v>0</v>
      </c>
      <c r="M36" s="4">
        <f t="shared" si="0"/>
        <v>0</v>
      </c>
      <c r="N36" s="4"/>
    </row>
    <row r="37" spans="1:14" x14ac:dyDescent="0.2">
      <c r="A37" s="7" t="s">
        <v>16</v>
      </c>
      <c r="B37" s="4">
        <f>B36*1.98</f>
        <v>0</v>
      </c>
      <c r="C37" s="4">
        <f t="shared" ref="C37:M37" si="1">C36*1.98</f>
        <v>0</v>
      </c>
      <c r="D37" s="4">
        <f t="shared" si="1"/>
        <v>3496.68</v>
      </c>
      <c r="E37" s="4">
        <f t="shared" si="1"/>
        <v>8999.1</v>
      </c>
      <c r="F37" s="4">
        <f t="shared" si="1"/>
        <v>14216.4</v>
      </c>
      <c r="G37" s="4">
        <f t="shared" si="1"/>
        <v>17536.86</v>
      </c>
      <c r="H37" s="4">
        <f t="shared" si="1"/>
        <v>17067.599999999999</v>
      </c>
      <c r="I37" s="4">
        <f t="shared" si="1"/>
        <v>13964.94</v>
      </c>
      <c r="J37" s="4">
        <f t="shared" si="1"/>
        <v>3674.88</v>
      </c>
      <c r="K37" s="4">
        <f t="shared" si="1"/>
        <v>0</v>
      </c>
      <c r="L37" s="4">
        <f t="shared" si="1"/>
        <v>0</v>
      </c>
      <c r="M37" s="4">
        <f t="shared" si="1"/>
        <v>0</v>
      </c>
      <c r="N37" s="4"/>
    </row>
    <row r="38" spans="1:14" x14ac:dyDescent="0.2">
      <c r="A38" s="7" t="s">
        <v>17</v>
      </c>
      <c r="B38" s="4">
        <f>+B37</f>
        <v>0</v>
      </c>
      <c r="C38" s="4">
        <f>+B38+C37</f>
        <v>0</v>
      </c>
      <c r="D38" s="4">
        <f t="shared" ref="D38:M38" si="2">+C38+D37</f>
        <v>3496.68</v>
      </c>
      <c r="E38" s="4">
        <f t="shared" si="2"/>
        <v>12495.78</v>
      </c>
      <c r="F38" s="4">
        <f t="shared" si="2"/>
        <v>26712.18</v>
      </c>
      <c r="G38" s="4">
        <f t="shared" si="2"/>
        <v>44249.04</v>
      </c>
      <c r="H38" s="4">
        <f t="shared" si="2"/>
        <v>61316.639999999999</v>
      </c>
      <c r="I38" s="4">
        <f t="shared" si="2"/>
        <v>75281.58</v>
      </c>
      <c r="J38" s="4">
        <f t="shared" si="2"/>
        <v>78956.460000000006</v>
      </c>
      <c r="K38" s="4">
        <f t="shared" si="2"/>
        <v>78956.460000000006</v>
      </c>
      <c r="L38" s="4">
        <f t="shared" si="2"/>
        <v>78956.460000000006</v>
      </c>
      <c r="M38" s="4">
        <f t="shared" si="2"/>
        <v>78956.460000000006</v>
      </c>
      <c r="N38" s="4"/>
    </row>
    <row r="39" spans="1:14" x14ac:dyDescent="0.2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">
      <c r="A40">
        <v>87</v>
      </c>
      <c r="B40" s="8">
        <v>0</v>
      </c>
      <c r="C40" s="9">
        <v>0</v>
      </c>
      <c r="D40" s="9">
        <v>2932</v>
      </c>
      <c r="E40" s="9">
        <v>15583</v>
      </c>
      <c r="F40" s="9">
        <v>8587</v>
      </c>
      <c r="G40" s="9">
        <v>13795</v>
      </c>
      <c r="H40" s="9">
        <v>10646</v>
      </c>
      <c r="I40" s="9">
        <v>8859</v>
      </c>
      <c r="J40" s="9">
        <v>667</v>
      </c>
      <c r="K40" s="9">
        <v>0</v>
      </c>
      <c r="L40" s="9">
        <v>770</v>
      </c>
      <c r="M40" s="9">
        <v>0</v>
      </c>
      <c r="N40" s="4">
        <f>SUM(B40:M40)</f>
        <v>61839</v>
      </c>
    </row>
    <row r="41" spans="1:14" x14ac:dyDescent="0.2">
      <c r="A41">
        <v>88</v>
      </c>
      <c r="B41" s="9">
        <v>0</v>
      </c>
      <c r="C41" s="9">
        <v>0</v>
      </c>
      <c r="D41" s="9">
        <v>5829</v>
      </c>
      <c r="E41" s="9">
        <v>11815</v>
      </c>
      <c r="F41" s="9">
        <v>4485</v>
      </c>
      <c r="G41" s="9">
        <v>18279</v>
      </c>
      <c r="H41" s="9">
        <v>13880</v>
      </c>
      <c r="I41" s="9">
        <v>7500</v>
      </c>
      <c r="J41" s="9">
        <v>2958</v>
      </c>
      <c r="K41" s="9">
        <v>2962</v>
      </c>
      <c r="L41" s="9">
        <v>1067</v>
      </c>
      <c r="M41" s="9">
        <v>0</v>
      </c>
      <c r="N41" s="4">
        <f t="shared" ref="N41:N49" si="3">SUM(B41:M41)</f>
        <v>68775</v>
      </c>
    </row>
    <row r="42" spans="1:14" x14ac:dyDescent="0.2">
      <c r="A42">
        <v>89</v>
      </c>
      <c r="B42" s="9">
        <v>0</v>
      </c>
      <c r="C42" s="9">
        <v>0</v>
      </c>
      <c r="D42" s="9">
        <v>1016</v>
      </c>
      <c r="E42" s="9">
        <v>4609</v>
      </c>
      <c r="F42" s="9">
        <v>2303</v>
      </c>
      <c r="G42" s="9">
        <v>21273</v>
      </c>
      <c r="H42" s="9">
        <v>17274</v>
      </c>
      <c r="I42" s="9">
        <v>8168</v>
      </c>
      <c r="J42" s="9">
        <v>341</v>
      </c>
      <c r="K42" s="9">
        <v>784</v>
      </c>
      <c r="L42" s="9">
        <v>0</v>
      </c>
      <c r="M42" s="9">
        <v>0</v>
      </c>
      <c r="N42" s="4">
        <f t="shared" si="3"/>
        <v>55768</v>
      </c>
    </row>
    <row r="43" spans="1:14" x14ac:dyDescent="0.2">
      <c r="A43">
        <v>90</v>
      </c>
      <c r="B43" s="9">
        <v>0</v>
      </c>
      <c r="C43" s="9">
        <v>0</v>
      </c>
      <c r="D43" s="9">
        <v>1152</v>
      </c>
      <c r="E43" s="9">
        <v>10611</v>
      </c>
      <c r="F43" s="9">
        <v>4364</v>
      </c>
      <c r="G43" s="9">
        <v>17792</v>
      </c>
      <c r="H43" s="9">
        <v>20242</v>
      </c>
      <c r="I43" s="9">
        <v>7989</v>
      </c>
      <c r="J43" s="9">
        <v>2132</v>
      </c>
      <c r="K43" s="9">
        <v>937</v>
      </c>
      <c r="L43" s="9">
        <v>1051</v>
      </c>
      <c r="M43" s="9">
        <v>1081</v>
      </c>
      <c r="N43" s="4">
        <f t="shared" si="3"/>
        <v>67351</v>
      </c>
    </row>
    <row r="44" spans="1:14" x14ac:dyDescent="0.2">
      <c r="A44">
        <v>91</v>
      </c>
      <c r="B44" s="9">
        <v>0</v>
      </c>
      <c r="C44" s="9">
        <v>0</v>
      </c>
      <c r="D44" s="9">
        <v>2285</v>
      </c>
      <c r="E44" s="9">
        <v>16030</v>
      </c>
      <c r="F44" s="9">
        <v>2501</v>
      </c>
      <c r="G44" s="9">
        <v>20087</v>
      </c>
      <c r="H44" s="9">
        <v>19105</v>
      </c>
      <c r="I44" s="9">
        <v>13310</v>
      </c>
      <c r="J44" s="9">
        <v>5635</v>
      </c>
      <c r="K44" s="9">
        <v>4221</v>
      </c>
      <c r="L44" s="9">
        <v>0</v>
      </c>
      <c r="M44" s="9">
        <v>0</v>
      </c>
      <c r="N44" s="4">
        <f t="shared" si="3"/>
        <v>83174</v>
      </c>
    </row>
    <row r="45" spans="1:14" x14ac:dyDescent="0.2">
      <c r="A45">
        <v>92</v>
      </c>
      <c r="B45" s="9">
        <v>0</v>
      </c>
      <c r="C45" s="9">
        <v>0</v>
      </c>
      <c r="D45" s="9">
        <v>1509</v>
      </c>
      <c r="E45" s="9">
        <v>20095</v>
      </c>
      <c r="F45" s="9">
        <v>17309</v>
      </c>
      <c r="G45" s="9">
        <v>19630</v>
      </c>
      <c r="H45" s="9">
        <v>15501</v>
      </c>
      <c r="I45" s="9">
        <v>15002</v>
      </c>
      <c r="J45" s="9">
        <v>4520</v>
      </c>
      <c r="K45" s="9">
        <v>0</v>
      </c>
      <c r="L45" s="9">
        <v>0</v>
      </c>
      <c r="M45" s="9">
        <v>0</v>
      </c>
      <c r="N45" s="4">
        <f t="shared" si="3"/>
        <v>93566</v>
      </c>
    </row>
    <row r="46" spans="1:14" x14ac:dyDescent="0.2">
      <c r="A46">
        <v>93</v>
      </c>
      <c r="B46" s="9">
        <v>0</v>
      </c>
      <c r="C46" s="9">
        <v>0</v>
      </c>
      <c r="D46" s="10">
        <v>0</v>
      </c>
      <c r="E46" s="9">
        <v>3291</v>
      </c>
      <c r="F46" s="9">
        <v>12799</v>
      </c>
      <c r="G46" s="9">
        <v>17788</v>
      </c>
      <c r="H46" s="9">
        <v>20465</v>
      </c>
      <c r="I46" s="9">
        <v>12327</v>
      </c>
      <c r="J46" s="9">
        <v>2942</v>
      </c>
      <c r="K46" s="9">
        <v>83</v>
      </c>
      <c r="L46" s="9">
        <v>0</v>
      </c>
      <c r="M46" s="9">
        <v>0</v>
      </c>
      <c r="N46" s="4">
        <f t="shared" si="3"/>
        <v>69695</v>
      </c>
    </row>
    <row r="47" spans="1:14" x14ac:dyDescent="0.2">
      <c r="A47">
        <v>94</v>
      </c>
      <c r="B47" s="9">
        <v>0</v>
      </c>
      <c r="C47" s="9">
        <v>0</v>
      </c>
      <c r="D47" s="9">
        <v>8070</v>
      </c>
      <c r="E47" s="9">
        <v>24914</v>
      </c>
      <c r="F47" s="9">
        <v>8162</v>
      </c>
      <c r="G47" s="9">
        <v>23255</v>
      </c>
      <c r="H47" s="9">
        <v>25128</v>
      </c>
      <c r="I47" s="9">
        <v>20491</v>
      </c>
      <c r="J47" s="9">
        <v>4483</v>
      </c>
      <c r="K47" s="9">
        <v>0</v>
      </c>
      <c r="L47" s="9">
        <v>0</v>
      </c>
      <c r="M47" s="9">
        <v>0</v>
      </c>
      <c r="N47" s="4">
        <f t="shared" si="3"/>
        <v>114503</v>
      </c>
    </row>
    <row r="48" spans="1:14" x14ac:dyDescent="0.2">
      <c r="A48">
        <v>95</v>
      </c>
      <c r="B48" s="9">
        <v>1501</v>
      </c>
      <c r="C48" s="9">
        <v>0</v>
      </c>
      <c r="D48" s="9">
        <v>99</v>
      </c>
      <c r="E48" s="9">
        <v>2378</v>
      </c>
      <c r="F48" s="9">
        <v>5265</v>
      </c>
      <c r="G48" s="9">
        <v>13953</v>
      </c>
      <c r="H48" s="9">
        <v>19715</v>
      </c>
      <c r="I48" s="9">
        <v>16624</v>
      </c>
      <c r="J48" s="9">
        <v>3928</v>
      </c>
      <c r="K48" s="9">
        <v>430</v>
      </c>
      <c r="L48" s="9">
        <v>127</v>
      </c>
      <c r="M48" s="9">
        <v>0</v>
      </c>
      <c r="N48" s="4">
        <f t="shared" si="3"/>
        <v>64020</v>
      </c>
    </row>
    <row r="49" spans="1:14" x14ac:dyDescent="0.2">
      <c r="A49">
        <v>96</v>
      </c>
      <c r="B49" s="9">
        <v>0</v>
      </c>
      <c r="C49" s="9">
        <v>0</v>
      </c>
      <c r="D49" s="9">
        <v>238</v>
      </c>
      <c r="E49" s="9">
        <v>4473</v>
      </c>
      <c r="F49" s="9">
        <v>6397</v>
      </c>
      <c r="G49" s="9">
        <v>20905</v>
      </c>
      <c r="H49" s="9">
        <v>22820</v>
      </c>
      <c r="I49" s="9">
        <v>13369</v>
      </c>
      <c r="J49" s="9">
        <v>3388</v>
      </c>
      <c r="K49" s="9">
        <v>97</v>
      </c>
      <c r="L49" s="9">
        <v>0</v>
      </c>
      <c r="M49" s="9">
        <v>0</v>
      </c>
      <c r="N49" s="4">
        <f t="shared" si="3"/>
        <v>71687</v>
      </c>
    </row>
    <row r="51" spans="1:14" x14ac:dyDescent="0.2">
      <c r="A51" s="7" t="s">
        <v>18</v>
      </c>
      <c r="B51" s="5">
        <f t="shared" ref="B51:M51" si="4">AVERAGE(B40:B49)</f>
        <v>150.1</v>
      </c>
      <c r="C51" s="5">
        <f t="shared" si="4"/>
        <v>0</v>
      </c>
      <c r="D51" s="5">
        <f t="shared" si="4"/>
        <v>2313</v>
      </c>
      <c r="E51" s="5">
        <f t="shared" si="4"/>
        <v>11379.9</v>
      </c>
      <c r="F51" s="5">
        <f t="shared" si="4"/>
        <v>7217.2</v>
      </c>
      <c r="G51" s="5">
        <f t="shared" si="4"/>
        <v>18675.7</v>
      </c>
      <c r="H51" s="5">
        <f t="shared" si="4"/>
        <v>18477.599999999999</v>
      </c>
      <c r="I51" s="5">
        <f t="shared" si="4"/>
        <v>12363.9</v>
      </c>
      <c r="J51" s="5">
        <f t="shared" si="4"/>
        <v>3099.4</v>
      </c>
      <c r="K51" s="5">
        <f t="shared" si="4"/>
        <v>951.4</v>
      </c>
      <c r="L51" s="5">
        <f t="shared" si="4"/>
        <v>301.5</v>
      </c>
      <c r="M51" s="5">
        <f t="shared" si="4"/>
        <v>108.1</v>
      </c>
    </row>
    <row r="52" spans="1:14" x14ac:dyDescent="0.2">
      <c r="B52" s="5">
        <f>+B51</f>
        <v>150.1</v>
      </c>
      <c r="C52" s="5">
        <f t="shared" ref="C52:M52" si="5">+B52+C51</f>
        <v>150.1</v>
      </c>
      <c r="D52" s="5">
        <f t="shared" si="5"/>
        <v>2463.1</v>
      </c>
      <c r="E52" s="5">
        <f t="shared" si="5"/>
        <v>13843</v>
      </c>
      <c r="F52" s="5">
        <f t="shared" si="5"/>
        <v>21060.2</v>
      </c>
      <c r="G52" s="5">
        <f t="shared" si="5"/>
        <v>39735.9</v>
      </c>
      <c r="H52" s="5">
        <f t="shared" si="5"/>
        <v>58213.5</v>
      </c>
      <c r="I52" s="5">
        <f t="shared" si="5"/>
        <v>70577.399999999994</v>
      </c>
      <c r="J52" s="5">
        <f t="shared" si="5"/>
        <v>73676.799999999988</v>
      </c>
      <c r="K52" s="5">
        <f t="shared" si="5"/>
        <v>74628.199999999983</v>
      </c>
      <c r="L52" s="5">
        <f t="shared" si="5"/>
        <v>74929.699999999983</v>
      </c>
      <c r="M52" s="5">
        <f t="shared" si="5"/>
        <v>75037.799999999988</v>
      </c>
      <c r="N52" s="5">
        <f>AVERAGE(N40:N49)</f>
        <v>75037.8</v>
      </c>
    </row>
  </sheetData>
  <sheetProtection sheet="1" objects="1" scenarios="1"/>
  <pageMargins left="0.13" right="0.14000000000000001" top="1" bottom="1" header="0.49" footer="0.5"/>
  <pageSetup scale="76" orientation="portrait" horizontalDpi="180" verticalDpi="180" r:id="rId1"/>
  <headerFooter alignWithMargins="0">
    <oddHeader>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cols>
    <col min="1" max="14" width="9.7109375" customWidth="1"/>
  </cols>
  <sheetData>
    <row r="1" spans="1:13" x14ac:dyDescent="0.2">
      <c r="A1" s="7" t="s">
        <v>20</v>
      </c>
      <c r="J1" s="7" t="s">
        <v>20</v>
      </c>
    </row>
    <row r="3" spans="1:13" x14ac:dyDescent="0.2">
      <c r="A3" s="6" t="s">
        <v>1</v>
      </c>
      <c r="B3" s="11" t="s">
        <v>21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</row>
    <row r="4" spans="1:13" x14ac:dyDescent="0.2">
      <c r="A4" s="2">
        <v>1</v>
      </c>
      <c r="B4" s="3">
        <v>331</v>
      </c>
      <c r="C4" s="3">
        <v>148</v>
      </c>
      <c r="D4" s="3">
        <v>74</v>
      </c>
      <c r="E4" s="3">
        <v>23</v>
      </c>
      <c r="F4" s="3">
        <v>50</v>
      </c>
      <c r="G4" s="3">
        <v>0</v>
      </c>
      <c r="H4" s="3">
        <v>0</v>
      </c>
      <c r="I4" s="3">
        <v>1</v>
      </c>
      <c r="J4" s="3">
        <v>0</v>
      </c>
      <c r="K4" s="3">
        <v>55</v>
      </c>
      <c r="L4" s="3">
        <v>0</v>
      </c>
      <c r="M4" s="3">
        <v>37</v>
      </c>
    </row>
    <row r="5" spans="1:13" x14ac:dyDescent="0.2">
      <c r="A5" s="2">
        <v>2</v>
      </c>
      <c r="B5" s="3">
        <v>566</v>
      </c>
      <c r="C5" s="3">
        <v>129</v>
      </c>
      <c r="D5" s="3">
        <v>75</v>
      </c>
      <c r="E5" s="3">
        <v>50</v>
      </c>
      <c r="F5" s="3">
        <v>50</v>
      </c>
      <c r="G5" s="3">
        <v>0</v>
      </c>
      <c r="H5" s="3">
        <v>0</v>
      </c>
      <c r="I5" s="3">
        <v>0</v>
      </c>
      <c r="J5" s="3">
        <v>0</v>
      </c>
      <c r="K5" s="3">
        <v>119</v>
      </c>
      <c r="L5" s="3">
        <v>0</v>
      </c>
      <c r="M5" s="3">
        <v>27</v>
      </c>
    </row>
    <row r="6" spans="1:13" x14ac:dyDescent="0.2">
      <c r="A6" s="2">
        <v>3</v>
      </c>
      <c r="B6" s="3">
        <v>899</v>
      </c>
      <c r="C6" s="3">
        <v>101</v>
      </c>
      <c r="D6" s="3">
        <v>75</v>
      </c>
      <c r="E6" s="3">
        <v>50</v>
      </c>
      <c r="F6" s="3">
        <v>50</v>
      </c>
      <c r="G6" s="3">
        <v>3</v>
      </c>
      <c r="H6" s="3">
        <v>0</v>
      </c>
      <c r="I6" s="3">
        <v>0</v>
      </c>
      <c r="J6" s="3">
        <v>0</v>
      </c>
      <c r="K6" s="3">
        <v>99</v>
      </c>
      <c r="L6" s="3">
        <v>0</v>
      </c>
      <c r="M6" s="3">
        <v>27</v>
      </c>
    </row>
    <row r="7" spans="1:13" x14ac:dyDescent="0.2">
      <c r="A7" s="2">
        <v>4</v>
      </c>
      <c r="B7" s="3">
        <v>506</v>
      </c>
      <c r="C7" s="3">
        <v>92</v>
      </c>
      <c r="D7" s="3">
        <v>75</v>
      </c>
      <c r="E7" s="3">
        <v>50</v>
      </c>
      <c r="F7" s="3">
        <v>50</v>
      </c>
      <c r="G7" s="3">
        <v>0</v>
      </c>
      <c r="H7" s="3">
        <v>0</v>
      </c>
      <c r="I7" s="3">
        <v>0</v>
      </c>
      <c r="J7" s="3">
        <v>0</v>
      </c>
      <c r="K7" s="3">
        <v>89</v>
      </c>
      <c r="L7" s="3">
        <v>0</v>
      </c>
      <c r="M7" s="3">
        <v>28</v>
      </c>
    </row>
    <row r="8" spans="1:13" x14ac:dyDescent="0.2">
      <c r="A8" s="2">
        <v>5</v>
      </c>
      <c r="B8" s="3">
        <v>255</v>
      </c>
      <c r="C8" s="3">
        <v>80</v>
      </c>
      <c r="D8" s="3">
        <v>84</v>
      </c>
      <c r="E8" s="3">
        <v>50</v>
      </c>
      <c r="F8" s="3">
        <v>50</v>
      </c>
      <c r="G8" s="3">
        <v>0</v>
      </c>
      <c r="H8" s="3">
        <v>0</v>
      </c>
      <c r="I8" s="3">
        <v>0</v>
      </c>
      <c r="J8" s="3">
        <v>0</v>
      </c>
      <c r="K8" s="3">
        <v>81</v>
      </c>
      <c r="L8" s="3">
        <v>0</v>
      </c>
      <c r="M8" s="3">
        <v>28</v>
      </c>
    </row>
    <row r="9" spans="1:13" x14ac:dyDescent="0.2">
      <c r="A9" s="2">
        <v>6</v>
      </c>
      <c r="B9" s="3">
        <v>202</v>
      </c>
      <c r="C9" s="3">
        <v>73</v>
      </c>
      <c r="D9" s="3">
        <v>94</v>
      </c>
      <c r="E9" s="3">
        <v>50</v>
      </c>
      <c r="F9" s="3">
        <v>50</v>
      </c>
      <c r="G9" s="3">
        <v>0</v>
      </c>
      <c r="H9" s="3">
        <v>0</v>
      </c>
      <c r="I9" s="3">
        <v>0</v>
      </c>
      <c r="J9" s="3">
        <v>0</v>
      </c>
      <c r="K9" s="3">
        <v>88</v>
      </c>
      <c r="L9" s="3">
        <v>0</v>
      </c>
      <c r="M9" s="3">
        <v>28</v>
      </c>
    </row>
    <row r="10" spans="1:13" x14ac:dyDescent="0.2">
      <c r="A10" s="2">
        <v>7</v>
      </c>
      <c r="B10" s="3">
        <v>191</v>
      </c>
      <c r="C10" s="3">
        <v>73</v>
      </c>
      <c r="D10" s="3">
        <v>85</v>
      </c>
      <c r="E10" s="3">
        <v>50</v>
      </c>
      <c r="F10" s="3">
        <v>50</v>
      </c>
      <c r="G10" s="3">
        <v>0</v>
      </c>
      <c r="H10" s="3">
        <v>0</v>
      </c>
      <c r="I10" s="3">
        <v>0</v>
      </c>
      <c r="J10" s="3">
        <v>52</v>
      </c>
      <c r="K10" s="3">
        <v>106</v>
      </c>
      <c r="L10" s="3">
        <v>23</v>
      </c>
      <c r="M10" s="3">
        <v>28</v>
      </c>
    </row>
    <row r="11" spans="1:13" x14ac:dyDescent="0.2">
      <c r="A11" s="2">
        <v>8</v>
      </c>
      <c r="B11" s="3">
        <v>190</v>
      </c>
      <c r="C11" s="3">
        <v>73</v>
      </c>
      <c r="D11" s="3">
        <v>74</v>
      </c>
      <c r="E11" s="3">
        <v>50</v>
      </c>
      <c r="F11" s="3">
        <v>50</v>
      </c>
      <c r="G11" s="3">
        <v>0</v>
      </c>
      <c r="H11" s="3">
        <v>0</v>
      </c>
      <c r="I11" s="3">
        <v>0</v>
      </c>
      <c r="J11" s="3">
        <v>48</v>
      </c>
      <c r="K11" s="3">
        <v>95</v>
      </c>
      <c r="L11" s="3">
        <v>53</v>
      </c>
      <c r="M11" s="3">
        <v>28</v>
      </c>
    </row>
    <row r="12" spans="1:13" x14ac:dyDescent="0.2">
      <c r="A12" s="2">
        <v>9</v>
      </c>
      <c r="B12" s="3">
        <v>169</v>
      </c>
      <c r="C12" s="3">
        <v>74</v>
      </c>
      <c r="D12" s="3">
        <v>74</v>
      </c>
      <c r="E12" s="3">
        <v>75</v>
      </c>
      <c r="F12" s="3">
        <v>50</v>
      </c>
      <c r="G12" s="3">
        <v>20</v>
      </c>
      <c r="H12" s="3">
        <v>0</v>
      </c>
      <c r="I12" s="3">
        <v>0</v>
      </c>
      <c r="J12" s="3">
        <v>0</v>
      </c>
      <c r="K12" s="3">
        <v>104</v>
      </c>
      <c r="L12" s="3">
        <v>49</v>
      </c>
      <c r="M12" s="3">
        <v>39</v>
      </c>
    </row>
    <row r="13" spans="1:13" x14ac:dyDescent="0.2">
      <c r="A13" s="2">
        <v>10</v>
      </c>
      <c r="B13" s="3">
        <v>148</v>
      </c>
      <c r="C13" s="3">
        <v>96</v>
      </c>
      <c r="D13" s="3">
        <v>62</v>
      </c>
      <c r="E13" s="3">
        <v>84</v>
      </c>
      <c r="F13" s="3">
        <v>50</v>
      </c>
      <c r="G13" s="3">
        <v>17</v>
      </c>
      <c r="H13" s="3">
        <v>0</v>
      </c>
      <c r="I13" s="3">
        <v>13</v>
      </c>
      <c r="J13" s="3">
        <v>0</v>
      </c>
      <c r="K13" s="3">
        <v>104</v>
      </c>
      <c r="L13" s="3">
        <v>46</v>
      </c>
      <c r="M13" s="3">
        <v>48</v>
      </c>
    </row>
    <row r="14" spans="1:13" x14ac:dyDescent="0.2">
      <c r="A14" s="2">
        <v>11</v>
      </c>
      <c r="B14" s="3">
        <v>147</v>
      </c>
      <c r="C14" s="3">
        <v>113</v>
      </c>
      <c r="D14" s="3">
        <v>39</v>
      </c>
      <c r="E14" s="3">
        <v>50</v>
      </c>
      <c r="F14" s="3">
        <v>50</v>
      </c>
      <c r="G14" s="3">
        <v>26</v>
      </c>
      <c r="H14" s="3">
        <v>0</v>
      </c>
      <c r="I14" s="3">
        <v>10</v>
      </c>
      <c r="J14" s="3">
        <v>0</v>
      </c>
      <c r="K14" s="3">
        <v>86</v>
      </c>
      <c r="L14" s="3">
        <v>46</v>
      </c>
      <c r="M14" s="3">
        <v>48</v>
      </c>
    </row>
    <row r="15" spans="1:13" x14ac:dyDescent="0.2">
      <c r="A15" s="2">
        <v>12</v>
      </c>
      <c r="B15" s="3">
        <v>145</v>
      </c>
      <c r="C15" s="3">
        <v>112</v>
      </c>
      <c r="D15" s="3">
        <v>27</v>
      </c>
      <c r="E15" s="3">
        <v>80</v>
      </c>
      <c r="F15" s="3">
        <v>50</v>
      </c>
      <c r="G15" s="3">
        <v>35</v>
      </c>
      <c r="H15" s="3">
        <v>0</v>
      </c>
      <c r="I15" s="3">
        <v>0</v>
      </c>
      <c r="J15" s="3">
        <v>0</v>
      </c>
      <c r="K15" s="3">
        <v>81</v>
      </c>
      <c r="L15" s="3">
        <v>46</v>
      </c>
      <c r="M15" s="3">
        <v>48</v>
      </c>
    </row>
    <row r="16" spans="1:13" x14ac:dyDescent="0.2">
      <c r="A16" s="2">
        <v>13</v>
      </c>
      <c r="B16" s="3">
        <v>102</v>
      </c>
      <c r="C16" s="3">
        <v>89</v>
      </c>
      <c r="D16" s="3">
        <v>15</v>
      </c>
      <c r="E16" s="3">
        <v>95</v>
      </c>
      <c r="F16" s="3">
        <v>50</v>
      </c>
      <c r="G16" s="3">
        <v>0</v>
      </c>
      <c r="H16" s="3">
        <v>10</v>
      </c>
      <c r="I16" s="3">
        <v>0</v>
      </c>
      <c r="J16" s="3">
        <v>0</v>
      </c>
      <c r="K16" s="3">
        <v>81</v>
      </c>
      <c r="L16" s="3">
        <v>46</v>
      </c>
      <c r="M16" s="3">
        <v>48</v>
      </c>
    </row>
    <row r="17" spans="1:13" x14ac:dyDescent="0.2">
      <c r="A17" s="2">
        <v>14</v>
      </c>
      <c r="B17" s="3">
        <v>75</v>
      </c>
      <c r="C17" s="3">
        <v>75</v>
      </c>
      <c r="D17" s="3">
        <v>0</v>
      </c>
      <c r="E17" s="3">
        <v>86</v>
      </c>
      <c r="F17" s="3">
        <v>89</v>
      </c>
      <c r="G17" s="3">
        <v>15</v>
      </c>
      <c r="H17" s="3">
        <v>33</v>
      </c>
      <c r="I17" s="3">
        <v>0</v>
      </c>
      <c r="J17" s="3">
        <v>24</v>
      </c>
      <c r="K17" s="3">
        <v>81</v>
      </c>
      <c r="L17" s="3">
        <v>46</v>
      </c>
      <c r="M17" s="3">
        <v>47</v>
      </c>
    </row>
    <row r="18" spans="1:13" x14ac:dyDescent="0.2">
      <c r="A18" s="2">
        <v>15</v>
      </c>
      <c r="B18" s="3">
        <v>75</v>
      </c>
      <c r="C18" s="3">
        <v>75</v>
      </c>
      <c r="D18" s="3">
        <v>0</v>
      </c>
      <c r="E18" s="3">
        <v>61</v>
      </c>
      <c r="F18" s="3">
        <v>50</v>
      </c>
      <c r="G18" s="3">
        <v>0</v>
      </c>
      <c r="H18" s="3">
        <v>0</v>
      </c>
      <c r="I18" s="3">
        <v>0</v>
      </c>
      <c r="J18" s="3">
        <v>79</v>
      </c>
      <c r="K18" s="3">
        <v>79</v>
      </c>
      <c r="L18" s="3">
        <v>46</v>
      </c>
      <c r="M18" s="3">
        <v>36</v>
      </c>
    </row>
    <row r="19" spans="1:13" x14ac:dyDescent="0.2">
      <c r="A19" s="2">
        <v>16</v>
      </c>
      <c r="B19" s="3">
        <v>75</v>
      </c>
      <c r="C19" s="3">
        <v>75</v>
      </c>
      <c r="D19" s="3">
        <v>0</v>
      </c>
      <c r="E19" s="3">
        <v>50</v>
      </c>
      <c r="F19" s="3">
        <v>50</v>
      </c>
      <c r="G19" s="3">
        <v>0</v>
      </c>
      <c r="H19" s="3">
        <v>6</v>
      </c>
      <c r="I19" s="3">
        <v>0</v>
      </c>
      <c r="J19" s="3">
        <v>80</v>
      </c>
      <c r="K19" s="3">
        <v>86</v>
      </c>
      <c r="L19" s="3">
        <v>46</v>
      </c>
      <c r="M19" s="3">
        <v>27</v>
      </c>
    </row>
    <row r="20" spans="1:13" x14ac:dyDescent="0.2">
      <c r="A20" s="2">
        <v>17</v>
      </c>
      <c r="B20" s="3">
        <v>75</v>
      </c>
      <c r="C20" s="3">
        <v>74</v>
      </c>
      <c r="D20" s="3">
        <v>0</v>
      </c>
      <c r="E20" s="3">
        <v>50</v>
      </c>
      <c r="F20" s="3">
        <v>50</v>
      </c>
      <c r="G20" s="3">
        <v>0</v>
      </c>
      <c r="H20" s="3">
        <v>0</v>
      </c>
      <c r="I20" s="3">
        <v>0</v>
      </c>
      <c r="J20" s="3">
        <v>75</v>
      </c>
      <c r="K20" s="3">
        <v>83</v>
      </c>
      <c r="L20" s="3">
        <v>21</v>
      </c>
      <c r="M20" s="3">
        <v>28</v>
      </c>
    </row>
    <row r="21" spans="1:13" x14ac:dyDescent="0.2">
      <c r="A21" s="2">
        <v>18</v>
      </c>
      <c r="B21" s="3">
        <v>76</v>
      </c>
      <c r="C21" s="3">
        <v>74</v>
      </c>
      <c r="D21" s="3">
        <v>0</v>
      </c>
      <c r="E21" s="3">
        <v>58</v>
      </c>
      <c r="F21" s="3">
        <v>55</v>
      </c>
      <c r="G21" s="3">
        <v>0</v>
      </c>
      <c r="H21" s="3">
        <v>41</v>
      </c>
      <c r="I21" s="3">
        <v>0</v>
      </c>
      <c r="J21" s="3">
        <v>95</v>
      </c>
      <c r="K21" s="3">
        <v>27</v>
      </c>
      <c r="L21" s="3">
        <v>0</v>
      </c>
      <c r="M21" s="3">
        <v>28</v>
      </c>
    </row>
    <row r="22" spans="1:13" x14ac:dyDescent="0.2">
      <c r="A22" s="2">
        <v>19</v>
      </c>
      <c r="B22" s="3">
        <v>76</v>
      </c>
      <c r="C22" s="3">
        <v>91</v>
      </c>
      <c r="D22" s="3">
        <v>0</v>
      </c>
      <c r="E22" s="3">
        <v>50</v>
      </c>
      <c r="F22" s="3">
        <v>96</v>
      </c>
      <c r="G22" s="3">
        <v>18</v>
      </c>
      <c r="H22" s="3">
        <v>75</v>
      </c>
      <c r="I22" s="3">
        <v>0</v>
      </c>
      <c r="J22" s="3">
        <v>85</v>
      </c>
      <c r="K22" s="3">
        <v>0</v>
      </c>
      <c r="L22" s="3">
        <v>0</v>
      </c>
      <c r="M22" s="3">
        <v>28</v>
      </c>
    </row>
    <row r="23" spans="1:13" x14ac:dyDescent="0.2">
      <c r="A23" s="2">
        <v>20</v>
      </c>
      <c r="B23" s="3">
        <v>75</v>
      </c>
      <c r="C23" s="3">
        <v>97</v>
      </c>
      <c r="D23" s="3">
        <v>0</v>
      </c>
      <c r="E23" s="3">
        <v>73</v>
      </c>
      <c r="F23" s="3">
        <v>50</v>
      </c>
      <c r="G23" s="3">
        <v>45</v>
      </c>
      <c r="H23" s="3">
        <v>23</v>
      </c>
      <c r="I23" s="3">
        <v>25</v>
      </c>
      <c r="J23" s="3">
        <v>67</v>
      </c>
      <c r="K23" s="3">
        <v>0</v>
      </c>
      <c r="L23" s="3">
        <v>11</v>
      </c>
      <c r="M23" s="3">
        <v>28</v>
      </c>
    </row>
    <row r="24" spans="1:13" x14ac:dyDescent="0.2">
      <c r="A24" s="2">
        <v>21</v>
      </c>
      <c r="B24" s="3">
        <v>76</v>
      </c>
      <c r="C24" s="3">
        <v>94</v>
      </c>
      <c r="D24" s="3">
        <v>0</v>
      </c>
      <c r="E24" s="3">
        <v>93</v>
      </c>
      <c r="F24" s="3">
        <v>50</v>
      </c>
      <c r="G24" s="3">
        <v>8</v>
      </c>
      <c r="H24" s="3">
        <v>18</v>
      </c>
      <c r="I24" s="3">
        <v>0</v>
      </c>
      <c r="J24" s="3">
        <v>70</v>
      </c>
      <c r="K24" s="3">
        <v>0</v>
      </c>
      <c r="L24" s="3">
        <v>25</v>
      </c>
      <c r="M24" s="3">
        <v>28</v>
      </c>
    </row>
    <row r="25" spans="1:13" x14ac:dyDescent="0.2">
      <c r="A25" s="2">
        <v>22</v>
      </c>
      <c r="B25" s="3">
        <v>89</v>
      </c>
      <c r="C25" s="3">
        <v>89</v>
      </c>
      <c r="D25" s="3">
        <v>0</v>
      </c>
      <c r="E25" s="3">
        <v>93</v>
      </c>
      <c r="F25" s="3">
        <v>50</v>
      </c>
      <c r="G25" s="3">
        <v>0</v>
      </c>
      <c r="H25" s="3">
        <v>2</v>
      </c>
      <c r="I25" s="3">
        <v>5</v>
      </c>
      <c r="J25" s="3">
        <v>45</v>
      </c>
      <c r="K25" s="3">
        <v>0</v>
      </c>
      <c r="L25" s="3">
        <v>29</v>
      </c>
      <c r="M25" s="3">
        <v>28</v>
      </c>
    </row>
    <row r="26" spans="1:13" x14ac:dyDescent="0.2">
      <c r="A26" s="2">
        <v>23</v>
      </c>
      <c r="B26" s="3">
        <v>95</v>
      </c>
      <c r="C26" s="3">
        <v>88</v>
      </c>
      <c r="D26" s="3">
        <v>0</v>
      </c>
      <c r="E26" s="3">
        <v>92</v>
      </c>
      <c r="F26" s="3">
        <v>46</v>
      </c>
      <c r="G26" s="3">
        <v>0</v>
      </c>
      <c r="H26" s="3">
        <v>0</v>
      </c>
      <c r="I26" s="3">
        <v>0</v>
      </c>
      <c r="J26" s="3">
        <v>33</v>
      </c>
      <c r="K26" s="3">
        <v>0</v>
      </c>
      <c r="L26" s="3">
        <v>29</v>
      </c>
      <c r="M26" s="3">
        <v>28</v>
      </c>
    </row>
    <row r="27" spans="1:13" x14ac:dyDescent="0.2">
      <c r="A27" s="2">
        <v>24</v>
      </c>
      <c r="B27" s="3">
        <v>93</v>
      </c>
      <c r="C27" s="3">
        <v>22</v>
      </c>
      <c r="D27" s="3">
        <v>0</v>
      </c>
      <c r="E27" s="3">
        <v>92</v>
      </c>
      <c r="F27" s="3">
        <v>41</v>
      </c>
      <c r="G27" s="3">
        <v>0</v>
      </c>
      <c r="H27" s="3">
        <v>0</v>
      </c>
      <c r="I27" s="3">
        <v>0</v>
      </c>
      <c r="J27" s="3">
        <v>53</v>
      </c>
      <c r="K27" s="3">
        <v>0</v>
      </c>
      <c r="L27" s="3">
        <v>29</v>
      </c>
      <c r="M27" s="3">
        <v>28</v>
      </c>
    </row>
    <row r="28" spans="1:13" x14ac:dyDescent="0.2">
      <c r="A28" s="2">
        <v>25</v>
      </c>
      <c r="B28" s="3">
        <v>93</v>
      </c>
      <c r="C28" s="3">
        <v>0</v>
      </c>
      <c r="D28" s="3">
        <v>0</v>
      </c>
      <c r="E28" s="3">
        <v>75</v>
      </c>
      <c r="F28" s="3">
        <v>16</v>
      </c>
      <c r="G28" s="3">
        <v>0</v>
      </c>
      <c r="H28" s="3">
        <v>0</v>
      </c>
      <c r="I28" s="3">
        <v>0</v>
      </c>
      <c r="J28" s="3">
        <v>61</v>
      </c>
      <c r="K28" s="3">
        <v>0</v>
      </c>
      <c r="L28" s="3">
        <v>50</v>
      </c>
      <c r="M28" s="3">
        <v>28</v>
      </c>
    </row>
    <row r="29" spans="1:13" x14ac:dyDescent="0.2">
      <c r="A29" s="2">
        <v>26</v>
      </c>
      <c r="B29" s="3">
        <v>93</v>
      </c>
      <c r="C29" s="3">
        <v>0</v>
      </c>
      <c r="D29" s="3">
        <v>0</v>
      </c>
      <c r="E29" s="3">
        <v>50</v>
      </c>
      <c r="F29" s="3">
        <v>18</v>
      </c>
      <c r="G29" s="3">
        <v>0</v>
      </c>
      <c r="H29" s="3">
        <v>0</v>
      </c>
      <c r="I29" s="3">
        <v>0</v>
      </c>
      <c r="J29" s="3">
        <v>67</v>
      </c>
      <c r="K29" s="3">
        <v>0</v>
      </c>
      <c r="L29" s="3">
        <v>70</v>
      </c>
      <c r="M29" s="3">
        <v>28</v>
      </c>
    </row>
    <row r="30" spans="1:13" x14ac:dyDescent="0.2">
      <c r="A30" s="2">
        <v>27</v>
      </c>
      <c r="B30" s="3">
        <v>114</v>
      </c>
      <c r="C30" s="3">
        <v>32</v>
      </c>
      <c r="D30" s="3">
        <v>0</v>
      </c>
      <c r="E30" s="3">
        <v>50</v>
      </c>
      <c r="F30" s="3">
        <v>37</v>
      </c>
      <c r="G30" s="3">
        <v>0</v>
      </c>
      <c r="H30" s="3">
        <v>5</v>
      </c>
      <c r="I30" s="3">
        <v>0</v>
      </c>
      <c r="J30" s="3">
        <v>80</v>
      </c>
      <c r="K30" s="3">
        <v>0</v>
      </c>
      <c r="L30" s="3">
        <v>57</v>
      </c>
      <c r="M30" s="3">
        <v>28</v>
      </c>
    </row>
    <row r="31" spans="1:13" x14ac:dyDescent="0.2">
      <c r="A31" s="2">
        <v>28</v>
      </c>
      <c r="B31" s="3">
        <v>154</v>
      </c>
      <c r="C31" s="3">
        <v>63</v>
      </c>
      <c r="D31" s="3">
        <v>0</v>
      </c>
      <c r="E31" s="3">
        <v>50</v>
      </c>
      <c r="F31" s="3">
        <v>6</v>
      </c>
      <c r="G31" s="3">
        <v>0</v>
      </c>
      <c r="H31" s="3">
        <v>56</v>
      </c>
      <c r="I31" s="3">
        <v>0</v>
      </c>
      <c r="J31" s="3">
        <v>95</v>
      </c>
      <c r="K31" s="3">
        <v>0</v>
      </c>
      <c r="L31" s="3">
        <v>50</v>
      </c>
      <c r="M31" s="3">
        <v>28</v>
      </c>
    </row>
    <row r="32" spans="1:13" x14ac:dyDescent="0.2">
      <c r="A32" s="2">
        <v>29</v>
      </c>
      <c r="B32" s="3">
        <v>183</v>
      </c>
      <c r="C32" s="7" t="s">
        <v>14</v>
      </c>
      <c r="D32" s="3">
        <v>0</v>
      </c>
      <c r="E32" s="3">
        <v>50</v>
      </c>
      <c r="F32" s="3">
        <v>30</v>
      </c>
      <c r="G32" s="3">
        <v>11</v>
      </c>
      <c r="H32" s="3">
        <v>64</v>
      </c>
      <c r="I32" s="3">
        <v>0</v>
      </c>
      <c r="J32" s="3">
        <v>85</v>
      </c>
      <c r="K32" s="3">
        <v>0</v>
      </c>
      <c r="L32" s="3">
        <v>50</v>
      </c>
      <c r="M32" s="3">
        <v>28</v>
      </c>
    </row>
    <row r="33" spans="1:14" x14ac:dyDescent="0.2">
      <c r="A33" s="2">
        <v>30</v>
      </c>
      <c r="B33" s="3">
        <v>179</v>
      </c>
      <c r="C33" s="7" t="s">
        <v>14</v>
      </c>
      <c r="D33" s="3">
        <v>0</v>
      </c>
      <c r="E33" s="3">
        <v>50</v>
      </c>
      <c r="F33" s="3">
        <v>0</v>
      </c>
      <c r="G33" s="3">
        <v>20</v>
      </c>
      <c r="H33" s="3">
        <v>36</v>
      </c>
      <c r="I33" s="3">
        <v>0</v>
      </c>
      <c r="J33" s="3">
        <v>53</v>
      </c>
      <c r="K33" s="3">
        <v>0</v>
      </c>
      <c r="L33" s="3">
        <v>50</v>
      </c>
      <c r="M33" s="3">
        <v>28</v>
      </c>
    </row>
    <row r="34" spans="1:14" x14ac:dyDescent="0.2">
      <c r="A34" s="2">
        <v>31</v>
      </c>
      <c r="B34" s="3">
        <v>161</v>
      </c>
      <c r="C34" s="7" t="s">
        <v>14</v>
      </c>
      <c r="D34" s="3">
        <v>0</v>
      </c>
      <c r="E34" s="7" t="s">
        <v>14</v>
      </c>
      <c r="F34" s="3">
        <v>0</v>
      </c>
      <c r="G34" s="7" t="s">
        <v>14</v>
      </c>
      <c r="H34" s="3">
        <v>22</v>
      </c>
      <c r="I34" s="3">
        <v>0</v>
      </c>
      <c r="J34" s="7" t="s">
        <v>14</v>
      </c>
      <c r="K34" s="3">
        <v>0</v>
      </c>
      <c r="L34" s="7" t="s">
        <v>14</v>
      </c>
      <c r="M34" s="3">
        <v>28</v>
      </c>
    </row>
    <row r="36" spans="1:14" x14ac:dyDescent="0.2">
      <c r="A36" s="7" t="s">
        <v>15</v>
      </c>
      <c r="B36" s="4">
        <f>SUM(B4:B35)</f>
        <v>5708</v>
      </c>
      <c r="C36" s="4">
        <f t="shared" ref="C36:M36" si="0">SUM(C4:C35)</f>
        <v>2202</v>
      </c>
      <c r="D36" s="4">
        <f t="shared" si="0"/>
        <v>853</v>
      </c>
      <c r="E36" s="4">
        <f t="shared" si="0"/>
        <v>1880</v>
      </c>
      <c r="F36" s="4">
        <f t="shared" si="0"/>
        <v>1384</v>
      </c>
      <c r="G36" s="4">
        <f t="shared" si="0"/>
        <v>218</v>
      </c>
      <c r="H36" s="4">
        <f t="shared" si="0"/>
        <v>391</v>
      </c>
      <c r="I36" s="4">
        <f t="shared" si="0"/>
        <v>54</v>
      </c>
      <c r="J36" s="4">
        <f t="shared" si="0"/>
        <v>1247</v>
      </c>
      <c r="K36" s="4">
        <f t="shared" si="0"/>
        <v>1544</v>
      </c>
      <c r="L36" s="4">
        <f t="shared" si="0"/>
        <v>918</v>
      </c>
      <c r="M36" s="4">
        <f t="shared" si="0"/>
        <v>992</v>
      </c>
      <c r="N36" s="4"/>
    </row>
    <row r="37" spans="1:14" x14ac:dyDescent="0.2">
      <c r="A37" s="7" t="s">
        <v>16</v>
      </c>
      <c r="B37" s="4">
        <f>B36*1.98</f>
        <v>11301.84</v>
      </c>
      <c r="C37" s="4">
        <f t="shared" ref="C37:M37" si="1">C36*1.98</f>
        <v>4359.96</v>
      </c>
      <c r="D37" s="4">
        <f t="shared" si="1"/>
        <v>1688.94</v>
      </c>
      <c r="E37" s="4">
        <f t="shared" si="1"/>
        <v>3722.4</v>
      </c>
      <c r="F37" s="4">
        <f t="shared" si="1"/>
        <v>2740.32</v>
      </c>
      <c r="G37" s="4">
        <f t="shared" si="1"/>
        <v>431.64</v>
      </c>
      <c r="H37" s="4">
        <f t="shared" si="1"/>
        <v>774.18</v>
      </c>
      <c r="I37" s="4">
        <f t="shared" si="1"/>
        <v>106.92</v>
      </c>
      <c r="J37" s="4">
        <f t="shared" si="1"/>
        <v>2469.06</v>
      </c>
      <c r="K37" s="4">
        <f t="shared" si="1"/>
        <v>3057.12</v>
      </c>
      <c r="L37" s="4">
        <f t="shared" si="1"/>
        <v>1817.6399999999999</v>
      </c>
      <c r="M37" s="4">
        <f t="shared" si="1"/>
        <v>1964.16</v>
      </c>
      <c r="N37" s="4"/>
    </row>
    <row r="38" spans="1:14" x14ac:dyDescent="0.2">
      <c r="A38" s="7" t="s">
        <v>17</v>
      </c>
      <c r="B38" s="4">
        <f>+B37</f>
        <v>11301.84</v>
      </c>
      <c r="C38" s="4">
        <f>+B38+C37</f>
        <v>15661.8</v>
      </c>
      <c r="D38" s="4">
        <f t="shared" ref="D38:M38" si="2">+C38+D37</f>
        <v>17350.739999999998</v>
      </c>
      <c r="E38" s="4">
        <f t="shared" si="2"/>
        <v>21073.14</v>
      </c>
      <c r="F38" s="4">
        <f t="shared" si="2"/>
        <v>23813.46</v>
      </c>
      <c r="G38" s="4">
        <f t="shared" si="2"/>
        <v>24245.1</v>
      </c>
      <c r="H38" s="4">
        <f t="shared" si="2"/>
        <v>25019.279999999999</v>
      </c>
      <c r="I38" s="4">
        <f t="shared" si="2"/>
        <v>25126.199999999997</v>
      </c>
      <c r="J38" s="4">
        <f t="shared" si="2"/>
        <v>27595.26</v>
      </c>
      <c r="K38" s="4">
        <f t="shared" si="2"/>
        <v>30652.379999999997</v>
      </c>
      <c r="L38" s="4">
        <f t="shared" si="2"/>
        <v>32470.019999999997</v>
      </c>
      <c r="M38" s="4">
        <f t="shared" si="2"/>
        <v>34434.18</v>
      </c>
      <c r="N38" s="4"/>
    </row>
    <row r="39" spans="1:14" x14ac:dyDescent="0.2">
      <c r="B39" s="4" t="s">
        <v>14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">
      <c r="A40">
        <v>87</v>
      </c>
      <c r="B40" s="12">
        <v>1871</v>
      </c>
      <c r="C40" s="4">
        <v>2164</v>
      </c>
      <c r="D40" s="4">
        <v>123</v>
      </c>
      <c r="E40" s="4">
        <v>640</v>
      </c>
      <c r="F40" s="4">
        <v>390</v>
      </c>
      <c r="G40" s="4">
        <v>348</v>
      </c>
      <c r="H40" s="4">
        <v>3408</v>
      </c>
      <c r="I40" s="4">
        <v>388</v>
      </c>
      <c r="J40" s="4">
        <v>3162</v>
      </c>
      <c r="K40" s="4">
        <v>2489</v>
      </c>
      <c r="L40" s="4">
        <v>1101</v>
      </c>
      <c r="M40" s="4">
        <v>2243</v>
      </c>
      <c r="N40" s="4">
        <f>SUM(B40:M40)</f>
        <v>18327</v>
      </c>
    </row>
    <row r="41" spans="1:14" x14ac:dyDescent="0.2">
      <c r="A41">
        <v>88</v>
      </c>
      <c r="B41" s="4">
        <v>2637</v>
      </c>
      <c r="C41" s="4">
        <v>4103</v>
      </c>
      <c r="D41" s="4">
        <v>174</v>
      </c>
      <c r="E41" s="4">
        <v>1140</v>
      </c>
      <c r="F41" s="4">
        <v>669</v>
      </c>
      <c r="G41" s="4">
        <v>374</v>
      </c>
      <c r="H41" s="4">
        <v>562</v>
      </c>
      <c r="I41" s="4">
        <v>404</v>
      </c>
      <c r="J41" s="4">
        <v>701</v>
      </c>
      <c r="K41" s="4">
        <v>1703</v>
      </c>
      <c r="L41" s="4">
        <v>1655</v>
      </c>
      <c r="M41" s="4">
        <v>2049</v>
      </c>
      <c r="N41" s="4">
        <f t="shared" ref="N41:N49" si="3">SUM(B41:M41)</f>
        <v>16171</v>
      </c>
    </row>
    <row r="42" spans="1:14" x14ac:dyDescent="0.2">
      <c r="A42">
        <v>89</v>
      </c>
      <c r="B42" s="4">
        <v>1594</v>
      </c>
      <c r="C42" s="4">
        <v>3813</v>
      </c>
      <c r="D42" s="4">
        <v>3586</v>
      </c>
      <c r="E42" s="4">
        <v>420</v>
      </c>
      <c r="F42" s="4">
        <v>879</v>
      </c>
      <c r="G42" s="4">
        <v>255</v>
      </c>
      <c r="H42" s="4">
        <v>362</v>
      </c>
      <c r="I42" s="4">
        <v>838</v>
      </c>
      <c r="J42" s="4">
        <v>4136</v>
      </c>
      <c r="K42" s="4">
        <v>2600</v>
      </c>
      <c r="L42" s="4">
        <v>2020</v>
      </c>
      <c r="M42" s="4">
        <v>1901</v>
      </c>
      <c r="N42" s="4">
        <f t="shared" si="3"/>
        <v>22404</v>
      </c>
    </row>
    <row r="43" spans="1:14" x14ac:dyDescent="0.2">
      <c r="A43">
        <v>90</v>
      </c>
      <c r="B43" s="4">
        <v>3039</v>
      </c>
      <c r="C43" s="4">
        <v>2344</v>
      </c>
      <c r="D43" s="4">
        <v>1679</v>
      </c>
      <c r="E43" s="4">
        <v>1295</v>
      </c>
      <c r="F43" s="4">
        <v>281</v>
      </c>
      <c r="G43" s="4">
        <v>717</v>
      </c>
      <c r="H43" s="4">
        <v>1439</v>
      </c>
      <c r="I43" s="4">
        <v>1228</v>
      </c>
      <c r="J43" s="4">
        <v>2358</v>
      </c>
      <c r="K43" s="4">
        <v>4556</v>
      </c>
      <c r="L43" s="4">
        <v>178</v>
      </c>
      <c r="M43" s="4">
        <v>2608</v>
      </c>
      <c r="N43" s="4">
        <f t="shared" si="3"/>
        <v>21722</v>
      </c>
    </row>
    <row r="44" spans="1:14" x14ac:dyDescent="0.2">
      <c r="A44">
        <v>91</v>
      </c>
      <c r="B44" s="4">
        <v>1566</v>
      </c>
      <c r="C44" s="4">
        <v>1608</v>
      </c>
      <c r="D44" s="4">
        <v>289</v>
      </c>
      <c r="E44" s="4">
        <v>0</v>
      </c>
      <c r="F44" s="4">
        <v>1253</v>
      </c>
      <c r="G44" s="4">
        <v>905</v>
      </c>
      <c r="H44" s="4">
        <v>174</v>
      </c>
      <c r="I44" s="4">
        <v>34</v>
      </c>
      <c r="J44" s="4">
        <v>960</v>
      </c>
      <c r="K44" s="4">
        <v>1857</v>
      </c>
      <c r="L44" s="4">
        <v>1736</v>
      </c>
      <c r="M44" s="4">
        <v>1436</v>
      </c>
      <c r="N44" s="4">
        <f t="shared" si="3"/>
        <v>11818</v>
      </c>
    </row>
    <row r="45" spans="1:14" x14ac:dyDescent="0.2">
      <c r="A45">
        <v>92</v>
      </c>
      <c r="B45" s="4">
        <v>1536</v>
      </c>
      <c r="C45" s="4">
        <v>1279</v>
      </c>
      <c r="D45" s="4">
        <v>507</v>
      </c>
      <c r="E45" s="4">
        <v>0</v>
      </c>
      <c r="F45" s="4">
        <v>784</v>
      </c>
      <c r="G45" s="4">
        <v>248</v>
      </c>
      <c r="H45" s="4">
        <v>18</v>
      </c>
      <c r="I45" s="4">
        <v>16</v>
      </c>
      <c r="J45" s="4">
        <v>3338</v>
      </c>
      <c r="K45" s="4">
        <v>3534</v>
      </c>
      <c r="L45" s="4">
        <v>1536</v>
      </c>
      <c r="M45" s="4">
        <v>1857</v>
      </c>
      <c r="N45" s="4">
        <f t="shared" si="3"/>
        <v>14653</v>
      </c>
    </row>
    <row r="46" spans="1:14" x14ac:dyDescent="0.2">
      <c r="A46">
        <v>93</v>
      </c>
      <c r="B46" s="4">
        <v>1879</v>
      </c>
      <c r="C46" s="4">
        <v>3861</v>
      </c>
      <c r="D46" s="4">
        <v>8928</v>
      </c>
      <c r="E46" s="4">
        <v>2950</v>
      </c>
      <c r="F46" s="4">
        <v>3132</v>
      </c>
      <c r="G46" s="4">
        <v>743</v>
      </c>
      <c r="H46" s="4">
        <v>713</v>
      </c>
      <c r="I46" s="4">
        <v>507</v>
      </c>
      <c r="J46" s="4">
        <v>2192</v>
      </c>
      <c r="K46" s="4">
        <v>1618</v>
      </c>
      <c r="L46" s="4">
        <v>935</v>
      </c>
      <c r="M46" s="4">
        <v>1505</v>
      </c>
      <c r="N46" s="4">
        <f t="shared" si="3"/>
        <v>28963</v>
      </c>
    </row>
    <row r="47" spans="1:14" x14ac:dyDescent="0.2">
      <c r="A47">
        <v>94</v>
      </c>
      <c r="B47" s="4">
        <v>1253</v>
      </c>
      <c r="C47" s="4">
        <v>921</v>
      </c>
      <c r="D47" s="4">
        <v>267</v>
      </c>
      <c r="E47" s="4">
        <v>3113</v>
      </c>
      <c r="F47" s="4">
        <v>3243</v>
      </c>
      <c r="G47" s="4">
        <v>546</v>
      </c>
      <c r="H47" s="4">
        <v>404</v>
      </c>
      <c r="I47" s="4">
        <v>141</v>
      </c>
      <c r="J47" s="4">
        <v>1447</v>
      </c>
      <c r="K47" s="4">
        <v>1984</v>
      </c>
      <c r="L47" s="4">
        <v>1325</v>
      </c>
      <c r="M47" s="4">
        <v>1600</v>
      </c>
      <c r="N47" s="4">
        <f t="shared" si="3"/>
        <v>16244</v>
      </c>
    </row>
    <row r="48" spans="1:14" x14ac:dyDescent="0.2">
      <c r="A48">
        <v>95</v>
      </c>
      <c r="B48" s="4">
        <v>6235</v>
      </c>
      <c r="C48" s="4">
        <v>3572</v>
      </c>
      <c r="D48" s="4">
        <v>2404</v>
      </c>
      <c r="E48" s="4">
        <v>1788</v>
      </c>
      <c r="F48" s="4">
        <v>1893</v>
      </c>
      <c r="G48" s="4">
        <v>616</v>
      </c>
      <c r="H48" s="4">
        <v>600</v>
      </c>
      <c r="I48" s="4">
        <v>158</v>
      </c>
      <c r="J48" s="4">
        <v>1178</v>
      </c>
      <c r="K48" s="4">
        <v>2429</v>
      </c>
      <c r="L48" s="4">
        <v>1093</v>
      </c>
      <c r="M48" s="4">
        <v>3039</v>
      </c>
      <c r="N48" s="4">
        <f t="shared" si="3"/>
        <v>25005</v>
      </c>
    </row>
    <row r="49" spans="1:14" x14ac:dyDescent="0.2">
      <c r="A49">
        <v>96</v>
      </c>
      <c r="B49" s="4">
        <v>3647</v>
      </c>
      <c r="C49" s="4">
        <v>14125</v>
      </c>
      <c r="D49" s="4">
        <v>3051</v>
      </c>
      <c r="E49" s="4">
        <v>2873</v>
      </c>
      <c r="F49" s="4">
        <v>3233</v>
      </c>
      <c r="G49" s="4">
        <v>756</v>
      </c>
      <c r="H49" s="4">
        <v>386</v>
      </c>
      <c r="I49" s="4">
        <v>265</v>
      </c>
      <c r="J49" s="4">
        <v>378</v>
      </c>
      <c r="K49" s="4">
        <v>1867</v>
      </c>
      <c r="L49" s="4">
        <v>1697</v>
      </c>
      <c r="M49" s="4">
        <v>3612</v>
      </c>
      <c r="N49" s="4">
        <f t="shared" si="3"/>
        <v>35890</v>
      </c>
    </row>
    <row r="51" spans="1:14" x14ac:dyDescent="0.2">
      <c r="A51" s="7" t="s">
        <v>18</v>
      </c>
      <c r="B51" s="5">
        <f t="shared" ref="B51:M51" si="4">AVERAGE(B40:B49)</f>
        <v>2525.6999999999998</v>
      </c>
      <c r="C51" s="5">
        <f t="shared" si="4"/>
        <v>3779</v>
      </c>
      <c r="D51" s="5">
        <f t="shared" si="4"/>
        <v>2100.8000000000002</v>
      </c>
      <c r="E51" s="5">
        <f t="shared" si="4"/>
        <v>1421.9</v>
      </c>
      <c r="F51" s="5">
        <f t="shared" si="4"/>
        <v>1575.7</v>
      </c>
      <c r="G51" s="5">
        <f t="shared" si="4"/>
        <v>550.79999999999995</v>
      </c>
      <c r="H51" s="5">
        <f t="shared" si="4"/>
        <v>806.6</v>
      </c>
      <c r="I51" s="5">
        <f t="shared" si="4"/>
        <v>397.9</v>
      </c>
      <c r="J51" s="5">
        <f t="shared" si="4"/>
        <v>1985</v>
      </c>
      <c r="K51" s="5">
        <f t="shared" si="4"/>
        <v>2463.6999999999998</v>
      </c>
      <c r="L51" s="5">
        <f t="shared" si="4"/>
        <v>1327.6</v>
      </c>
      <c r="M51" s="5">
        <f t="shared" si="4"/>
        <v>2185</v>
      </c>
    </row>
    <row r="52" spans="1:14" x14ac:dyDescent="0.2">
      <c r="B52" s="5">
        <f>+B51</f>
        <v>2525.6999999999998</v>
      </c>
      <c r="C52" s="5">
        <f t="shared" ref="C52:M52" si="5">+B52+C51</f>
        <v>6304.7</v>
      </c>
      <c r="D52" s="5">
        <f t="shared" si="5"/>
        <v>8405.5</v>
      </c>
      <c r="E52" s="5">
        <f t="shared" si="5"/>
        <v>9827.4</v>
      </c>
      <c r="F52" s="5">
        <f t="shared" si="5"/>
        <v>11403.1</v>
      </c>
      <c r="G52" s="5">
        <f t="shared" si="5"/>
        <v>11953.9</v>
      </c>
      <c r="H52" s="5">
        <f t="shared" si="5"/>
        <v>12760.5</v>
      </c>
      <c r="I52" s="5">
        <f t="shared" si="5"/>
        <v>13158.4</v>
      </c>
      <c r="J52" s="5">
        <f t="shared" si="5"/>
        <v>15143.4</v>
      </c>
      <c r="K52" s="5">
        <f t="shared" si="5"/>
        <v>17607.099999999999</v>
      </c>
      <c r="L52" s="5">
        <f t="shared" si="5"/>
        <v>18934.699999999997</v>
      </c>
      <c r="M52" s="5">
        <f t="shared" si="5"/>
        <v>21119.699999999997</v>
      </c>
      <c r="N52" s="5">
        <f>AVERAGE(N40:N49)</f>
        <v>21119.7</v>
      </c>
    </row>
  </sheetData>
  <sheetProtection sheet="1" objects="1" scenarios="1"/>
  <pageMargins left="0.13" right="0.12" top="1" bottom="1" header="0.5" footer="0.5"/>
  <pageSetup scale="76" orientation="portrait" horizontalDpi="180" verticalDpi="180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cols>
    <col min="1" max="1" width="11.140625" customWidth="1"/>
    <col min="2" max="14" width="9.7109375" customWidth="1"/>
  </cols>
  <sheetData>
    <row r="1" spans="1:13" x14ac:dyDescent="0.2">
      <c r="A1" t="s">
        <v>22</v>
      </c>
      <c r="K1" t="s">
        <v>22</v>
      </c>
    </row>
    <row r="3" spans="1:13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</row>
    <row r="4" spans="1:13" x14ac:dyDescent="0.2">
      <c r="A4" s="2">
        <v>1</v>
      </c>
      <c r="B4" s="13">
        <v>72</v>
      </c>
      <c r="C4" s="13">
        <v>72</v>
      </c>
      <c r="D4" s="13">
        <v>0</v>
      </c>
      <c r="E4" s="13">
        <v>0</v>
      </c>
      <c r="F4" s="13">
        <v>55</v>
      </c>
      <c r="G4" s="13">
        <v>37.6</v>
      </c>
      <c r="H4" s="13">
        <v>24</v>
      </c>
      <c r="I4" s="13">
        <v>16.8</v>
      </c>
      <c r="J4" s="13">
        <v>24</v>
      </c>
      <c r="K4" s="13">
        <v>46</v>
      </c>
      <c r="L4" s="13">
        <v>48</v>
      </c>
      <c r="M4" s="13">
        <v>63.1</v>
      </c>
    </row>
    <row r="5" spans="1:13" x14ac:dyDescent="0.2">
      <c r="A5" s="2">
        <v>2</v>
      </c>
      <c r="B5" s="13">
        <v>86.6</v>
      </c>
      <c r="C5" s="13">
        <v>72</v>
      </c>
      <c r="D5" s="13">
        <v>0</v>
      </c>
      <c r="E5" s="13">
        <v>0</v>
      </c>
      <c r="F5" s="13">
        <v>48</v>
      </c>
      <c r="G5" s="13">
        <v>39.1</v>
      </c>
      <c r="H5" s="13">
        <v>24</v>
      </c>
      <c r="I5" s="13">
        <v>24</v>
      </c>
      <c r="J5" s="13">
        <v>24</v>
      </c>
      <c r="K5" s="13">
        <v>52.3</v>
      </c>
      <c r="L5" s="13">
        <v>48</v>
      </c>
      <c r="M5" s="13">
        <v>72</v>
      </c>
    </row>
    <row r="6" spans="1:13" x14ac:dyDescent="0.2">
      <c r="A6" s="2">
        <v>3</v>
      </c>
      <c r="B6" s="13">
        <v>96</v>
      </c>
      <c r="C6" s="13">
        <v>72</v>
      </c>
      <c r="D6" s="13">
        <v>0</v>
      </c>
      <c r="E6" s="13">
        <v>0</v>
      </c>
      <c r="F6" s="13">
        <v>48</v>
      </c>
      <c r="G6" s="13">
        <v>32.799999999999997</v>
      </c>
      <c r="H6" s="13">
        <v>24</v>
      </c>
      <c r="I6" s="13">
        <v>24</v>
      </c>
      <c r="J6" s="13">
        <v>24</v>
      </c>
      <c r="K6" s="13">
        <v>63.3</v>
      </c>
      <c r="L6" s="13">
        <v>62</v>
      </c>
      <c r="M6" s="13">
        <v>72</v>
      </c>
    </row>
    <row r="7" spans="1:13" x14ac:dyDescent="0.2">
      <c r="A7" s="2">
        <v>4</v>
      </c>
      <c r="B7" s="13">
        <v>96</v>
      </c>
      <c r="C7" s="13">
        <v>72</v>
      </c>
      <c r="D7" s="13">
        <v>0</v>
      </c>
      <c r="E7" s="13">
        <v>0</v>
      </c>
      <c r="F7" s="13">
        <v>48</v>
      </c>
      <c r="G7" s="13">
        <v>48</v>
      </c>
      <c r="H7" s="13">
        <v>24</v>
      </c>
      <c r="I7" s="13">
        <v>23.8</v>
      </c>
      <c r="J7" s="13">
        <v>24</v>
      </c>
      <c r="K7" s="13">
        <v>72</v>
      </c>
      <c r="L7" s="13">
        <v>72</v>
      </c>
      <c r="M7" s="13">
        <v>72</v>
      </c>
    </row>
    <row r="8" spans="1:13" x14ac:dyDescent="0.2">
      <c r="A8" s="2">
        <v>5</v>
      </c>
      <c r="B8" s="13">
        <v>96</v>
      </c>
      <c r="C8" s="13">
        <v>72</v>
      </c>
      <c r="D8" s="13">
        <v>0</v>
      </c>
      <c r="E8" s="13">
        <v>0</v>
      </c>
      <c r="F8" s="13">
        <v>48</v>
      </c>
      <c r="G8" s="13">
        <v>48</v>
      </c>
      <c r="H8" s="13">
        <v>24</v>
      </c>
      <c r="I8" s="13">
        <v>24</v>
      </c>
      <c r="J8" s="13">
        <v>24</v>
      </c>
      <c r="K8" s="13">
        <v>71.8</v>
      </c>
      <c r="L8" s="13">
        <v>72</v>
      </c>
      <c r="M8" s="13">
        <v>72</v>
      </c>
    </row>
    <row r="9" spans="1:13" x14ac:dyDescent="0.2">
      <c r="A9" s="2">
        <v>6</v>
      </c>
      <c r="B9" s="13">
        <v>96</v>
      </c>
      <c r="C9" s="13">
        <v>72</v>
      </c>
      <c r="D9" s="13">
        <v>0</v>
      </c>
      <c r="E9" s="13">
        <v>0</v>
      </c>
      <c r="F9" s="13">
        <v>55.3</v>
      </c>
      <c r="G9" s="13">
        <v>47.8</v>
      </c>
      <c r="H9" s="13">
        <v>24</v>
      </c>
      <c r="I9" s="13">
        <v>24</v>
      </c>
      <c r="J9" s="13">
        <v>24</v>
      </c>
      <c r="K9" s="13">
        <v>72</v>
      </c>
      <c r="L9" s="13">
        <v>72</v>
      </c>
      <c r="M9" s="13">
        <v>57.1</v>
      </c>
    </row>
    <row r="10" spans="1:13" x14ac:dyDescent="0.2">
      <c r="A10" s="2">
        <v>7</v>
      </c>
      <c r="B10" s="13">
        <v>96</v>
      </c>
      <c r="C10" s="13">
        <v>72</v>
      </c>
      <c r="D10" s="13">
        <v>0</v>
      </c>
      <c r="E10" s="13">
        <v>0</v>
      </c>
      <c r="F10" s="13">
        <v>55.1</v>
      </c>
      <c r="G10" s="13">
        <v>48</v>
      </c>
      <c r="H10" s="13">
        <v>23.7</v>
      </c>
      <c r="I10" s="13">
        <v>24</v>
      </c>
      <c r="J10" s="13">
        <v>24</v>
      </c>
      <c r="K10" s="13">
        <v>72</v>
      </c>
      <c r="L10" s="13">
        <v>72</v>
      </c>
      <c r="M10" s="13">
        <v>48</v>
      </c>
    </row>
    <row r="11" spans="1:13" x14ac:dyDescent="0.2">
      <c r="A11" s="2">
        <v>8</v>
      </c>
      <c r="B11" s="13">
        <v>96</v>
      </c>
      <c r="C11" s="13">
        <v>72</v>
      </c>
      <c r="D11" s="13">
        <v>0</v>
      </c>
      <c r="E11" s="13">
        <v>0</v>
      </c>
      <c r="F11" s="13">
        <v>48.1</v>
      </c>
      <c r="G11" s="13">
        <v>48</v>
      </c>
      <c r="H11" s="13">
        <v>32.5</v>
      </c>
      <c r="I11" s="13">
        <v>24</v>
      </c>
      <c r="J11" s="13">
        <v>24</v>
      </c>
      <c r="K11" s="13">
        <v>61.1</v>
      </c>
      <c r="L11" s="13">
        <v>72</v>
      </c>
      <c r="M11" s="13">
        <v>62</v>
      </c>
    </row>
    <row r="12" spans="1:13" x14ac:dyDescent="0.2">
      <c r="A12" s="2">
        <v>9</v>
      </c>
      <c r="B12" s="13">
        <v>96</v>
      </c>
      <c r="C12" s="13">
        <v>72</v>
      </c>
      <c r="D12" s="13">
        <v>0</v>
      </c>
      <c r="E12" s="13">
        <v>0</v>
      </c>
      <c r="F12" s="13">
        <v>48</v>
      </c>
      <c r="G12" s="13">
        <v>48</v>
      </c>
      <c r="H12" s="13">
        <v>42.4</v>
      </c>
      <c r="I12" s="13">
        <v>24</v>
      </c>
      <c r="J12" s="13">
        <v>38.9</v>
      </c>
      <c r="K12" s="13">
        <v>45.5</v>
      </c>
      <c r="L12" s="13">
        <v>72</v>
      </c>
      <c r="M12" s="13">
        <v>72</v>
      </c>
    </row>
    <row r="13" spans="1:13" x14ac:dyDescent="0.2">
      <c r="A13" s="2">
        <v>10</v>
      </c>
      <c r="B13" s="13">
        <v>96</v>
      </c>
      <c r="C13" s="13">
        <v>72</v>
      </c>
      <c r="D13" s="13">
        <v>0</v>
      </c>
      <c r="E13" s="13">
        <v>0</v>
      </c>
      <c r="F13" s="13">
        <v>48</v>
      </c>
      <c r="G13" s="13">
        <v>41.4</v>
      </c>
      <c r="H13" s="13">
        <v>45.1</v>
      </c>
      <c r="I13" s="13">
        <v>24</v>
      </c>
      <c r="J13" s="13">
        <v>48</v>
      </c>
      <c r="K13" s="13">
        <v>47.7</v>
      </c>
      <c r="L13" s="13">
        <v>72</v>
      </c>
      <c r="M13" s="13">
        <v>72</v>
      </c>
    </row>
    <row r="14" spans="1:13" x14ac:dyDescent="0.2">
      <c r="A14" s="2">
        <v>11</v>
      </c>
      <c r="B14" s="13">
        <v>96</v>
      </c>
      <c r="C14" s="13">
        <v>72</v>
      </c>
      <c r="D14" s="13">
        <v>0</v>
      </c>
      <c r="E14" s="13">
        <v>0</v>
      </c>
      <c r="F14" s="13">
        <v>47.2</v>
      </c>
      <c r="G14" s="13">
        <v>23.4</v>
      </c>
      <c r="H14" s="13">
        <v>39.6</v>
      </c>
      <c r="I14" s="13">
        <v>24</v>
      </c>
      <c r="J14" s="13">
        <v>40.200000000000003</v>
      </c>
      <c r="K14" s="13">
        <v>47.8</v>
      </c>
      <c r="L14" s="13">
        <v>72</v>
      </c>
      <c r="M14" s="13">
        <v>72</v>
      </c>
    </row>
    <row r="15" spans="1:13" x14ac:dyDescent="0.2">
      <c r="A15" s="2">
        <v>12</v>
      </c>
      <c r="B15" s="13">
        <v>96</v>
      </c>
      <c r="C15" s="13">
        <v>72</v>
      </c>
      <c r="D15" s="13">
        <v>0</v>
      </c>
      <c r="E15" s="13">
        <v>0</v>
      </c>
      <c r="F15" s="13">
        <v>48</v>
      </c>
      <c r="G15" s="13">
        <v>35.200000000000003</v>
      </c>
      <c r="H15" s="13">
        <v>24</v>
      </c>
      <c r="I15" s="13">
        <v>24</v>
      </c>
      <c r="J15" s="13">
        <v>48</v>
      </c>
      <c r="K15" s="13">
        <v>48</v>
      </c>
      <c r="L15" s="13">
        <v>72</v>
      </c>
      <c r="M15" s="13">
        <v>27</v>
      </c>
    </row>
    <row r="16" spans="1:13" x14ac:dyDescent="0.2">
      <c r="A16" s="2">
        <v>13</v>
      </c>
      <c r="B16" s="13">
        <v>96</v>
      </c>
      <c r="C16" s="13">
        <v>72</v>
      </c>
      <c r="D16" s="13">
        <v>0</v>
      </c>
      <c r="E16" s="13">
        <v>0</v>
      </c>
      <c r="F16" s="13">
        <v>47.8</v>
      </c>
      <c r="G16" s="13">
        <v>48</v>
      </c>
      <c r="H16" s="13">
        <v>24</v>
      </c>
      <c r="I16" s="13">
        <v>24</v>
      </c>
      <c r="J16" s="13">
        <v>48</v>
      </c>
      <c r="K16" s="13">
        <v>48</v>
      </c>
      <c r="L16" s="13">
        <v>72</v>
      </c>
      <c r="M16" s="13">
        <v>0</v>
      </c>
    </row>
    <row r="17" spans="1:13" x14ac:dyDescent="0.2">
      <c r="A17" s="2">
        <v>14</v>
      </c>
      <c r="B17" s="13">
        <v>95.3</v>
      </c>
      <c r="C17" s="13">
        <v>72</v>
      </c>
      <c r="D17" s="13">
        <v>0</v>
      </c>
      <c r="E17" s="13">
        <v>0</v>
      </c>
      <c r="F17" s="13">
        <v>48</v>
      </c>
      <c r="G17" s="13">
        <v>48</v>
      </c>
      <c r="H17" s="13">
        <v>37.799999999999997</v>
      </c>
      <c r="I17" s="13">
        <v>24</v>
      </c>
      <c r="J17" s="13">
        <v>19</v>
      </c>
      <c r="K17" s="13">
        <v>48</v>
      </c>
      <c r="L17" s="13">
        <v>61.3</v>
      </c>
      <c r="M17" s="13">
        <v>0</v>
      </c>
    </row>
    <row r="18" spans="1:13" x14ac:dyDescent="0.2">
      <c r="A18" s="2">
        <v>15</v>
      </c>
      <c r="B18" s="13">
        <v>96</v>
      </c>
      <c r="C18" s="13">
        <v>72</v>
      </c>
      <c r="D18" s="13">
        <v>0</v>
      </c>
      <c r="E18" s="13">
        <v>0</v>
      </c>
      <c r="F18" s="13">
        <v>32.700000000000003</v>
      </c>
      <c r="G18" s="13">
        <v>48</v>
      </c>
      <c r="H18" s="13">
        <v>48</v>
      </c>
      <c r="I18" s="13">
        <v>24</v>
      </c>
      <c r="J18" s="13">
        <v>20.9</v>
      </c>
      <c r="K18" s="13">
        <v>48</v>
      </c>
      <c r="L18" s="13">
        <v>48</v>
      </c>
      <c r="M18" s="13">
        <v>0</v>
      </c>
    </row>
    <row r="19" spans="1:13" x14ac:dyDescent="0.2">
      <c r="A19" s="2">
        <v>16</v>
      </c>
      <c r="B19" s="13">
        <v>95.1</v>
      </c>
      <c r="C19" s="13">
        <v>72</v>
      </c>
      <c r="D19" s="13">
        <v>0</v>
      </c>
      <c r="E19" s="13">
        <v>0</v>
      </c>
      <c r="F19" s="13">
        <v>24</v>
      </c>
      <c r="G19" s="13">
        <v>48</v>
      </c>
      <c r="H19" s="13">
        <v>48</v>
      </c>
      <c r="I19" s="13">
        <v>24</v>
      </c>
      <c r="J19" s="13">
        <v>39.299999999999997</v>
      </c>
      <c r="K19" s="13">
        <v>48</v>
      </c>
      <c r="L19" s="13">
        <v>48</v>
      </c>
      <c r="M19" s="13">
        <v>0</v>
      </c>
    </row>
    <row r="20" spans="1:13" x14ac:dyDescent="0.2">
      <c r="A20" s="2">
        <v>17</v>
      </c>
      <c r="B20" s="13">
        <v>77.400000000000006</v>
      </c>
      <c r="C20" s="13">
        <v>72</v>
      </c>
      <c r="D20" s="13">
        <v>0</v>
      </c>
      <c r="E20" s="13">
        <v>0</v>
      </c>
      <c r="F20" s="13">
        <v>24</v>
      </c>
      <c r="G20" s="13">
        <v>47.9</v>
      </c>
      <c r="H20" s="13">
        <v>32.5</v>
      </c>
      <c r="I20" s="13">
        <v>24</v>
      </c>
      <c r="J20" s="13">
        <v>48</v>
      </c>
      <c r="K20" s="13">
        <v>48</v>
      </c>
      <c r="L20" s="13">
        <v>62.9</v>
      </c>
      <c r="M20" s="13">
        <v>0</v>
      </c>
    </row>
    <row r="21" spans="1:13" x14ac:dyDescent="0.2">
      <c r="A21" s="2">
        <v>18</v>
      </c>
      <c r="B21" s="13">
        <v>72</v>
      </c>
      <c r="C21" s="13">
        <v>72</v>
      </c>
      <c r="D21" s="13">
        <v>0</v>
      </c>
      <c r="E21" s="13">
        <v>0</v>
      </c>
      <c r="F21" s="13">
        <v>24</v>
      </c>
      <c r="G21" s="13">
        <v>41.8</v>
      </c>
      <c r="H21" s="13">
        <v>24</v>
      </c>
      <c r="I21" s="13">
        <v>24</v>
      </c>
      <c r="J21" s="13">
        <v>77.099999999999994</v>
      </c>
      <c r="K21" s="13">
        <v>48</v>
      </c>
      <c r="L21" s="13">
        <v>52.7</v>
      </c>
      <c r="M21" s="13">
        <v>0</v>
      </c>
    </row>
    <row r="22" spans="1:13" x14ac:dyDescent="0.2">
      <c r="A22" s="2">
        <v>19</v>
      </c>
      <c r="B22" s="13">
        <v>72</v>
      </c>
      <c r="C22" s="13">
        <v>67.5</v>
      </c>
      <c r="D22" s="13">
        <v>0</v>
      </c>
      <c r="E22" s="13">
        <v>0</v>
      </c>
      <c r="F22" s="13">
        <v>24</v>
      </c>
      <c r="G22" s="13">
        <v>47.8</v>
      </c>
      <c r="H22" s="13">
        <v>24</v>
      </c>
      <c r="I22" s="13">
        <v>24</v>
      </c>
      <c r="J22" s="13">
        <v>96</v>
      </c>
      <c r="K22" s="13">
        <v>48</v>
      </c>
      <c r="L22" s="13">
        <v>38.9</v>
      </c>
      <c r="M22" s="13">
        <v>0</v>
      </c>
    </row>
    <row r="23" spans="1:13" x14ac:dyDescent="0.2">
      <c r="A23" s="2">
        <v>20</v>
      </c>
      <c r="B23" s="13">
        <v>52.3</v>
      </c>
      <c r="C23" s="13">
        <v>48</v>
      </c>
      <c r="D23" s="13">
        <v>0</v>
      </c>
      <c r="E23" s="13">
        <v>0</v>
      </c>
      <c r="F23" s="13">
        <v>24</v>
      </c>
      <c r="G23" s="13">
        <v>48</v>
      </c>
      <c r="H23" s="13">
        <v>24</v>
      </c>
      <c r="I23" s="13">
        <v>24</v>
      </c>
      <c r="J23" s="13">
        <v>96</v>
      </c>
      <c r="K23" s="13">
        <v>48</v>
      </c>
      <c r="L23" s="13">
        <v>72</v>
      </c>
      <c r="M23" s="13">
        <v>0</v>
      </c>
    </row>
    <row r="24" spans="1:13" x14ac:dyDescent="0.2">
      <c r="A24" s="2">
        <v>21</v>
      </c>
      <c r="B24" s="13">
        <v>62.3</v>
      </c>
      <c r="C24" s="13">
        <v>48</v>
      </c>
      <c r="D24" s="13">
        <v>0</v>
      </c>
      <c r="E24" s="13">
        <v>0</v>
      </c>
      <c r="F24" s="13">
        <v>24</v>
      </c>
      <c r="G24" s="13">
        <v>48</v>
      </c>
      <c r="H24" s="13">
        <v>24</v>
      </c>
      <c r="I24" s="13">
        <v>24</v>
      </c>
      <c r="J24" s="13">
        <v>96</v>
      </c>
      <c r="K24" s="13">
        <v>48</v>
      </c>
      <c r="L24" s="13">
        <v>70.8</v>
      </c>
      <c r="M24" s="13">
        <v>0</v>
      </c>
    </row>
    <row r="25" spans="1:13" x14ac:dyDescent="0.2">
      <c r="A25" s="2">
        <v>22</v>
      </c>
      <c r="B25" s="13">
        <v>72</v>
      </c>
      <c r="C25" s="13">
        <v>48</v>
      </c>
      <c r="D25" s="13">
        <v>0</v>
      </c>
      <c r="E25" s="13">
        <v>14.4</v>
      </c>
      <c r="F25" s="13">
        <v>24</v>
      </c>
      <c r="G25" s="13">
        <v>48</v>
      </c>
      <c r="H25" s="13">
        <v>24</v>
      </c>
      <c r="I25" s="13">
        <v>24</v>
      </c>
      <c r="J25" s="13">
        <v>96</v>
      </c>
      <c r="K25" s="13">
        <v>48</v>
      </c>
      <c r="L25" s="13">
        <v>72</v>
      </c>
      <c r="M25" s="13">
        <v>0</v>
      </c>
    </row>
    <row r="26" spans="1:13" x14ac:dyDescent="0.2">
      <c r="A26" s="2">
        <v>23</v>
      </c>
      <c r="B26" s="13">
        <v>72</v>
      </c>
      <c r="C26" s="13">
        <v>48</v>
      </c>
      <c r="D26" s="13">
        <v>0</v>
      </c>
      <c r="E26" s="13">
        <v>24</v>
      </c>
      <c r="F26" s="13">
        <v>24</v>
      </c>
      <c r="G26" s="13">
        <v>48</v>
      </c>
      <c r="H26" s="13">
        <v>24</v>
      </c>
      <c r="I26" s="13">
        <v>24</v>
      </c>
      <c r="J26" s="13">
        <v>96</v>
      </c>
      <c r="K26" s="13">
        <v>48</v>
      </c>
      <c r="L26" s="13">
        <v>29.7</v>
      </c>
      <c r="M26" s="13">
        <v>0</v>
      </c>
    </row>
    <row r="27" spans="1:13" x14ac:dyDescent="0.2">
      <c r="A27" s="2">
        <v>24</v>
      </c>
      <c r="B27" s="13">
        <v>72</v>
      </c>
      <c r="C27" s="13">
        <v>48</v>
      </c>
      <c r="D27" s="13">
        <v>0</v>
      </c>
      <c r="E27" s="13">
        <v>39.4</v>
      </c>
      <c r="F27" s="13">
        <v>24</v>
      </c>
      <c r="G27" s="13">
        <v>48</v>
      </c>
      <c r="H27" s="13">
        <v>24</v>
      </c>
      <c r="I27" s="13">
        <v>24</v>
      </c>
      <c r="J27" s="13">
        <v>96</v>
      </c>
      <c r="K27" s="13">
        <v>48</v>
      </c>
      <c r="L27" s="13">
        <v>48</v>
      </c>
      <c r="M27" s="13">
        <v>0</v>
      </c>
    </row>
    <row r="28" spans="1:13" x14ac:dyDescent="0.2">
      <c r="A28" s="2">
        <v>25</v>
      </c>
      <c r="B28" s="13">
        <v>72</v>
      </c>
      <c r="C28" s="13">
        <v>16.8</v>
      </c>
      <c r="D28" s="13">
        <v>0</v>
      </c>
      <c r="E28" s="13">
        <v>47.8</v>
      </c>
      <c r="F28" s="13">
        <v>24</v>
      </c>
      <c r="G28" s="13">
        <v>43.7</v>
      </c>
      <c r="H28" s="13">
        <v>24</v>
      </c>
      <c r="I28" s="13">
        <v>24</v>
      </c>
      <c r="J28" s="13">
        <v>89.3</v>
      </c>
      <c r="K28" s="13">
        <v>46.6</v>
      </c>
      <c r="L28" s="13">
        <v>48</v>
      </c>
      <c r="M28" s="13">
        <v>0</v>
      </c>
    </row>
    <row r="29" spans="1:13" x14ac:dyDescent="0.2">
      <c r="A29" s="2">
        <v>26</v>
      </c>
      <c r="B29" s="13">
        <v>72</v>
      </c>
      <c r="C29" s="13">
        <v>0</v>
      </c>
      <c r="D29" s="13">
        <v>0</v>
      </c>
      <c r="E29" s="13">
        <v>48</v>
      </c>
      <c r="F29" s="13">
        <v>24</v>
      </c>
      <c r="G29" s="13">
        <v>31.1</v>
      </c>
      <c r="H29" s="13">
        <v>24</v>
      </c>
      <c r="I29" s="13">
        <v>24</v>
      </c>
      <c r="J29" s="13">
        <v>78.400000000000006</v>
      </c>
      <c r="K29" s="13">
        <v>48</v>
      </c>
      <c r="L29" s="13">
        <v>48</v>
      </c>
      <c r="M29" s="13">
        <v>0</v>
      </c>
    </row>
    <row r="30" spans="1:13" x14ac:dyDescent="0.2">
      <c r="A30" s="2">
        <v>27</v>
      </c>
      <c r="B30" s="13">
        <v>72</v>
      </c>
      <c r="C30" s="13">
        <v>0</v>
      </c>
      <c r="D30" s="13">
        <v>0</v>
      </c>
      <c r="E30" s="13">
        <v>48</v>
      </c>
      <c r="F30" s="13">
        <v>24</v>
      </c>
      <c r="G30" s="13">
        <v>24</v>
      </c>
      <c r="H30" s="13">
        <v>24</v>
      </c>
      <c r="I30" s="13">
        <v>24</v>
      </c>
      <c r="J30" s="13">
        <v>86.6</v>
      </c>
      <c r="K30" s="13">
        <v>48</v>
      </c>
      <c r="L30" s="13">
        <v>36.1</v>
      </c>
      <c r="M30" s="13">
        <v>0</v>
      </c>
    </row>
    <row r="31" spans="1:13" x14ac:dyDescent="0.2">
      <c r="A31" s="2">
        <v>28</v>
      </c>
      <c r="B31" s="13">
        <v>72</v>
      </c>
      <c r="C31" s="13">
        <v>0</v>
      </c>
      <c r="D31" s="13">
        <v>0</v>
      </c>
      <c r="E31" s="13">
        <v>48</v>
      </c>
      <c r="F31" s="13">
        <v>24</v>
      </c>
      <c r="G31" s="13">
        <v>24</v>
      </c>
      <c r="H31" s="13">
        <v>24</v>
      </c>
      <c r="I31" s="13">
        <v>24</v>
      </c>
      <c r="J31" s="13">
        <v>96</v>
      </c>
      <c r="K31" s="13">
        <v>48</v>
      </c>
      <c r="L31" s="13">
        <v>38.799999999999997</v>
      </c>
      <c r="M31" s="13">
        <v>0</v>
      </c>
    </row>
    <row r="32" spans="1:13" x14ac:dyDescent="0.2">
      <c r="A32" s="2">
        <v>29</v>
      </c>
      <c r="B32" s="13">
        <v>66.900000000000006</v>
      </c>
      <c r="C32" s="7" t="s">
        <v>14</v>
      </c>
      <c r="D32" s="13">
        <v>0</v>
      </c>
      <c r="E32" s="13">
        <v>55.2</v>
      </c>
      <c r="F32" s="13">
        <v>24</v>
      </c>
      <c r="G32" s="13">
        <v>24</v>
      </c>
      <c r="H32" s="13">
        <v>24</v>
      </c>
      <c r="I32" s="13">
        <v>24</v>
      </c>
      <c r="J32" s="13">
        <v>96</v>
      </c>
      <c r="K32" s="13">
        <v>48</v>
      </c>
      <c r="L32" s="13">
        <v>48</v>
      </c>
      <c r="M32" s="13">
        <v>0</v>
      </c>
    </row>
    <row r="33" spans="1:15" x14ac:dyDescent="0.2">
      <c r="A33" s="2">
        <v>30</v>
      </c>
      <c r="B33" s="13">
        <v>65.400000000000006</v>
      </c>
      <c r="C33" s="7" t="s">
        <v>14</v>
      </c>
      <c r="D33" s="13">
        <v>0</v>
      </c>
      <c r="E33" s="13">
        <v>57</v>
      </c>
      <c r="F33" s="13">
        <v>39.4</v>
      </c>
      <c r="G33" s="13">
        <v>24</v>
      </c>
      <c r="H33" s="13">
        <v>24</v>
      </c>
      <c r="I33" s="13">
        <v>24</v>
      </c>
      <c r="J33" s="13">
        <v>68.099999999999994</v>
      </c>
      <c r="K33" s="13">
        <v>48</v>
      </c>
      <c r="L33" s="13">
        <v>48</v>
      </c>
      <c r="M33" s="13">
        <v>0</v>
      </c>
    </row>
    <row r="34" spans="1:15" x14ac:dyDescent="0.2">
      <c r="A34" s="2">
        <v>31</v>
      </c>
      <c r="B34" s="13">
        <v>72</v>
      </c>
      <c r="C34" s="7" t="s">
        <v>14</v>
      </c>
      <c r="D34" s="13">
        <v>0</v>
      </c>
      <c r="E34" s="7" t="s">
        <v>14</v>
      </c>
      <c r="F34" s="13">
        <v>39.4</v>
      </c>
      <c r="G34" s="14" t="s">
        <v>14</v>
      </c>
      <c r="H34" s="13">
        <v>24</v>
      </c>
      <c r="I34" s="13">
        <v>24</v>
      </c>
      <c r="J34" s="7" t="s">
        <v>14</v>
      </c>
      <c r="K34" s="13">
        <v>48</v>
      </c>
      <c r="L34" s="7" t="s">
        <v>14</v>
      </c>
      <c r="M34" s="13">
        <v>0</v>
      </c>
    </row>
    <row r="36" spans="1:15" x14ac:dyDescent="0.2">
      <c r="A36" s="15" t="s">
        <v>23</v>
      </c>
      <c r="B36" s="16">
        <f>SUM(B4:B35)</f>
        <v>2545.3000000000002</v>
      </c>
      <c r="C36" s="16">
        <f t="shared" ref="C36:M36" si="0">SUM(C4:C35)</f>
        <v>1620.3</v>
      </c>
      <c r="D36" s="16">
        <f t="shared" si="0"/>
        <v>0</v>
      </c>
      <c r="E36" s="16">
        <f t="shared" si="0"/>
        <v>381.8</v>
      </c>
      <c r="F36" s="16">
        <f t="shared" si="0"/>
        <v>1140.0000000000002</v>
      </c>
      <c r="G36" s="16">
        <f t="shared" si="0"/>
        <v>1237.5999999999997</v>
      </c>
      <c r="H36" s="16">
        <f t="shared" si="0"/>
        <v>877.6</v>
      </c>
      <c r="I36" s="16">
        <f t="shared" si="0"/>
        <v>736.6</v>
      </c>
      <c r="J36" s="16">
        <f t="shared" si="0"/>
        <v>1709.8</v>
      </c>
      <c r="K36" s="16">
        <f t="shared" si="0"/>
        <v>1610.1</v>
      </c>
      <c r="L36" s="16">
        <f t="shared" si="0"/>
        <v>1749.2</v>
      </c>
      <c r="M36" s="16">
        <f t="shared" si="0"/>
        <v>761.2</v>
      </c>
      <c r="N36" s="4"/>
    </row>
    <row r="37" spans="1:15" x14ac:dyDescent="0.2">
      <c r="A37" s="15" t="s">
        <v>24</v>
      </c>
      <c r="B37" s="16">
        <f>+B36</f>
        <v>2545.3000000000002</v>
      </c>
      <c r="C37" s="16">
        <f>+B37+C36</f>
        <v>4165.6000000000004</v>
      </c>
      <c r="D37" s="16">
        <f t="shared" ref="D37:L37" si="1">+C37+D36</f>
        <v>4165.6000000000004</v>
      </c>
      <c r="E37" s="16">
        <f t="shared" si="1"/>
        <v>4547.4000000000005</v>
      </c>
      <c r="F37" s="16">
        <f t="shared" si="1"/>
        <v>5687.4000000000005</v>
      </c>
      <c r="G37" s="16">
        <f t="shared" si="1"/>
        <v>6925</v>
      </c>
      <c r="H37" s="16">
        <f t="shared" si="1"/>
        <v>7802.6</v>
      </c>
      <c r="I37" s="16">
        <f t="shared" si="1"/>
        <v>8539.2000000000007</v>
      </c>
      <c r="J37" s="16">
        <f t="shared" si="1"/>
        <v>10249</v>
      </c>
      <c r="K37" s="16">
        <f t="shared" si="1"/>
        <v>11859.1</v>
      </c>
      <c r="L37" s="16">
        <f t="shared" si="1"/>
        <v>13608.300000000001</v>
      </c>
      <c r="M37" s="16">
        <f>+L37+M36</f>
        <v>14369.500000000002</v>
      </c>
      <c r="N37" s="4"/>
    </row>
    <row r="38" spans="1:15" x14ac:dyDescent="0.2">
      <c r="A38" s="15" t="s">
        <v>14</v>
      </c>
      <c r="B38" s="15" t="s">
        <v>14</v>
      </c>
      <c r="C38" s="15" t="s">
        <v>14</v>
      </c>
      <c r="D38" s="15" t="s">
        <v>14</v>
      </c>
      <c r="E38" s="15" t="s">
        <v>14</v>
      </c>
      <c r="F38" s="15" t="s">
        <v>14</v>
      </c>
      <c r="G38" s="15" t="s">
        <v>14</v>
      </c>
      <c r="H38" s="15" t="s">
        <v>14</v>
      </c>
      <c r="I38" s="15" t="s">
        <v>14</v>
      </c>
      <c r="J38" s="15" t="s">
        <v>14</v>
      </c>
      <c r="K38" s="15" t="s">
        <v>14</v>
      </c>
      <c r="L38" s="15" t="s">
        <v>14</v>
      </c>
      <c r="M38" s="15" t="s">
        <v>14</v>
      </c>
      <c r="N38" s="15" t="s">
        <v>14</v>
      </c>
      <c r="O38" s="15" t="s">
        <v>14</v>
      </c>
    </row>
    <row r="39" spans="1:15" x14ac:dyDescent="0.2">
      <c r="A39" s="15" t="s">
        <v>14</v>
      </c>
      <c r="B39" s="15" t="s">
        <v>14</v>
      </c>
      <c r="C39" s="15" t="s">
        <v>14</v>
      </c>
      <c r="D39" s="15" t="s">
        <v>14</v>
      </c>
      <c r="E39" s="15" t="s">
        <v>14</v>
      </c>
      <c r="F39" s="15" t="s">
        <v>14</v>
      </c>
      <c r="G39" s="15" t="s">
        <v>14</v>
      </c>
      <c r="H39" s="15" t="s">
        <v>14</v>
      </c>
      <c r="I39" s="15" t="s">
        <v>14</v>
      </c>
      <c r="J39" s="15" t="s">
        <v>14</v>
      </c>
      <c r="K39" s="15" t="s">
        <v>14</v>
      </c>
      <c r="L39" s="15" t="s">
        <v>14</v>
      </c>
      <c r="M39" s="15" t="s">
        <v>14</v>
      </c>
      <c r="N39" s="15" t="s">
        <v>14</v>
      </c>
      <c r="O39" s="15" t="s">
        <v>14</v>
      </c>
    </row>
    <row r="40" spans="1:15" x14ac:dyDescent="0.2">
      <c r="A40" s="15" t="s">
        <v>14</v>
      </c>
      <c r="B40" s="15" t="s">
        <v>14</v>
      </c>
      <c r="C40" s="15" t="s">
        <v>14</v>
      </c>
      <c r="D40" s="15" t="s">
        <v>14</v>
      </c>
      <c r="E40" s="15" t="s">
        <v>14</v>
      </c>
      <c r="F40" s="15" t="s">
        <v>14</v>
      </c>
      <c r="G40" s="15" t="s">
        <v>14</v>
      </c>
      <c r="H40" s="15" t="s">
        <v>14</v>
      </c>
      <c r="I40" s="15" t="s">
        <v>14</v>
      </c>
      <c r="J40" s="15" t="s">
        <v>14</v>
      </c>
      <c r="K40" s="15" t="s">
        <v>14</v>
      </c>
      <c r="L40" s="15" t="s">
        <v>14</v>
      </c>
      <c r="M40" s="15" t="s">
        <v>14</v>
      </c>
      <c r="N40" s="15" t="s">
        <v>14</v>
      </c>
      <c r="O40" s="15" t="s">
        <v>14</v>
      </c>
    </row>
    <row r="41" spans="1:15" x14ac:dyDescent="0.2">
      <c r="A41" s="15" t="s">
        <v>14</v>
      </c>
      <c r="B41" s="15" t="s">
        <v>14</v>
      </c>
      <c r="C41" s="15" t="s">
        <v>14</v>
      </c>
      <c r="D41" s="15" t="s">
        <v>14</v>
      </c>
      <c r="E41" s="15" t="s">
        <v>14</v>
      </c>
      <c r="F41" s="15" t="s">
        <v>14</v>
      </c>
      <c r="G41" s="15" t="s">
        <v>14</v>
      </c>
      <c r="H41" s="15" t="s">
        <v>14</v>
      </c>
      <c r="I41" s="15" t="s">
        <v>14</v>
      </c>
      <c r="J41" s="15" t="s">
        <v>14</v>
      </c>
      <c r="K41" s="15" t="s">
        <v>14</v>
      </c>
      <c r="L41" s="15" t="s">
        <v>14</v>
      </c>
      <c r="M41" s="15" t="s">
        <v>14</v>
      </c>
      <c r="N41" s="15" t="s">
        <v>14</v>
      </c>
      <c r="O41" s="15" t="s">
        <v>14</v>
      </c>
    </row>
    <row r="42" spans="1:15" x14ac:dyDescent="0.2">
      <c r="A42" s="15" t="s">
        <v>14</v>
      </c>
      <c r="B42" s="15" t="s">
        <v>14</v>
      </c>
      <c r="C42" s="15" t="s">
        <v>14</v>
      </c>
      <c r="D42" s="15" t="s">
        <v>14</v>
      </c>
      <c r="E42" s="15" t="s">
        <v>14</v>
      </c>
      <c r="F42" s="15" t="s">
        <v>14</v>
      </c>
      <c r="G42" s="15" t="s">
        <v>14</v>
      </c>
      <c r="H42" s="15" t="s">
        <v>14</v>
      </c>
      <c r="I42" s="15" t="s">
        <v>14</v>
      </c>
      <c r="J42" s="15" t="s">
        <v>14</v>
      </c>
      <c r="K42" s="15" t="s">
        <v>14</v>
      </c>
      <c r="L42" s="15" t="s">
        <v>14</v>
      </c>
      <c r="M42" s="15" t="s">
        <v>14</v>
      </c>
      <c r="N42" s="15" t="s">
        <v>14</v>
      </c>
      <c r="O42" s="15" t="s">
        <v>14</v>
      </c>
    </row>
    <row r="43" spans="1:15" x14ac:dyDescent="0.2">
      <c r="A43" s="15" t="s">
        <v>14</v>
      </c>
      <c r="B43" s="15" t="s">
        <v>14</v>
      </c>
      <c r="C43" s="15" t="s">
        <v>14</v>
      </c>
      <c r="D43" s="15" t="s">
        <v>14</v>
      </c>
      <c r="E43" s="15" t="s">
        <v>14</v>
      </c>
      <c r="F43" s="15" t="s">
        <v>14</v>
      </c>
      <c r="G43" s="15" t="s">
        <v>14</v>
      </c>
      <c r="H43" s="15" t="s">
        <v>14</v>
      </c>
      <c r="I43" s="15" t="s">
        <v>14</v>
      </c>
      <c r="J43" s="15" t="s">
        <v>14</v>
      </c>
      <c r="K43" s="15" t="s">
        <v>14</v>
      </c>
      <c r="L43" s="15" t="s">
        <v>14</v>
      </c>
      <c r="M43" s="15" t="s">
        <v>14</v>
      </c>
      <c r="N43" s="15" t="s">
        <v>14</v>
      </c>
      <c r="O43" s="15" t="s">
        <v>14</v>
      </c>
    </row>
    <row r="44" spans="1:15" x14ac:dyDescent="0.2">
      <c r="A44" s="15" t="s">
        <v>14</v>
      </c>
      <c r="B44" s="15" t="s">
        <v>14</v>
      </c>
      <c r="C44" s="15" t="s">
        <v>14</v>
      </c>
      <c r="D44" s="15" t="s">
        <v>14</v>
      </c>
      <c r="E44" s="15" t="s">
        <v>14</v>
      </c>
      <c r="F44" s="15" t="s">
        <v>14</v>
      </c>
      <c r="G44" s="15" t="s">
        <v>14</v>
      </c>
      <c r="H44" s="15" t="s">
        <v>14</v>
      </c>
      <c r="I44" s="15" t="s">
        <v>14</v>
      </c>
      <c r="J44" s="15" t="s">
        <v>14</v>
      </c>
      <c r="K44" s="15" t="s">
        <v>14</v>
      </c>
      <c r="L44" s="15" t="s">
        <v>14</v>
      </c>
      <c r="M44" s="15" t="s">
        <v>14</v>
      </c>
      <c r="N44" s="15" t="s">
        <v>14</v>
      </c>
      <c r="O44" s="15" t="s">
        <v>14</v>
      </c>
    </row>
    <row r="45" spans="1:15" x14ac:dyDescent="0.2">
      <c r="A45" s="15" t="s">
        <v>14</v>
      </c>
      <c r="B45" s="15" t="s">
        <v>14</v>
      </c>
      <c r="C45" s="15" t="s">
        <v>14</v>
      </c>
      <c r="D45" s="15" t="s">
        <v>14</v>
      </c>
      <c r="E45" s="15" t="s">
        <v>14</v>
      </c>
      <c r="F45" s="15" t="s">
        <v>14</v>
      </c>
      <c r="G45" s="15" t="s">
        <v>14</v>
      </c>
      <c r="H45" s="15" t="s">
        <v>14</v>
      </c>
      <c r="I45" s="15" t="s">
        <v>14</v>
      </c>
      <c r="J45" s="15" t="s">
        <v>14</v>
      </c>
      <c r="K45" s="15" t="s">
        <v>14</v>
      </c>
      <c r="L45" s="15" t="s">
        <v>14</v>
      </c>
      <c r="M45" s="15" t="s">
        <v>14</v>
      </c>
      <c r="N45" s="15" t="s">
        <v>14</v>
      </c>
      <c r="O45" s="15" t="s">
        <v>14</v>
      </c>
    </row>
    <row r="46" spans="1:15" x14ac:dyDescent="0.2">
      <c r="A46" s="15" t="s">
        <v>14</v>
      </c>
      <c r="B46" s="15" t="s">
        <v>14</v>
      </c>
      <c r="C46" s="15" t="s">
        <v>14</v>
      </c>
      <c r="D46" s="15" t="s">
        <v>14</v>
      </c>
      <c r="E46" s="15" t="s">
        <v>14</v>
      </c>
      <c r="F46" s="15" t="s">
        <v>14</v>
      </c>
      <c r="G46" s="15" t="s">
        <v>14</v>
      </c>
      <c r="H46" s="15" t="s">
        <v>14</v>
      </c>
      <c r="I46" s="15" t="s">
        <v>14</v>
      </c>
      <c r="J46" s="15" t="s">
        <v>14</v>
      </c>
      <c r="K46" s="15" t="s">
        <v>14</v>
      </c>
      <c r="L46" s="15" t="s">
        <v>14</v>
      </c>
      <c r="M46" s="15" t="s">
        <v>14</v>
      </c>
      <c r="N46" s="15" t="s">
        <v>14</v>
      </c>
      <c r="O46" s="15" t="s">
        <v>14</v>
      </c>
    </row>
    <row r="47" spans="1:15" x14ac:dyDescent="0.2">
      <c r="A47" s="15" t="s">
        <v>14</v>
      </c>
      <c r="B47" s="15" t="s">
        <v>14</v>
      </c>
      <c r="C47" s="15" t="s">
        <v>14</v>
      </c>
      <c r="D47" s="15" t="s">
        <v>14</v>
      </c>
      <c r="E47" s="15" t="s">
        <v>14</v>
      </c>
      <c r="F47" s="15" t="s">
        <v>14</v>
      </c>
      <c r="G47" s="15" t="s">
        <v>14</v>
      </c>
      <c r="H47" s="15" t="s">
        <v>14</v>
      </c>
      <c r="I47" s="15" t="s">
        <v>14</v>
      </c>
      <c r="J47" s="15" t="s">
        <v>14</v>
      </c>
      <c r="K47" s="15" t="s">
        <v>14</v>
      </c>
      <c r="L47" s="15" t="s">
        <v>14</v>
      </c>
      <c r="M47" s="15" t="s">
        <v>14</v>
      </c>
      <c r="N47" s="15" t="s">
        <v>14</v>
      </c>
      <c r="O47" s="15" t="s">
        <v>14</v>
      </c>
    </row>
    <row r="48" spans="1:15" x14ac:dyDescent="0.2">
      <c r="A48" s="15" t="s">
        <v>14</v>
      </c>
      <c r="B48" s="15" t="s">
        <v>14</v>
      </c>
      <c r="C48" s="15" t="s">
        <v>14</v>
      </c>
      <c r="D48" s="15" t="s">
        <v>14</v>
      </c>
      <c r="E48" s="15" t="s">
        <v>14</v>
      </c>
      <c r="F48" s="15" t="s">
        <v>14</v>
      </c>
      <c r="G48" s="15" t="s">
        <v>14</v>
      </c>
      <c r="H48" s="15" t="s">
        <v>14</v>
      </c>
      <c r="I48" s="15" t="s">
        <v>14</v>
      </c>
      <c r="J48" s="15" t="s">
        <v>14</v>
      </c>
      <c r="K48" s="15" t="s">
        <v>14</v>
      </c>
      <c r="L48" s="15" t="s">
        <v>14</v>
      </c>
      <c r="M48" s="15" t="s">
        <v>14</v>
      </c>
      <c r="N48" s="15" t="s">
        <v>14</v>
      </c>
      <c r="O48" s="15" t="s">
        <v>14</v>
      </c>
    </row>
    <row r="49" spans="1:15" x14ac:dyDescent="0.2">
      <c r="A49" s="15" t="s">
        <v>14</v>
      </c>
      <c r="B49" s="15" t="s">
        <v>14</v>
      </c>
      <c r="C49" s="15" t="s">
        <v>14</v>
      </c>
      <c r="D49" s="15" t="s">
        <v>14</v>
      </c>
      <c r="E49" s="15" t="s">
        <v>14</v>
      </c>
      <c r="F49" s="15" t="s">
        <v>14</v>
      </c>
      <c r="G49" s="15" t="s">
        <v>14</v>
      </c>
      <c r="H49" s="15" t="s">
        <v>14</v>
      </c>
      <c r="I49" s="15" t="s">
        <v>14</v>
      </c>
      <c r="J49" s="15" t="s">
        <v>14</v>
      </c>
      <c r="K49" s="15" t="s">
        <v>14</v>
      </c>
      <c r="L49" s="15" t="s">
        <v>14</v>
      </c>
      <c r="M49" s="15" t="s">
        <v>14</v>
      </c>
      <c r="N49" s="15" t="s">
        <v>14</v>
      </c>
      <c r="O49" s="15" t="s">
        <v>14</v>
      </c>
    </row>
    <row r="50" spans="1:15" x14ac:dyDescent="0.2">
      <c r="A50" s="15" t="s">
        <v>14</v>
      </c>
      <c r="B50" s="15" t="s">
        <v>14</v>
      </c>
      <c r="C50" s="15" t="s">
        <v>14</v>
      </c>
      <c r="D50" s="15" t="s">
        <v>14</v>
      </c>
      <c r="E50" s="15" t="s">
        <v>14</v>
      </c>
      <c r="F50" s="15" t="s">
        <v>14</v>
      </c>
      <c r="G50" s="15" t="s">
        <v>14</v>
      </c>
      <c r="H50" s="15" t="s">
        <v>14</v>
      </c>
      <c r="I50" s="15" t="s">
        <v>14</v>
      </c>
      <c r="J50" s="15" t="s">
        <v>14</v>
      </c>
      <c r="K50" s="15" t="s">
        <v>14</v>
      </c>
      <c r="L50" s="15" t="s">
        <v>14</v>
      </c>
      <c r="M50" s="15" t="s">
        <v>14</v>
      </c>
      <c r="N50" s="15" t="s">
        <v>14</v>
      </c>
      <c r="O50" s="15" t="s">
        <v>14</v>
      </c>
    </row>
    <row r="51" spans="1:15" x14ac:dyDescent="0.2">
      <c r="A51" s="15" t="s">
        <v>14</v>
      </c>
      <c r="B51" s="15" t="s">
        <v>14</v>
      </c>
      <c r="C51" s="15" t="s">
        <v>14</v>
      </c>
      <c r="D51" s="15" t="s">
        <v>14</v>
      </c>
      <c r="E51" s="15" t="s">
        <v>14</v>
      </c>
      <c r="F51" s="15" t="s">
        <v>14</v>
      </c>
      <c r="G51" s="15" t="s">
        <v>14</v>
      </c>
      <c r="H51" s="15" t="s">
        <v>14</v>
      </c>
      <c r="I51" s="15" t="s">
        <v>14</v>
      </c>
      <c r="J51" s="15" t="s">
        <v>14</v>
      </c>
      <c r="K51" s="15" t="s">
        <v>14</v>
      </c>
      <c r="L51" s="15" t="s">
        <v>14</v>
      </c>
      <c r="M51" s="15" t="s">
        <v>14</v>
      </c>
      <c r="N51" s="15" t="s">
        <v>14</v>
      </c>
      <c r="O51" s="15" t="s">
        <v>14</v>
      </c>
    </row>
    <row r="52" spans="1:15" x14ac:dyDescent="0.2">
      <c r="A52" s="15" t="s">
        <v>14</v>
      </c>
      <c r="B52" s="15" t="s">
        <v>14</v>
      </c>
      <c r="C52" s="15" t="s">
        <v>14</v>
      </c>
      <c r="D52" s="15" t="s">
        <v>14</v>
      </c>
      <c r="E52" s="15" t="s">
        <v>14</v>
      </c>
      <c r="F52" s="15" t="s">
        <v>14</v>
      </c>
      <c r="G52" s="15" t="s">
        <v>14</v>
      </c>
      <c r="H52" s="15" t="s">
        <v>14</v>
      </c>
      <c r="I52" s="15" t="s">
        <v>14</v>
      </c>
      <c r="J52" s="15" t="s">
        <v>14</v>
      </c>
      <c r="K52" s="15" t="s">
        <v>14</v>
      </c>
      <c r="L52" s="15" t="s">
        <v>14</v>
      </c>
      <c r="M52" s="15" t="s">
        <v>14</v>
      </c>
      <c r="N52" s="15" t="s">
        <v>14</v>
      </c>
      <c r="O52" s="15" t="s">
        <v>14</v>
      </c>
    </row>
    <row r="53" spans="1:15" x14ac:dyDescent="0.2">
      <c r="A53" s="15" t="s">
        <v>14</v>
      </c>
      <c r="B53" s="15" t="s">
        <v>14</v>
      </c>
      <c r="C53" s="15" t="s">
        <v>14</v>
      </c>
      <c r="D53" s="15" t="s">
        <v>14</v>
      </c>
      <c r="E53" s="15" t="s">
        <v>14</v>
      </c>
      <c r="F53" s="15" t="s">
        <v>14</v>
      </c>
      <c r="G53" s="15" t="s">
        <v>14</v>
      </c>
      <c r="H53" s="15" t="s">
        <v>14</v>
      </c>
      <c r="I53" s="15" t="s">
        <v>14</v>
      </c>
      <c r="J53" s="15" t="s">
        <v>14</v>
      </c>
      <c r="K53" s="15" t="s">
        <v>14</v>
      </c>
      <c r="L53" s="15" t="s">
        <v>14</v>
      </c>
      <c r="M53" s="15" t="s">
        <v>14</v>
      </c>
      <c r="N53" s="15" t="s">
        <v>14</v>
      </c>
      <c r="O53" s="15" t="s">
        <v>14</v>
      </c>
    </row>
  </sheetData>
  <sheetProtection sheet="1" objects="1" scenarios="1"/>
  <pageMargins left="0.11" right="0.12" top="1" bottom="1" header="0.5" footer="0.5"/>
  <pageSetup scale="78" orientation="portrait" horizontalDpi="180" verticalDpi="180" r:id="rId1"/>
  <headerFooter alignWithMargins="0">
    <oddHeader>&amp;A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"/>
  <sheetViews>
    <sheetView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cols>
    <col min="1" max="14" width="9.7109375" customWidth="1"/>
  </cols>
  <sheetData>
    <row r="1" spans="1:13" x14ac:dyDescent="0.2">
      <c r="A1" t="s">
        <v>25</v>
      </c>
      <c r="K1" t="s">
        <v>25</v>
      </c>
    </row>
    <row r="3" spans="1:13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</row>
    <row r="4" spans="1:13" x14ac:dyDescent="0.2">
      <c r="A4" s="2">
        <v>1</v>
      </c>
      <c r="B4" s="3">
        <v>451</v>
      </c>
      <c r="C4" s="3">
        <v>452</v>
      </c>
      <c r="D4" s="3">
        <v>0</v>
      </c>
      <c r="E4" s="3">
        <v>0</v>
      </c>
      <c r="F4" s="3">
        <v>347</v>
      </c>
      <c r="G4" s="3">
        <v>321</v>
      </c>
      <c r="H4" s="3">
        <v>160</v>
      </c>
      <c r="I4" s="3">
        <v>112</v>
      </c>
      <c r="J4" s="3">
        <v>160</v>
      </c>
      <c r="K4" s="3">
        <v>288</v>
      </c>
      <c r="L4" s="3">
        <v>318</v>
      </c>
      <c r="M4" s="3">
        <v>392</v>
      </c>
    </row>
    <row r="5" spans="1:13" x14ac:dyDescent="0.2">
      <c r="A5" s="2">
        <v>2</v>
      </c>
      <c r="B5" s="3">
        <v>503</v>
      </c>
      <c r="C5" s="3">
        <v>451</v>
      </c>
      <c r="D5" s="3">
        <v>0</v>
      </c>
      <c r="E5" s="3">
        <v>0</v>
      </c>
      <c r="F5" s="3">
        <v>301</v>
      </c>
      <c r="G5" s="3">
        <v>241</v>
      </c>
      <c r="H5" s="3">
        <v>160</v>
      </c>
      <c r="I5" s="3">
        <v>160</v>
      </c>
      <c r="J5" s="3">
        <v>160</v>
      </c>
      <c r="K5" s="3">
        <v>329</v>
      </c>
      <c r="L5" s="3">
        <v>318</v>
      </c>
      <c r="M5" s="3">
        <v>450</v>
      </c>
    </row>
    <row r="6" spans="1:13" x14ac:dyDescent="0.2">
      <c r="A6" s="2">
        <v>3</v>
      </c>
      <c r="B6" s="3">
        <v>553</v>
      </c>
      <c r="C6" s="3">
        <v>451</v>
      </c>
      <c r="D6" s="3">
        <v>0</v>
      </c>
      <c r="E6" s="3">
        <v>0</v>
      </c>
      <c r="F6" s="3">
        <v>301</v>
      </c>
      <c r="G6" s="3">
        <v>205</v>
      </c>
      <c r="H6" s="3">
        <v>160</v>
      </c>
      <c r="I6" s="3">
        <v>160</v>
      </c>
      <c r="J6" s="3">
        <v>160</v>
      </c>
      <c r="K6" s="3">
        <v>394</v>
      </c>
      <c r="L6" s="3">
        <v>394</v>
      </c>
      <c r="M6" s="3">
        <v>450</v>
      </c>
    </row>
    <row r="7" spans="1:13" x14ac:dyDescent="0.2">
      <c r="A7" s="2">
        <v>4</v>
      </c>
      <c r="B7" s="3">
        <v>555</v>
      </c>
      <c r="C7" s="3">
        <v>451</v>
      </c>
      <c r="D7" s="3">
        <v>0</v>
      </c>
      <c r="E7" s="3">
        <v>0</v>
      </c>
      <c r="F7" s="3">
        <v>301</v>
      </c>
      <c r="G7" s="3">
        <v>300</v>
      </c>
      <c r="H7" s="3">
        <v>160</v>
      </c>
      <c r="I7" s="3">
        <v>159</v>
      </c>
      <c r="J7" s="3">
        <v>160</v>
      </c>
      <c r="K7" s="3">
        <v>450</v>
      </c>
      <c r="L7" s="3">
        <v>452</v>
      </c>
      <c r="M7" s="3">
        <v>450</v>
      </c>
    </row>
    <row r="8" spans="1:13" x14ac:dyDescent="0.2">
      <c r="A8" s="2">
        <v>5</v>
      </c>
      <c r="B8" s="3">
        <v>555</v>
      </c>
      <c r="C8" s="3">
        <v>451</v>
      </c>
      <c r="D8" s="3">
        <v>0</v>
      </c>
      <c r="E8" s="3">
        <v>0</v>
      </c>
      <c r="F8" s="3">
        <v>301</v>
      </c>
      <c r="G8" s="3">
        <v>301</v>
      </c>
      <c r="H8" s="3">
        <v>160</v>
      </c>
      <c r="I8" s="3">
        <v>160</v>
      </c>
      <c r="J8" s="3">
        <v>160</v>
      </c>
      <c r="K8" s="3">
        <v>449</v>
      </c>
      <c r="L8" s="3">
        <v>452</v>
      </c>
      <c r="M8" s="3">
        <v>450</v>
      </c>
    </row>
    <row r="9" spans="1:13" x14ac:dyDescent="0.2">
      <c r="A9" s="2">
        <v>6</v>
      </c>
      <c r="B9" s="3">
        <v>556</v>
      </c>
      <c r="C9" s="3">
        <v>451</v>
      </c>
      <c r="D9" s="3">
        <v>0</v>
      </c>
      <c r="E9" s="3">
        <v>0</v>
      </c>
      <c r="F9" s="3">
        <v>349</v>
      </c>
      <c r="G9" s="3">
        <v>299</v>
      </c>
      <c r="H9" s="3">
        <v>160</v>
      </c>
      <c r="I9" s="3">
        <v>160</v>
      </c>
      <c r="J9" s="3">
        <v>160</v>
      </c>
      <c r="K9" s="3">
        <v>452</v>
      </c>
      <c r="L9" s="3">
        <v>452</v>
      </c>
      <c r="M9" s="3">
        <v>360</v>
      </c>
    </row>
    <row r="10" spans="1:13" x14ac:dyDescent="0.2">
      <c r="A10" s="2">
        <v>7</v>
      </c>
      <c r="B10" s="3">
        <v>556</v>
      </c>
      <c r="C10" s="3">
        <v>451</v>
      </c>
      <c r="D10" s="3">
        <v>0</v>
      </c>
      <c r="E10" s="3">
        <v>0</v>
      </c>
      <c r="F10" s="3">
        <v>348</v>
      </c>
      <c r="G10" s="3">
        <v>300</v>
      </c>
      <c r="H10" s="3">
        <v>158</v>
      </c>
      <c r="I10" s="3">
        <v>160</v>
      </c>
      <c r="J10" s="3">
        <v>160</v>
      </c>
      <c r="K10" s="3">
        <v>452</v>
      </c>
      <c r="L10" s="3">
        <v>452</v>
      </c>
      <c r="M10" s="3">
        <v>300</v>
      </c>
    </row>
    <row r="11" spans="1:13" x14ac:dyDescent="0.2">
      <c r="A11" s="2">
        <v>8</v>
      </c>
      <c r="B11" s="3">
        <v>556</v>
      </c>
      <c r="C11" s="3">
        <v>451</v>
      </c>
      <c r="D11" s="3">
        <v>0</v>
      </c>
      <c r="E11" s="3">
        <v>0</v>
      </c>
      <c r="F11" s="3">
        <v>301</v>
      </c>
      <c r="G11" s="3">
        <v>300</v>
      </c>
      <c r="H11" s="3">
        <v>204</v>
      </c>
      <c r="I11" s="3">
        <v>160</v>
      </c>
      <c r="J11" s="3">
        <v>160</v>
      </c>
      <c r="K11" s="3">
        <v>381</v>
      </c>
      <c r="L11" s="3">
        <v>452</v>
      </c>
      <c r="M11" s="3">
        <v>387</v>
      </c>
    </row>
    <row r="12" spans="1:13" x14ac:dyDescent="0.2">
      <c r="A12" s="2">
        <v>9</v>
      </c>
      <c r="B12" s="3">
        <v>556</v>
      </c>
      <c r="C12" s="3">
        <v>451</v>
      </c>
      <c r="D12" s="3">
        <v>0</v>
      </c>
      <c r="E12" s="3">
        <v>0</v>
      </c>
      <c r="F12" s="3">
        <v>301</v>
      </c>
      <c r="G12" s="3">
        <v>301</v>
      </c>
      <c r="H12" s="3">
        <v>263</v>
      </c>
      <c r="I12" s="3">
        <v>160</v>
      </c>
      <c r="J12" s="3">
        <v>258</v>
      </c>
      <c r="K12" s="3">
        <v>284</v>
      </c>
      <c r="L12" s="3">
        <v>452</v>
      </c>
      <c r="M12" s="3">
        <v>450</v>
      </c>
    </row>
    <row r="13" spans="1:13" x14ac:dyDescent="0.2">
      <c r="A13" s="2">
        <v>10</v>
      </c>
      <c r="B13" s="3">
        <v>556</v>
      </c>
      <c r="C13" s="3">
        <v>451</v>
      </c>
      <c r="D13" s="3">
        <v>0</v>
      </c>
      <c r="E13" s="3">
        <v>0</v>
      </c>
      <c r="F13" s="3">
        <v>301</v>
      </c>
      <c r="G13" s="3">
        <v>259</v>
      </c>
      <c r="H13" s="3">
        <v>281</v>
      </c>
      <c r="I13" s="3">
        <v>160</v>
      </c>
      <c r="J13" s="3">
        <v>319</v>
      </c>
      <c r="K13" s="3">
        <v>298</v>
      </c>
      <c r="L13" s="3">
        <v>451</v>
      </c>
      <c r="M13" s="3">
        <v>450</v>
      </c>
    </row>
    <row r="14" spans="1:13" x14ac:dyDescent="0.2">
      <c r="A14" s="2">
        <v>11</v>
      </c>
      <c r="B14" s="3">
        <v>556</v>
      </c>
      <c r="C14" s="3">
        <v>451</v>
      </c>
      <c r="D14" s="3">
        <v>0</v>
      </c>
      <c r="E14" s="3">
        <v>0</v>
      </c>
      <c r="F14" s="3">
        <v>295</v>
      </c>
      <c r="G14" s="3">
        <v>156</v>
      </c>
      <c r="H14" s="3">
        <v>251</v>
      </c>
      <c r="I14" s="3">
        <v>160</v>
      </c>
      <c r="J14" s="3">
        <v>267</v>
      </c>
      <c r="K14" s="3">
        <v>307</v>
      </c>
      <c r="L14" s="3">
        <v>451</v>
      </c>
      <c r="M14" s="3">
        <v>450</v>
      </c>
    </row>
    <row r="15" spans="1:13" x14ac:dyDescent="0.2">
      <c r="A15" s="2">
        <v>12</v>
      </c>
      <c r="B15" s="3">
        <v>556</v>
      </c>
      <c r="C15" s="3">
        <v>451</v>
      </c>
      <c r="D15" s="3">
        <v>0</v>
      </c>
      <c r="E15" s="3">
        <v>0</v>
      </c>
      <c r="F15" s="3">
        <v>300</v>
      </c>
      <c r="G15" s="3">
        <v>234</v>
      </c>
      <c r="H15" s="3">
        <v>160</v>
      </c>
      <c r="I15" s="3">
        <v>160</v>
      </c>
      <c r="J15" s="3">
        <v>319</v>
      </c>
      <c r="K15" s="3">
        <v>318</v>
      </c>
      <c r="L15" s="3">
        <v>451</v>
      </c>
      <c r="M15" s="3">
        <v>169</v>
      </c>
    </row>
    <row r="16" spans="1:13" x14ac:dyDescent="0.2">
      <c r="A16" s="2">
        <v>13</v>
      </c>
      <c r="B16" s="3">
        <v>556</v>
      </c>
      <c r="C16" s="3">
        <v>451</v>
      </c>
      <c r="D16" s="3">
        <v>0</v>
      </c>
      <c r="E16" s="3">
        <v>0</v>
      </c>
      <c r="F16" s="3">
        <v>299</v>
      </c>
      <c r="G16" s="3">
        <v>318</v>
      </c>
      <c r="H16" s="3">
        <v>160</v>
      </c>
      <c r="I16" s="3">
        <v>160</v>
      </c>
      <c r="J16" s="3">
        <v>319</v>
      </c>
      <c r="K16" s="3">
        <v>318</v>
      </c>
      <c r="L16" s="3">
        <v>452</v>
      </c>
      <c r="M16" s="3">
        <v>0</v>
      </c>
    </row>
    <row r="17" spans="1:13" x14ac:dyDescent="0.2">
      <c r="A17" s="2">
        <v>14</v>
      </c>
      <c r="B17" s="3">
        <v>551</v>
      </c>
      <c r="C17" s="3">
        <v>451</v>
      </c>
      <c r="D17" s="3">
        <v>0</v>
      </c>
      <c r="E17" s="3">
        <v>0</v>
      </c>
      <c r="F17" s="3">
        <v>300</v>
      </c>
      <c r="G17" s="3">
        <v>318</v>
      </c>
      <c r="H17" s="3">
        <v>240</v>
      </c>
      <c r="I17" s="3">
        <v>160</v>
      </c>
      <c r="J17" s="3">
        <v>126</v>
      </c>
      <c r="K17" s="3">
        <v>318</v>
      </c>
      <c r="L17" s="3">
        <v>382</v>
      </c>
      <c r="M17" s="3">
        <v>0</v>
      </c>
    </row>
    <row r="18" spans="1:13" x14ac:dyDescent="0.2">
      <c r="A18" s="2">
        <v>15</v>
      </c>
      <c r="B18" s="3">
        <v>555</v>
      </c>
      <c r="C18" s="3">
        <v>451</v>
      </c>
      <c r="D18" s="3">
        <v>0</v>
      </c>
      <c r="E18" s="3">
        <v>0</v>
      </c>
      <c r="F18" s="3">
        <v>200</v>
      </c>
      <c r="G18" s="3">
        <v>319</v>
      </c>
      <c r="H18" s="3">
        <v>300</v>
      </c>
      <c r="I18" s="3">
        <v>160</v>
      </c>
      <c r="J18" s="3">
        <v>139</v>
      </c>
      <c r="K18" s="3">
        <v>319</v>
      </c>
      <c r="L18" s="3">
        <v>300</v>
      </c>
      <c r="M18" s="3">
        <v>0</v>
      </c>
    </row>
    <row r="19" spans="1:13" x14ac:dyDescent="0.2">
      <c r="A19" s="2">
        <v>16</v>
      </c>
      <c r="B19" s="3">
        <v>549</v>
      </c>
      <c r="C19" s="3">
        <v>451</v>
      </c>
      <c r="D19" s="3">
        <v>0</v>
      </c>
      <c r="E19" s="3">
        <v>0</v>
      </c>
      <c r="F19" s="3">
        <v>142</v>
      </c>
      <c r="G19" s="3">
        <v>319</v>
      </c>
      <c r="H19" s="3">
        <v>300</v>
      </c>
      <c r="I19" s="3">
        <v>160</v>
      </c>
      <c r="J19" s="3">
        <v>261</v>
      </c>
      <c r="K19" s="3">
        <v>319</v>
      </c>
      <c r="L19" s="3">
        <v>300</v>
      </c>
      <c r="M19" s="3">
        <v>0</v>
      </c>
    </row>
    <row r="20" spans="1:13" x14ac:dyDescent="0.2">
      <c r="A20" s="2">
        <v>17</v>
      </c>
      <c r="B20" s="3">
        <v>470</v>
      </c>
      <c r="C20" s="3">
        <v>451</v>
      </c>
      <c r="D20" s="3">
        <v>0</v>
      </c>
      <c r="E20" s="3">
        <v>0</v>
      </c>
      <c r="F20" s="3">
        <v>142</v>
      </c>
      <c r="G20" s="3">
        <v>314</v>
      </c>
      <c r="H20" s="3">
        <v>209</v>
      </c>
      <c r="I20" s="3">
        <v>160</v>
      </c>
      <c r="J20" s="3">
        <v>319</v>
      </c>
      <c r="K20" s="3">
        <v>319</v>
      </c>
      <c r="L20" s="3">
        <v>392</v>
      </c>
      <c r="M20" s="3">
        <v>0</v>
      </c>
    </row>
    <row r="21" spans="1:13" x14ac:dyDescent="0.2">
      <c r="A21" s="2">
        <v>18</v>
      </c>
      <c r="B21" s="3">
        <v>435</v>
      </c>
      <c r="C21" s="3">
        <v>451</v>
      </c>
      <c r="D21" s="3">
        <v>0</v>
      </c>
      <c r="E21" s="3">
        <v>0</v>
      </c>
      <c r="F21" s="3">
        <v>142</v>
      </c>
      <c r="G21" s="3">
        <v>262</v>
      </c>
      <c r="H21" s="3">
        <v>160</v>
      </c>
      <c r="I21" s="3">
        <v>160</v>
      </c>
      <c r="J21" s="3">
        <v>461</v>
      </c>
      <c r="K21" s="3">
        <v>319</v>
      </c>
      <c r="L21" s="3">
        <v>330</v>
      </c>
      <c r="M21" s="3">
        <v>0</v>
      </c>
    </row>
    <row r="22" spans="1:13" x14ac:dyDescent="0.2">
      <c r="A22" s="2">
        <v>19</v>
      </c>
      <c r="B22" s="3">
        <v>435</v>
      </c>
      <c r="C22" s="3">
        <v>422</v>
      </c>
      <c r="D22" s="3">
        <v>0</v>
      </c>
      <c r="E22" s="3">
        <v>0</v>
      </c>
      <c r="F22" s="3">
        <v>142</v>
      </c>
      <c r="G22" s="3">
        <v>299</v>
      </c>
      <c r="H22" s="3">
        <v>160</v>
      </c>
      <c r="I22" s="3">
        <v>160</v>
      </c>
      <c r="J22" s="3">
        <v>570</v>
      </c>
      <c r="K22" s="3">
        <v>318</v>
      </c>
      <c r="L22" s="3">
        <v>243</v>
      </c>
      <c r="M22" s="3">
        <v>0</v>
      </c>
    </row>
    <row r="23" spans="1:13" x14ac:dyDescent="0.2">
      <c r="A23" s="2">
        <v>20</v>
      </c>
      <c r="B23" s="3">
        <v>310</v>
      </c>
      <c r="C23" s="3">
        <v>300</v>
      </c>
      <c r="D23" s="3">
        <v>0</v>
      </c>
      <c r="E23" s="3">
        <v>0</v>
      </c>
      <c r="F23" s="3">
        <v>142</v>
      </c>
      <c r="G23" s="3">
        <v>300</v>
      </c>
      <c r="H23" s="3">
        <v>160</v>
      </c>
      <c r="I23" s="3">
        <v>160</v>
      </c>
      <c r="J23" s="3">
        <v>570</v>
      </c>
      <c r="K23" s="3">
        <v>318</v>
      </c>
      <c r="L23" s="3">
        <v>451</v>
      </c>
      <c r="M23" s="3">
        <v>0</v>
      </c>
    </row>
    <row r="24" spans="1:13" x14ac:dyDescent="0.2">
      <c r="A24" s="2">
        <v>21</v>
      </c>
      <c r="B24" s="3">
        <v>372</v>
      </c>
      <c r="C24" s="3">
        <v>300</v>
      </c>
      <c r="D24" s="3">
        <v>0</v>
      </c>
      <c r="E24" s="3">
        <v>0</v>
      </c>
      <c r="F24" s="3">
        <v>142</v>
      </c>
      <c r="G24" s="3">
        <v>300</v>
      </c>
      <c r="H24" s="3">
        <v>160</v>
      </c>
      <c r="I24" s="3">
        <v>160</v>
      </c>
      <c r="J24" s="3">
        <v>570</v>
      </c>
      <c r="K24" s="3">
        <v>318</v>
      </c>
      <c r="L24" s="3">
        <v>443</v>
      </c>
      <c r="M24" s="3">
        <v>0</v>
      </c>
    </row>
    <row r="25" spans="1:13" x14ac:dyDescent="0.2">
      <c r="A25" s="2">
        <v>22</v>
      </c>
      <c r="B25" s="3">
        <v>440</v>
      </c>
      <c r="C25" s="3">
        <v>300</v>
      </c>
      <c r="D25" s="3">
        <v>0</v>
      </c>
      <c r="E25" s="3">
        <v>96</v>
      </c>
      <c r="F25" s="3">
        <v>142</v>
      </c>
      <c r="G25" s="3">
        <v>300</v>
      </c>
      <c r="H25" s="3">
        <v>160</v>
      </c>
      <c r="I25" s="3">
        <v>160</v>
      </c>
      <c r="J25" s="3">
        <v>570</v>
      </c>
      <c r="K25" s="3">
        <v>318</v>
      </c>
      <c r="L25" s="3">
        <v>451</v>
      </c>
      <c r="M25" s="3">
        <v>0</v>
      </c>
    </row>
    <row r="26" spans="1:13" x14ac:dyDescent="0.2">
      <c r="A26" s="2">
        <v>23</v>
      </c>
      <c r="B26" s="3">
        <v>452</v>
      </c>
      <c r="C26" s="3">
        <v>300</v>
      </c>
      <c r="D26" s="3">
        <v>0</v>
      </c>
      <c r="E26" s="3">
        <v>160</v>
      </c>
      <c r="F26" s="3">
        <v>142</v>
      </c>
      <c r="G26" s="3">
        <v>300</v>
      </c>
      <c r="H26" s="3">
        <v>160</v>
      </c>
      <c r="I26" s="3">
        <v>160</v>
      </c>
      <c r="J26" s="3">
        <v>568</v>
      </c>
      <c r="K26" s="3">
        <v>318</v>
      </c>
      <c r="L26" s="3">
        <v>186</v>
      </c>
      <c r="M26" s="3">
        <v>0</v>
      </c>
    </row>
    <row r="27" spans="1:13" x14ac:dyDescent="0.2">
      <c r="A27" s="2">
        <v>24</v>
      </c>
      <c r="B27" s="3">
        <v>452</v>
      </c>
      <c r="C27" s="3">
        <v>300</v>
      </c>
      <c r="D27" s="3">
        <v>0</v>
      </c>
      <c r="E27" s="3">
        <v>255</v>
      </c>
      <c r="F27" s="3">
        <v>142</v>
      </c>
      <c r="G27" s="3">
        <v>300</v>
      </c>
      <c r="H27" s="3">
        <v>160</v>
      </c>
      <c r="I27" s="3">
        <v>160</v>
      </c>
      <c r="J27" s="3">
        <v>568</v>
      </c>
      <c r="K27" s="3">
        <v>318</v>
      </c>
      <c r="L27" s="3">
        <v>300</v>
      </c>
      <c r="M27" s="3">
        <v>0</v>
      </c>
    </row>
    <row r="28" spans="1:13" x14ac:dyDescent="0.2">
      <c r="A28" s="2">
        <v>25</v>
      </c>
      <c r="B28" s="3">
        <v>452</v>
      </c>
      <c r="C28" s="3">
        <v>105</v>
      </c>
      <c r="D28" s="3">
        <v>0</v>
      </c>
      <c r="E28" s="3">
        <v>299</v>
      </c>
      <c r="F28" s="3">
        <v>142</v>
      </c>
      <c r="G28" s="3">
        <v>272</v>
      </c>
      <c r="H28" s="3">
        <v>160</v>
      </c>
      <c r="I28" s="3">
        <v>160</v>
      </c>
      <c r="J28" s="3">
        <v>531</v>
      </c>
      <c r="K28" s="3">
        <v>309</v>
      </c>
      <c r="L28" s="3">
        <v>300</v>
      </c>
      <c r="M28" s="3">
        <v>0</v>
      </c>
    </row>
    <row r="29" spans="1:13" x14ac:dyDescent="0.2">
      <c r="A29" s="2">
        <v>26</v>
      </c>
      <c r="B29" s="3">
        <v>451</v>
      </c>
      <c r="C29" s="3">
        <v>0</v>
      </c>
      <c r="D29" s="3">
        <v>0</v>
      </c>
      <c r="E29" s="3">
        <v>301</v>
      </c>
      <c r="F29" s="3">
        <v>142</v>
      </c>
      <c r="G29" s="3">
        <v>202</v>
      </c>
      <c r="H29" s="3">
        <v>160</v>
      </c>
      <c r="I29" s="3">
        <v>160</v>
      </c>
      <c r="J29" s="3">
        <v>466</v>
      </c>
      <c r="K29" s="3">
        <v>319</v>
      </c>
      <c r="L29" s="3">
        <v>299</v>
      </c>
      <c r="M29" s="3">
        <v>0</v>
      </c>
    </row>
    <row r="30" spans="1:13" x14ac:dyDescent="0.2">
      <c r="A30" s="2">
        <v>27</v>
      </c>
      <c r="B30" s="3">
        <v>451</v>
      </c>
      <c r="C30" s="3">
        <v>0</v>
      </c>
      <c r="D30" s="3">
        <v>0</v>
      </c>
      <c r="E30" s="3">
        <v>300</v>
      </c>
      <c r="F30" s="3">
        <v>142</v>
      </c>
      <c r="G30" s="3">
        <v>160</v>
      </c>
      <c r="H30" s="3">
        <v>160</v>
      </c>
      <c r="I30" s="3">
        <v>160</v>
      </c>
      <c r="J30" s="3">
        <v>505</v>
      </c>
      <c r="K30" s="3">
        <v>318</v>
      </c>
      <c r="L30" s="3">
        <v>220</v>
      </c>
      <c r="M30" s="3">
        <v>0</v>
      </c>
    </row>
    <row r="31" spans="1:13" x14ac:dyDescent="0.2">
      <c r="A31" s="2">
        <v>28</v>
      </c>
      <c r="B31" s="3">
        <v>451</v>
      </c>
      <c r="C31" s="3">
        <v>0</v>
      </c>
      <c r="D31" s="3">
        <v>0</v>
      </c>
      <c r="E31" s="3">
        <v>301</v>
      </c>
      <c r="F31" s="3">
        <v>142</v>
      </c>
      <c r="G31" s="3">
        <v>160</v>
      </c>
      <c r="H31" s="3">
        <v>160</v>
      </c>
      <c r="I31" s="3">
        <v>160</v>
      </c>
      <c r="J31" s="3">
        <v>556</v>
      </c>
      <c r="K31" s="3">
        <v>318</v>
      </c>
      <c r="L31" s="3">
        <v>239</v>
      </c>
      <c r="M31" s="3">
        <v>0</v>
      </c>
    </row>
    <row r="32" spans="1:13" x14ac:dyDescent="0.2">
      <c r="A32" s="2">
        <v>29</v>
      </c>
      <c r="B32" s="3">
        <v>418</v>
      </c>
      <c r="C32" s="7" t="s">
        <v>14</v>
      </c>
      <c r="D32" s="3">
        <v>0</v>
      </c>
      <c r="E32" s="3">
        <v>348</v>
      </c>
      <c r="F32" s="3">
        <v>142</v>
      </c>
      <c r="G32" s="3">
        <v>160</v>
      </c>
      <c r="H32" s="3">
        <v>160</v>
      </c>
      <c r="I32" s="3">
        <v>160</v>
      </c>
      <c r="J32" s="3">
        <v>557</v>
      </c>
      <c r="K32" s="3">
        <v>318</v>
      </c>
      <c r="L32" s="3">
        <v>300</v>
      </c>
      <c r="M32" s="3">
        <v>0</v>
      </c>
    </row>
    <row r="33" spans="1:14" x14ac:dyDescent="0.2">
      <c r="A33" s="2">
        <v>30</v>
      </c>
      <c r="B33" s="3">
        <v>409</v>
      </c>
      <c r="C33" s="7" t="s">
        <v>14</v>
      </c>
      <c r="D33" s="3">
        <v>0</v>
      </c>
      <c r="E33" s="3">
        <v>360</v>
      </c>
      <c r="F33" s="3">
        <v>243</v>
      </c>
      <c r="G33" s="3">
        <v>160</v>
      </c>
      <c r="H33" s="3">
        <v>160</v>
      </c>
      <c r="I33" s="3">
        <v>160</v>
      </c>
      <c r="J33" s="3">
        <v>420</v>
      </c>
      <c r="K33" s="3">
        <v>318</v>
      </c>
      <c r="L33" s="3">
        <v>300</v>
      </c>
      <c r="M33" s="3">
        <v>0</v>
      </c>
    </row>
    <row r="34" spans="1:14" x14ac:dyDescent="0.2">
      <c r="A34" s="2">
        <v>31</v>
      </c>
      <c r="B34" s="3">
        <v>449</v>
      </c>
      <c r="C34" s="7" t="s">
        <v>14</v>
      </c>
      <c r="D34" s="3">
        <v>0</v>
      </c>
      <c r="E34" s="15" t="s">
        <v>14</v>
      </c>
      <c r="F34" s="3">
        <v>243</v>
      </c>
      <c r="G34" s="7" t="s">
        <v>14</v>
      </c>
      <c r="H34" s="3">
        <v>160</v>
      </c>
      <c r="I34" s="3">
        <v>160</v>
      </c>
      <c r="J34" s="7"/>
      <c r="K34" s="3">
        <v>318</v>
      </c>
      <c r="L34" s="7" t="s">
        <v>14</v>
      </c>
      <c r="M34" s="3">
        <v>0</v>
      </c>
    </row>
    <row r="36" spans="1:14" hidden="1" x14ac:dyDescent="0.2"/>
    <row r="37" spans="1:14" hidden="1" x14ac:dyDescent="0.2">
      <c r="A37" s="7" t="s">
        <v>15</v>
      </c>
      <c r="B37" s="4">
        <f t="shared" ref="B37:M37" si="0">SUM(B4:B35)</f>
        <v>15167</v>
      </c>
      <c r="C37" s="4">
        <f t="shared" si="0"/>
        <v>10146</v>
      </c>
      <c r="D37" s="4">
        <f t="shared" si="0"/>
        <v>0</v>
      </c>
      <c r="E37" s="4">
        <f t="shared" si="0"/>
        <v>2420</v>
      </c>
      <c r="F37" s="4">
        <f t="shared" si="0"/>
        <v>7019</v>
      </c>
      <c r="G37" s="4">
        <f t="shared" si="0"/>
        <v>7980</v>
      </c>
      <c r="H37" s="4">
        <f t="shared" si="0"/>
        <v>5726</v>
      </c>
      <c r="I37" s="4">
        <f t="shared" si="0"/>
        <v>4911</v>
      </c>
      <c r="J37" s="4">
        <f t="shared" si="0"/>
        <v>10519</v>
      </c>
      <c r="K37" s="4">
        <f t="shared" si="0"/>
        <v>10440</v>
      </c>
      <c r="L37" s="4">
        <f t="shared" si="0"/>
        <v>10983</v>
      </c>
      <c r="M37" s="4">
        <f t="shared" si="0"/>
        <v>4758</v>
      </c>
      <c r="N37" s="4"/>
    </row>
    <row r="38" spans="1:14" x14ac:dyDescent="0.2">
      <c r="A38" s="7" t="s">
        <v>16</v>
      </c>
      <c r="B38" s="4">
        <f>SUM(B4:B34)</f>
        <v>15167</v>
      </c>
      <c r="C38" s="4">
        <f t="shared" ref="C38:M38" si="1">SUM(C4:C34)</f>
        <v>10146</v>
      </c>
      <c r="D38" s="4">
        <f t="shared" si="1"/>
        <v>0</v>
      </c>
      <c r="E38" s="4">
        <f t="shared" si="1"/>
        <v>2420</v>
      </c>
      <c r="F38" s="4">
        <f t="shared" si="1"/>
        <v>7019</v>
      </c>
      <c r="G38" s="4">
        <f t="shared" si="1"/>
        <v>7980</v>
      </c>
      <c r="H38" s="4">
        <f t="shared" si="1"/>
        <v>5726</v>
      </c>
      <c r="I38" s="4">
        <f t="shared" si="1"/>
        <v>4911</v>
      </c>
      <c r="J38" s="4">
        <f t="shared" si="1"/>
        <v>10519</v>
      </c>
      <c r="K38" s="4">
        <f t="shared" si="1"/>
        <v>10440</v>
      </c>
      <c r="L38" s="4">
        <f t="shared" si="1"/>
        <v>10983</v>
      </c>
      <c r="M38" s="4">
        <f t="shared" si="1"/>
        <v>4758</v>
      </c>
      <c r="N38" s="4"/>
    </row>
    <row r="39" spans="1:14" x14ac:dyDescent="0.2">
      <c r="A39" s="7" t="s">
        <v>17</v>
      </c>
      <c r="B39" s="4">
        <f>+B38</f>
        <v>15167</v>
      </c>
      <c r="C39" s="4">
        <f>+B39+C38</f>
        <v>25313</v>
      </c>
      <c r="D39" s="4">
        <f t="shared" ref="D39:M39" si="2">+C39+D38</f>
        <v>25313</v>
      </c>
      <c r="E39" s="4">
        <f t="shared" si="2"/>
        <v>27733</v>
      </c>
      <c r="F39" s="4">
        <f t="shared" si="2"/>
        <v>34752</v>
      </c>
      <c r="G39" s="4">
        <f t="shared" si="2"/>
        <v>42732</v>
      </c>
      <c r="H39" s="4">
        <f t="shared" si="2"/>
        <v>48458</v>
      </c>
      <c r="I39" s="4">
        <f t="shared" si="2"/>
        <v>53369</v>
      </c>
      <c r="J39" s="4">
        <f t="shared" si="2"/>
        <v>63888</v>
      </c>
      <c r="K39" s="4">
        <f t="shared" si="2"/>
        <v>74328</v>
      </c>
      <c r="L39" s="4">
        <f t="shared" si="2"/>
        <v>85311</v>
      </c>
      <c r="M39" s="4">
        <f t="shared" si="2"/>
        <v>90069</v>
      </c>
      <c r="N39" s="4"/>
    </row>
    <row r="40" spans="1:14" x14ac:dyDescent="0.2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x14ac:dyDescent="0.2">
      <c r="A41">
        <v>87</v>
      </c>
      <c r="B41" s="12">
        <v>0</v>
      </c>
      <c r="C41" s="4">
        <v>0</v>
      </c>
      <c r="D41" s="4">
        <v>0</v>
      </c>
      <c r="E41" s="4">
        <v>1523</v>
      </c>
      <c r="F41" s="4">
        <v>9317</v>
      </c>
      <c r="G41" s="4">
        <v>8012</v>
      </c>
      <c r="H41" s="4">
        <v>10300</v>
      </c>
      <c r="I41" s="4">
        <v>15089</v>
      </c>
      <c r="J41" s="4">
        <v>14596</v>
      </c>
      <c r="K41" s="4">
        <v>9852</v>
      </c>
      <c r="L41" s="4">
        <v>16261</v>
      </c>
      <c r="M41" s="4">
        <v>10862</v>
      </c>
      <c r="N41" s="4">
        <f>SUM(B41:M41)</f>
        <v>95812</v>
      </c>
    </row>
    <row r="42" spans="1:14" x14ac:dyDescent="0.2">
      <c r="A42">
        <v>88</v>
      </c>
      <c r="B42" s="4">
        <v>0</v>
      </c>
      <c r="C42" s="4">
        <v>1984</v>
      </c>
      <c r="D42" s="4">
        <v>1500</v>
      </c>
      <c r="E42" s="4">
        <v>3805</v>
      </c>
      <c r="F42" s="4">
        <v>12408</v>
      </c>
      <c r="G42" s="4">
        <v>11010</v>
      </c>
      <c r="H42" s="4">
        <v>5910</v>
      </c>
      <c r="I42" s="4">
        <v>9470</v>
      </c>
      <c r="J42" s="4">
        <v>10783</v>
      </c>
      <c r="K42" s="4">
        <v>11961</v>
      </c>
      <c r="L42" s="4">
        <v>16493</v>
      </c>
      <c r="M42" s="4">
        <v>8472</v>
      </c>
      <c r="N42" s="4">
        <f t="shared" ref="N42:N50" si="3">SUM(B42:M42)</f>
        <v>93796</v>
      </c>
    </row>
    <row r="43" spans="1:14" x14ac:dyDescent="0.2">
      <c r="A43">
        <v>89</v>
      </c>
      <c r="B43" s="4">
        <v>0</v>
      </c>
      <c r="C43" s="4">
        <v>0</v>
      </c>
      <c r="D43" s="4">
        <v>11628</v>
      </c>
      <c r="E43" s="4">
        <v>4094</v>
      </c>
      <c r="F43" s="4">
        <v>11864</v>
      </c>
      <c r="G43" s="4">
        <v>5560</v>
      </c>
      <c r="H43" s="4">
        <v>4284</v>
      </c>
      <c r="I43" s="4">
        <v>9819</v>
      </c>
      <c r="J43" s="4">
        <v>15963</v>
      </c>
      <c r="K43" s="4">
        <v>12960</v>
      </c>
      <c r="L43" s="4">
        <v>16459</v>
      </c>
      <c r="M43" s="4">
        <v>6514</v>
      </c>
      <c r="N43" s="4">
        <f t="shared" si="3"/>
        <v>99145</v>
      </c>
    </row>
    <row r="44" spans="1:14" x14ac:dyDescent="0.2">
      <c r="A44">
        <v>90</v>
      </c>
      <c r="B44" s="4">
        <v>74</v>
      </c>
      <c r="C44" s="4">
        <v>963</v>
      </c>
      <c r="D44" s="4">
        <v>3683</v>
      </c>
      <c r="E44" s="4">
        <v>2032</v>
      </c>
      <c r="F44" s="4">
        <v>10142</v>
      </c>
      <c r="G44" s="4">
        <v>11536</v>
      </c>
      <c r="H44" s="4">
        <v>6100</v>
      </c>
      <c r="I44" s="4">
        <v>11432</v>
      </c>
      <c r="J44" s="4">
        <v>13729</v>
      </c>
      <c r="K44" s="4">
        <v>13461</v>
      </c>
      <c r="L44" s="4">
        <v>16134</v>
      </c>
      <c r="M44" s="4">
        <v>6058</v>
      </c>
      <c r="N44" s="4">
        <f t="shared" si="3"/>
        <v>95344</v>
      </c>
    </row>
    <row r="45" spans="1:14" x14ac:dyDescent="0.2">
      <c r="A45">
        <v>91</v>
      </c>
      <c r="B45" s="4">
        <v>0</v>
      </c>
      <c r="C45" s="4">
        <v>0</v>
      </c>
      <c r="D45" s="4">
        <v>0</v>
      </c>
      <c r="E45" s="4">
        <v>0</v>
      </c>
      <c r="F45" s="4">
        <v>12092</v>
      </c>
      <c r="G45" s="4">
        <v>5474</v>
      </c>
      <c r="H45" s="4">
        <v>5316</v>
      </c>
      <c r="I45" s="4">
        <v>6304</v>
      </c>
      <c r="J45" s="4">
        <v>11556</v>
      </c>
      <c r="K45" s="4">
        <v>8649</v>
      </c>
      <c r="L45" s="4">
        <v>15767</v>
      </c>
      <c r="M45" s="4">
        <v>8853</v>
      </c>
      <c r="N45" s="4">
        <f t="shared" si="3"/>
        <v>74011</v>
      </c>
    </row>
    <row r="46" spans="1:14" x14ac:dyDescent="0.2">
      <c r="A46">
        <v>92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252</v>
      </c>
      <c r="I46" s="4">
        <v>274</v>
      </c>
      <c r="J46" s="4">
        <v>8100</v>
      </c>
      <c r="K46" s="4">
        <v>5786</v>
      </c>
      <c r="L46" s="4">
        <v>8579</v>
      </c>
      <c r="M46" s="4">
        <v>5370</v>
      </c>
      <c r="N46" s="4">
        <f t="shared" si="3"/>
        <v>28361</v>
      </c>
    </row>
    <row r="47" spans="1:14" x14ac:dyDescent="0.2">
      <c r="A47">
        <v>93</v>
      </c>
      <c r="B47" s="4">
        <v>4362</v>
      </c>
      <c r="C47" s="4">
        <v>2767</v>
      </c>
      <c r="D47" s="4">
        <v>14753</v>
      </c>
      <c r="E47" s="4">
        <v>6679</v>
      </c>
      <c r="F47" s="4">
        <v>8112</v>
      </c>
      <c r="G47" s="4">
        <v>10358</v>
      </c>
      <c r="H47" s="4">
        <v>5273</v>
      </c>
      <c r="I47" s="4">
        <v>7589</v>
      </c>
      <c r="J47" s="4">
        <v>9152</v>
      </c>
      <c r="K47" s="4">
        <v>13998</v>
      </c>
      <c r="L47" s="4">
        <v>9344</v>
      </c>
      <c r="M47" s="4">
        <v>4028</v>
      </c>
      <c r="N47" s="4">
        <f t="shared" si="3"/>
        <v>96415</v>
      </c>
    </row>
    <row r="48" spans="1:14" x14ac:dyDescent="0.2">
      <c r="A48">
        <v>94</v>
      </c>
      <c r="B48" s="4">
        <v>4</v>
      </c>
      <c r="C48" s="4">
        <v>0</v>
      </c>
      <c r="D48" s="4">
        <v>0</v>
      </c>
      <c r="E48" s="4">
        <v>485</v>
      </c>
      <c r="F48" s="4">
        <v>13256</v>
      </c>
      <c r="G48" s="4">
        <v>4255</v>
      </c>
      <c r="H48" s="4">
        <v>655</v>
      </c>
      <c r="I48" s="4">
        <v>983</v>
      </c>
      <c r="J48" s="4">
        <v>2827</v>
      </c>
      <c r="K48" s="4">
        <v>2102</v>
      </c>
      <c r="L48" s="4">
        <v>12499</v>
      </c>
      <c r="M48" s="4">
        <v>0</v>
      </c>
      <c r="N48" s="4">
        <f t="shared" si="3"/>
        <v>37066</v>
      </c>
    </row>
    <row r="49" spans="1:14" x14ac:dyDescent="0.2">
      <c r="A49">
        <v>95</v>
      </c>
      <c r="B49" s="4">
        <v>7946</v>
      </c>
      <c r="C49" s="4">
        <v>3660</v>
      </c>
      <c r="D49" s="4">
        <v>14380</v>
      </c>
      <c r="E49" s="4">
        <v>7466</v>
      </c>
      <c r="F49" s="4">
        <v>10629</v>
      </c>
      <c r="G49" s="4">
        <v>9403</v>
      </c>
      <c r="H49" s="4">
        <v>4352</v>
      </c>
      <c r="I49" s="4">
        <v>4361</v>
      </c>
      <c r="J49" s="4">
        <v>9333</v>
      </c>
      <c r="K49" s="4">
        <v>8225</v>
      </c>
      <c r="L49" s="4">
        <v>11987</v>
      </c>
      <c r="M49" s="4">
        <v>5342</v>
      </c>
      <c r="N49" s="4">
        <f t="shared" si="3"/>
        <v>97084</v>
      </c>
    </row>
    <row r="50" spans="1:14" x14ac:dyDescent="0.2">
      <c r="A50">
        <v>96</v>
      </c>
      <c r="B50" s="4">
        <v>12080</v>
      </c>
      <c r="C50" s="4">
        <v>17029</v>
      </c>
      <c r="D50" s="4">
        <v>12517</v>
      </c>
      <c r="E50" s="4">
        <v>7884</v>
      </c>
      <c r="F50" s="4">
        <v>15665</v>
      </c>
      <c r="G50" s="4">
        <v>4510</v>
      </c>
      <c r="H50" s="4">
        <v>6564</v>
      </c>
      <c r="I50" s="4">
        <v>4683</v>
      </c>
      <c r="J50" s="4">
        <v>9080</v>
      </c>
      <c r="K50" s="4">
        <v>9222</v>
      </c>
      <c r="L50" s="4">
        <v>13002</v>
      </c>
      <c r="M50" s="4">
        <v>3961</v>
      </c>
      <c r="N50" s="4">
        <f t="shared" si="3"/>
        <v>116197</v>
      </c>
    </row>
    <row r="52" spans="1:14" x14ac:dyDescent="0.2">
      <c r="A52" s="7" t="s">
        <v>18</v>
      </c>
      <c r="B52" s="5">
        <f t="shared" ref="B52:M52" si="4">AVERAGE(B41:B50)</f>
        <v>2446.6</v>
      </c>
      <c r="C52" s="5">
        <f t="shared" si="4"/>
        <v>2640.3</v>
      </c>
      <c r="D52" s="5">
        <f t="shared" si="4"/>
        <v>5846.1</v>
      </c>
      <c r="E52" s="5">
        <f t="shared" si="4"/>
        <v>3396.8</v>
      </c>
      <c r="F52" s="5">
        <f t="shared" si="4"/>
        <v>10348.5</v>
      </c>
      <c r="G52" s="5">
        <f t="shared" si="4"/>
        <v>7011.8</v>
      </c>
      <c r="H52" s="5">
        <f t="shared" si="4"/>
        <v>4900.6000000000004</v>
      </c>
      <c r="I52" s="5">
        <f t="shared" si="4"/>
        <v>7000.4</v>
      </c>
      <c r="J52" s="5">
        <f t="shared" si="4"/>
        <v>10511.9</v>
      </c>
      <c r="K52" s="5">
        <f t="shared" si="4"/>
        <v>9621.6</v>
      </c>
      <c r="L52" s="5">
        <f t="shared" si="4"/>
        <v>13652.5</v>
      </c>
      <c r="M52" s="5">
        <f t="shared" si="4"/>
        <v>5946</v>
      </c>
    </row>
    <row r="53" spans="1:14" x14ac:dyDescent="0.2">
      <c r="B53" s="5">
        <f>+B52</f>
        <v>2446.6</v>
      </c>
      <c r="C53" s="5">
        <f t="shared" ref="C53:M53" si="5">+B53+C52</f>
        <v>5086.8999999999996</v>
      </c>
      <c r="D53" s="5">
        <f t="shared" si="5"/>
        <v>10933</v>
      </c>
      <c r="E53" s="5">
        <f t="shared" si="5"/>
        <v>14329.8</v>
      </c>
      <c r="F53" s="5">
        <f t="shared" si="5"/>
        <v>24678.3</v>
      </c>
      <c r="G53" s="5">
        <f t="shared" si="5"/>
        <v>31690.1</v>
      </c>
      <c r="H53" s="5">
        <f t="shared" si="5"/>
        <v>36590.699999999997</v>
      </c>
      <c r="I53" s="5">
        <f t="shared" si="5"/>
        <v>43591.1</v>
      </c>
      <c r="J53" s="5">
        <f t="shared" si="5"/>
        <v>54103</v>
      </c>
      <c r="K53" s="5">
        <f t="shared" si="5"/>
        <v>63724.6</v>
      </c>
      <c r="L53" s="5">
        <f t="shared" si="5"/>
        <v>77377.100000000006</v>
      </c>
      <c r="M53" s="5">
        <f t="shared" si="5"/>
        <v>83323.100000000006</v>
      </c>
      <c r="N53" s="5">
        <f>AVERAGE(N41:N50)</f>
        <v>83323.100000000006</v>
      </c>
    </row>
  </sheetData>
  <sheetProtection sheet="1" objects="1" scenarios="1"/>
  <pageMargins left="0.11" right="0.12" top="1" bottom="1" header="0.5" footer="0.5"/>
  <pageSetup scale="76" orientation="portrait" horizontalDpi="180" verticalDpi="180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0"/>
  <sheetViews>
    <sheetView topLeftCell="A2" workbookViewId="0">
      <pane xSplit="1" ySplit="2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sheetData>
    <row r="1" spans="1:11" x14ac:dyDescent="0.2">
      <c r="D1" t="s">
        <v>26</v>
      </c>
    </row>
    <row r="2" spans="1:11" x14ac:dyDescent="0.2">
      <c r="I2" s="17"/>
      <c r="J2" s="17"/>
      <c r="K2" s="17"/>
    </row>
    <row r="3" spans="1:11" ht="25.5" x14ac:dyDescent="0.2">
      <c r="B3" s="18" t="s">
        <v>27</v>
      </c>
      <c r="C3" s="18" t="s">
        <v>28</v>
      </c>
      <c r="D3" s="18" t="s">
        <v>29</v>
      </c>
      <c r="E3" s="18" t="s">
        <v>30</v>
      </c>
      <c r="F3" s="18" t="s">
        <v>31</v>
      </c>
      <c r="G3" s="18" t="s">
        <v>32</v>
      </c>
      <c r="H3" s="18" t="s">
        <v>33</v>
      </c>
      <c r="I3" s="19" t="s">
        <v>34</v>
      </c>
      <c r="J3" s="19" t="s">
        <v>35</v>
      </c>
      <c r="K3" s="19" t="s">
        <v>36</v>
      </c>
    </row>
    <row r="4" spans="1:11" x14ac:dyDescent="0.2">
      <c r="A4" t="s">
        <v>37</v>
      </c>
      <c r="B4" s="3">
        <v>0</v>
      </c>
      <c r="C4" s="3">
        <v>0</v>
      </c>
      <c r="D4" s="3">
        <v>0</v>
      </c>
      <c r="E4" s="3">
        <v>293</v>
      </c>
      <c r="F4" s="3">
        <v>213</v>
      </c>
      <c r="G4" s="3">
        <v>26</v>
      </c>
      <c r="H4" s="3">
        <v>154</v>
      </c>
      <c r="I4">
        <f>SUM(B4:H4)</f>
        <v>686</v>
      </c>
      <c r="J4">
        <f>+I4</f>
        <v>686</v>
      </c>
      <c r="K4" s="20">
        <f>+J4*1.98</f>
        <v>1358.28</v>
      </c>
    </row>
    <row r="5" spans="1:11" x14ac:dyDescent="0.2">
      <c r="A5" s="7" t="s">
        <v>38</v>
      </c>
      <c r="B5" s="3">
        <v>248</v>
      </c>
      <c r="C5" s="3">
        <v>247</v>
      </c>
      <c r="D5" s="3">
        <v>245</v>
      </c>
      <c r="E5" s="3">
        <v>245</v>
      </c>
      <c r="F5" s="3">
        <v>249</v>
      </c>
      <c r="G5" s="3">
        <v>253</v>
      </c>
      <c r="H5" s="3">
        <v>254</v>
      </c>
      <c r="I5">
        <f t="shared" ref="I5:I56" si="0">SUM(B5:H5)</f>
        <v>1741</v>
      </c>
      <c r="J5">
        <f>+I5+J4</f>
        <v>2427</v>
      </c>
      <c r="K5" s="20">
        <f t="shared" ref="K5:K56" si="1">+J5*1.98</f>
        <v>4805.46</v>
      </c>
    </row>
    <row r="6" spans="1:11" x14ac:dyDescent="0.2">
      <c r="A6" s="7" t="s">
        <v>39</v>
      </c>
      <c r="B6" s="3">
        <v>252</v>
      </c>
      <c r="C6" s="3">
        <v>299</v>
      </c>
      <c r="D6" s="3">
        <v>363</v>
      </c>
      <c r="E6" s="3">
        <v>374</v>
      </c>
      <c r="F6" s="3">
        <v>379</v>
      </c>
      <c r="G6" s="3">
        <v>376</v>
      </c>
      <c r="H6" s="3">
        <v>373</v>
      </c>
      <c r="I6">
        <f t="shared" si="0"/>
        <v>2416</v>
      </c>
      <c r="J6">
        <f t="shared" ref="J6:J56" si="2">+I6+J5</f>
        <v>4843</v>
      </c>
      <c r="K6" s="20">
        <f t="shared" si="1"/>
        <v>9589.14</v>
      </c>
    </row>
    <row r="7" spans="1:11" x14ac:dyDescent="0.2">
      <c r="A7" t="s">
        <v>40</v>
      </c>
      <c r="B7" s="3">
        <v>369</v>
      </c>
      <c r="C7" s="3">
        <v>367</v>
      </c>
      <c r="D7" s="3">
        <v>351</v>
      </c>
      <c r="E7" s="3">
        <v>267</v>
      </c>
      <c r="F7" s="3">
        <v>280</v>
      </c>
      <c r="G7" s="3">
        <v>274</v>
      </c>
      <c r="H7" s="3">
        <v>269</v>
      </c>
      <c r="I7">
        <f t="shared" si="0"/>
        <v>2177</v>
      </c>
      <c r="J7">
        <f t="shared" si="2"/>
        <v>7020</v>
      </c>
      <c r="K7" s="20">
        <f t="shared" si="1"/>
        <v>13899.6</v>
      </c>
    </row>
    <row r="8" spans="1:11" x14ac:dyDescent="0.2">
      <c r="A8" s="7" t="s">
        <v>41</v>
      </c>
      <c r="B8" s="3">
        <v>235</v>
      </c>
      <c r="C8" s="3">
        <v>239</v>
      </c>
      <c r="D8" s="3">
        <v>231</v>
      </c>
      <c r="E8" s="3">
        <v>221</v>
      </c>
      <c r="F8" s="3">
        <v>223</v>
      </c>
      <c r="G8" s="3">
        <v>204</v>
      </c>
      <c r="H8" s="3">
        <v>233</v>
      </c>
      <c r="I8">
        <f t="shared" si="0"/>
        <v>1586</v>
      </c>
      <c r="J8">
        <f t="shared" si="2"/>
        <v>8606</v>
      </c>
      <c r="K8" s="20">
        <f t="shared" si="1"/>
        <v>17039.88</v>
      </c>
    </row>
    <row r="9" spans="1:11" x14ac:dyDescent="0.2">
      <c r="A9" s="7" t="s">
        <v>42</v>
      </c>
      <c r="B9" s="3">
        <v>239</v>
      </c>
      <c r="C9" s="3">
        <v>245</v>
      </c>
      <c r="D9" s="3">
        <v>243</v>
      </c>
      <c r="E9" s="3">
        <v>251</v>
      </c>
      <c r="F9" s="3">
        <v>251</v>
      </c>
      <c r="G9" s="3">
        <v>251</v>
      </c>
      <c r="H9" s="3">
        <v>297</v>
      </c>
      <c r="I9">
        <f t="shared" si="0"/>
        <v>1777</v>
      </c>
      <c r="J9">
        <f t="shared" si="2"/>
        <v>10383</v>
      </c>
      <c r="K9" s="20">
        <f t="shared" si="1"/>
        <v>20558.34</v>
      </c>
    </row>
    <row r="10" spans="1:11" x14ac:dyDescent="0.2">
      <c r="A10" t="s">
        <v>43</v>
      </c>
      <c r="B10" s="3">
        <v>309</v>
      </c>
      <c r="C10" s="3">
        <v>297</v>
      </c>
      <c r="D10" s="3">
        <v>305</v>
      </c>
      <c r="E10" s="3">
        <v>295</v>
      </c>
      <c r="F10" s="3">
        <v>297</v>
      </c>
      <c r="G10" s="3">
        <v>295</v>
      </c>
      <c r="H10" s="3">
        <v>293</v>
      </c>
      <c r="I10">
        <f t="shared" si="0"/>
        <v>2091</v>
      </c>
      <c r="J10">
        <f t="shared" si="2"/>
        <v>12474</v>
      </c>
      <c r="K10" s="20">
        <f t="shared" si="1"/>
        <v>24698.52</v>
      </c>
    </row>
    <row r="11" spans="1:11" x14ac:dyDescent="0.2">
      <c r="A11" s="7" t="s">
        <v>44</v>
      </c>
      <c r="B11" s="3">
        <v>291</v>
      </c>
      <c r="C11" s="3">
        <v>292</v>
      </c>
      <c r="D11" s="3">
        <v>281</v>
      </c>
      <c r="E11" s="3">
        <v>258</v>
      </c>
      <c r="F11" s="3">
        <v>96</v>
      </c>
      <c r="G11" s="3">
        <v>234</v>
      </c>
      <c r="H11" s="3">
        <v>268</v>
      </c>
      <c r="I11">
        <f t="shared" si="0"/>
        <v>1720</v>
      </c>
      <c r="J11">
        <f t="shared" si="2"/>
        <v>14194</v>
      </c>
      <c r="K11" s="20">
        <f t="shared" si="1"/>
        <v>28104.12</v>
      </c>
    </row>
    <row r="12" spans="1:11" x14ac:dyDescent="0.2">
      <c r="A12" t="s">
        <v>45</v>
      </c>
      <c r="B12" s="3">
        <v>277</v>
      </c>
      <c r="C12" s="3">
        <v>279</v>
      </c>
      <c r="D12" s="3">
        <v>243</v>
      </c>
      <c r="E12" s="3">
        <v>116</v>
      </c>
      <c r="F12" s="3">
        <v>87</v>
      </c>
      <c r="G12" s="3">
        <v>62</v>
      </c>
      <c r="H12" s="3">
        <v>19</v>
      </c>
      <c r="I12">
        <f t="shared" si="0"/>
        <v>1083</v>
      </c>
      <c r="J12">
        <f t="shared" si="2"/>
        <v>15277</v>
      </c>
      <c r="K12" s="20">
        <f t="shared" si="1"/>
        <v>30248.46</v>
      </c>
    </row>
    <row r="13" spans="1:11" x14ac:dyDescent="0.2">
      <c r="A13" s="7" t="s">
        <v>46</v>
      </c>
      <c r="B13" s="3">
        <v>9</v>
      </c>
      <c r="C13" s="3">
        <v>12</v>
      </c>
      <c r="D13" s="3">
        <v>12</v>
      </c>
      <c r="E13" s="3">
        <v>13</v>
      </c>
      <c r="F13" s="3">
        <v>12</v>
      </c>
      <c r="G13" s="3">
        <v>12</v>
      </c>
      <c r="H13" s="3">
        <v>12</v>
      </c>
      <c r="I13">
        <f t="shared" si="0"/>
        <v>82</v>
      </c>
      <c r="J13">
        <f t="shared" si="2"/>
        <v>15359</v>
      </c>
      <c r="K13" s="20">
        <f t="shared" si="1"/>
        <v>30410.82</v>
      </c>
    </row>
    <row r="14" spans="1:11" x14ac:dyDescent="0.2">
      <c r="A14" s="7" t="s">
        <v>47</v>
      </c>
      <c r="B14" s="3">
        <v>12</v>
      </c>
      <c r="C14" s="3">
        <v>14</v>
      </c>
      <c r="D14" s="3">
        <v>13</v>
      </c>
      <c r="E14" s="3">
        <v>11</v>
      </c>
      <c r="F14" s="3">
        <v>6</v>
      </c>
      <c r="G14" s="3">
        <v>6</v>
      </c>
      <c r="H14" s="3">
        <v>8</v>
      </c>
      <c r="I14">
        <f t="shared" si="0"/>
        <v>70</v>
      </c>
      <c r="J14">
        <f t="shared" si="2"/>
        <v>15429</v>
      </c>
      <c r="K14" s="20">
        <f t="shared" si="1"/>
        <v>30549.42</v>
      </c>
    </row>
    <row r="15" spans="1:11" x14ac:dyDescent="0.2">
      <c r="A15" t="s">
        <v>48</v>
      </c>
      <c r="B15" s="3">
        <v>0</v>
      </c>
      <c r="C15" s="3">
        <v>1</v>
      </c>
      <c r="D15" s="3">
        <v>7</v>
      </c>
      <c r="E15" s="3">
        <v>14</v>
      </c>
      <c r="F15" s="3">
        <v>11</v>
      </c>
      <c r="G15" s="3">
        <v>2</v>
      </c>
      <c r="H15" s="3">
        <v>1</v>
      </c>
      <c r="I15">
        <f t="shared" si="0"/>
        <v>36</v>
      </c>
      <c r="J15">
        <f t="shared" si="2"/>
        <v>15465</v>
      </c>
      <c r="K15" s="20">
        <f t="shared" si="1"/>
        <v>30620.7</v>
      </c>
    </row>
    <row r="16" spans="1:11" x14ac:dyDescent="0.2">
      <c r="A16" s="7" t="s">
        <v>49</v>
      </c>
      <c r="B16" s="3">
        <v>3</v>
      </c>
      <c r="C16" s="3">
        <v>4</v>
      </c>
      <c r="D16" s="3">
        <v>2</v>
      </c>
      <c r="E16" s="3">
        <v>1</v>
      </c>
      <c r="F16" s="3">
        <v>1</v>
      </c>
      <c r="G16" s="3">
        <v>4</v>
      </c>
      <c r="H16" s="3">
        <v>5</v>
      </c>
      <c r="I16">
        <f t="shared" si="0"/>
        <v>20</v>
      </c>
      <c r="J16">
        <f t="shared" si="2"/>
        <v>15485</v>
      </c>
      <c r="K16" s="20">
        <f t="shared" si="1"/>
        <v>30660.3</v>
      </c>
    </row>
    <row r="17" spans="1:11" x14ac:dyDescent="0.2">
      <c r="A17" s="7" t="s">
        <v>50</v>
      </c>
      <c r="B17" s="3">
        <v>2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>
        <f t="shared" si="0"/>
        <v>8</v>
      </c>
      <c r="J17">
        <f t="shared" si="2"/>
        <v>15493</v>
      </c>
      <c r="K17" s="20">
        <f t="shared" si="1"/>
        <v>30676.14</v>
      </c>
    </row>
    <row r="18" spans="1:11" x14ac:dyDescent="0.2">
      <c r="A18" t="s">
        <v>51</v>
      </c>
      <c r="B18" s="3">
        <v>1</v>
      </c>
      <c r="C18" s="3">
        <v>1</v>
      </c>
      <c r="D18" s="3">
        <v>1</v>
      </c>
      <c r="E18" s="3">
        <v>2</v>
      </c>
      <c r="F18" s="3">
        <v>4</v>
      </c>
      <c r="G18" s="3">
        <v>3</v>
      </c>
      <c r="H18" s="3">
        <v>2</v>
      </c>
      <c r="I18">
        <f t="shared" si="0"/>
        <v>14</v>
      </c>
      <c r="J18">
        <f t="shared" si="2"/>
        <v>15507</v>
      </c>
      <c r="K18" s="20">
        <f t="shared" si="1"/>
        <v>30703.86</v>
      </c>
    </row>
    <row r="19" spans="1:11" x14ac:dyDescent="0.2">
      <c r="A19" s="7" t="s">
        <v>52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3</v>
      </c>
      <c r="H19" s="3">
        <v>4</v>
      </c>
      <c r="I19">
        <f t="shared" si="0"/>
        <v>12</v>
      </c>
      <c r="J19">
        <f t="shared" si="2"/>
        <v>15519</v>
      </c>
      <c r="K19" s="20">
        <f t="shared" si="1"/>
        <v>30727.62</v>
      </c>
    </row>
    <row r="20" spans="1:11" x14ac:dyDescent="0.2">
      <c r="A20" t="s">
        <v>53</v>
      </c>
      <c r="B20" s="3">
        <v>3</v>
      </c>
      <c r="C20" s="3">
        <v>3</v>
      </c>
      <c r="D20" s="3">
        <v>4</v>
      </c>
      <c r="E20" s="3">
        <v>4</v>
      </c>
      <c r="F20" s="3">
        <v>4</v>
      </c>
      <c r="G20" s="3">
        <v>4</v>
      </c>
      <c r="H20" s="3">
        <v>25</v>
      </c>
      <c r="I20">
        <f t="shared" si="0"/>
        <v>47</v>
      </c>
      <c r="J20">
        <f t="shared" si="2"/>
        <v>15566</v>
      </c>
      <c r="K20" s="20">
        <f t="shared" si="1"/>
        <v>30820.68</v>
      </c>
    </row>
    <row r="21" spans="1:11" x14ac:dyDescent="0.2">
      <c r="A21" s="7" t="s">
        <v>54</v>
      </c>
      <c r="B21" s="3">
        <v>54</v>
      </c>
      <c r="C21" s="3">
        <v>54</v>
      </c>
      <c r="D21" s="3">
        <v>189</v>
      </c>
      <c r="E21" s="3">
        <v>351</v>
      </c>
      <c r="F21" s="3">
        <v>301</v>
      </c>
      <c r="G21" s="3">
        <v>292</v>
      </c>
      <c r="H21" s="3">
        <v>300</v>
      </c>
      <c r="I21">
        <f t="shared" si="0"/>
        <v>1541</v>
      </c>
      <c r="J21">
        <f t="shared" si="2"/>
        <v>17107</v>
      </c>
      <c r="K21" s="20">
        <f t="shared" si="1"/>
        <v>33871.86</v>
      </c>
    </row>
    <row r="22" spans="1:11" x14ac:dyDescent="0.2">
      <c r="A22" s="7" t="s">
        <v>55</v>
      </c>
      <c r="B22" s="3">
        <v>301</v>
      </c>
      <c r="C22" s="3">
        <v>287</v>
      </c>
      <c r="D22" s="3">
        <v>121</v>
      </c>
      <c r="E22" s="3">
        <v>113</v>
      </c>
      <c r="F22" s="3">
        <v>136</v>
      </c>
      <c r="G22" s="3">
        <v>106</v>
      </c>
      <c r="H22" s="3">
        <v>85</v>
      </c>
      <c r="I22">
        <f t="shared" si="0"/>
        <v>1149</v>
      </c>
      <c r="J22">
        <f t="shared" si="2"/>
        <v>18256</v>
      </c>
      <c r="K22" s="20">
        <f t="shared" si="1"/>
        <v>36146.879999999997</v>
      </c>
    </row>
    <row r="23" spans="1:11" x14ac:dyDescent="0.2">
      <c r="A23" t="s">
        <v>56</v>
      </c>
      <c r="B23" s="3">
        <v>54</v>
      </c>
      <c r="C23" s="3">
        <v>53</v>
      </c>
      <c r="D23" s="3">
        <v>58</v>
      </c>
      <c r="E23" s="3">
        <v>82</v>
      </c>
      <c r="F23" s="3">
        <v>95</v>
      </c>
      <c r="G23" s="3">
        <v>94</v>
      </c>
      <c r="H23" s="3">
        <v>94</v>
      </c>
      <c r="I23">
        <f t="shared" si="0"/>
        <v>530</v>
      </c>
      <c r="J23">
        <f t="shared" si="2"/>
        <v>18786</v>
      </c>
      <c r="K23" s="20">
        <f t="shared" si="1"/>
        <v>37196.28</v>
      </c>
    </row>
    <row r="24" spans="1:11" x14ac:dyDescent="0.2">
      <c r="A24" s="7" t="s">
        <v>57</v>
      </c>
      <c r="B24" s="3">
        <v>96</v>
      </c>
      <c r="C24" s="3">
        <v>93</v>
      </c>
      <c r="D24" s="3">
        <v>59</v>
      </c>
      <c r="E24" s="3">
        <v>69</v>
      </c>
      <c r="F24" s="3">
        <v>70</v>
      </c>
      <c r="G24" s="3">
        <v>86</v>
      </c>
      <c r="H24" s="3">
        <v>78</v>
      </c>
      <c r="I24">
        <f t="shared" si="0"/>
        <v>551</v>
      </c>
      <c r="J24">
        <f t="shared" si="2"/>
        <v>19337</v>
      </c>
      <c r="K24" s="20">
        <f t="shared" si="1"/>
        <v>38287.26</v>
      </c>
    </row>
    <row r="25" spans="1:11" x14ac:dyDescent="0.2">
      <c r="A25" s="7" t="s">
        <v>58</v>
      </c>
      <c r="B25" s="3">
        <v>79</v>
      </c>
      <c r="C25" s="3">
        <v>87</v>
      </c>
      <c r="D25" s="3">
        <v>90</v>
      </c>
      <c r="E25" s="3">
        <v>89</v>
      </c>
      <c r="F25" s="3">
        <v>90</v>
      </c>
      <c r="G25" s="3">
        <v>101</v>
      </c>
      <c r="H25" s="3">
        <v>215</v>
      </c>
      <c r="I25">
        <f t="shared" si="0"/>
        <v>751</v>
      </c>
      <c r="J25">
        <f t="shared" si="2"/>
        <v>20088</v>
      </c>
      <c r="K25" s="20">
        <f t="shared" si="1"/>
        <v>39774.239999999998</v>
      </c>
    </row>
    <row r="26" spans="1:11" x14ac:dyDescent="0.2">
      <c r="A26" t="s">
        <v>59</v>
      </c>
      <c r="B26" s="3">
        <v>269</v>
      </c>
      <c r="C26" s="3">
        <v>175</v>
      </c>
      <c r="D26" s="3">
        <v>110</v>
      </c>
      <c r="E26" s="3">
        <v>92</v>
      </c>
      <c r="F26" s="3">
        <v>72</v>
      </c>
      <c r="G26" s="3">
        <v>58</v>
      </c>
      <c r="H26" s="3">
        <v>59</v>
      </c>
      <c r="I26">
        <f t="shared" si="0"/>
        <v>835</v>
      </c>
      <c r="J26">
        <f t="shared" si="2"/>
        <v>20923</v>
      </c>
      <c r="K26" s="20">
        <f t="shared" si="1"/>
        <v>41427.54</v>
      </c>
    </row>
    <row r="27" spans="1:11" x14ac:dyDescent="0.2">
      <c r="A27" s="7" t="s">
        <v>60</v>
      </c>
      <c r="B27" s="3">
        <v>80</v>
      </c>
      <c r="C27" s="3">
        <v>69</v>
      </c>
      <c r="D27" s="3">
        <v>67</v>
      </c>
      <c r="E27" s="3">
        <v>58</v>
      </c>
      <c r="F27" s="3">
        <v>78</v>
      </c>
      <c r="G27" s="3">
        <v>115</v>
      </c>
      <c r="H27" s="3">
        <v>156</v>
      </c>
      <c r="I27">
        <f t="shared" si="0"/>
        <v>623</v>
      </c>
      <c r="J27">
        <f t="shared" si="2"/>
        <v>21546</v>
      </c>
      <c r="K27" s="20">
        <f t="shared" si="1"/>
        <v>42661.08</v>
      </c>
    </row>
    <row r="28" spans="1:11" x14ac:dyDescent="0.2">
      <c r="A28" t="s">
        <v>61</v>
      </c>
      <c r="B28" s="3">
        <v>158</v>
      </c>
      <c r="C28" s="3">
        <v>148</v>
      </c>
      <c r="D28" s="3">
        <v>149</v>
      </c>
      <c r="E28" s="3">
        <v>130</v>
      </c>
      <c r="F28" s="3">
        <v>77</v>
      </c>
      <c r="G28" s="3">
        <v>26</v>
      </c>
      <c r="H28" s="3">
        <v>23</v>
      </c>
      <c r="I28">
        <f t="shared" si="0"/>
        <v>711</v>
      </c>
      <c r="J28">
        <f t="shared" si="2"/>
        <v>22257</v>
      </c>
      <c r="K28" s="20">
        <f t="shared" si="1"/>
        <v>44068.86</v>
      </c>
    </row>
    <row r="29" spans="1:11" x14ac:dyDescent="0.2">
      <c r="A29" s="7" t="s">
        <v>62</v>
      </c>
      <c r="B29" s="3">
        <v>24</v>
      </c>
      <c r="C29" s="3">
        <v>23</v>
      </c>
      <c r="D29" s="3">
        <v>16</v>
      </c>
      <c r="E29" s="3">
        <v>16</v>
      </c>
      <c r="F29" s="3">
        <v>15</v>
      </c>
      <c r="G29" s="3">
        <v>11</v>
      </c>
      <c r="H29" s="3">
        <v>8</v>
      </c>
      <c r="I29">
        <f t="shared" si="0"/>
        <v>113</v>
      </c>
      <c r="J29">
        <f t="shared" si="2"/>
        <v>22370</v>
      </c>
      <c r="K29" s="20">
        <f t="shared" si="1"/>
        <v>44292.6</v>
      </c>
    </row>
    <row r="30" spans="1:11" x14ac:dyDescent="0.2">
      <c r="A30" s="7" t="s">
        <v>63</v>
      </c>
      <c r="B30" s="3">
        <v>10</v>
      </c>
      <c r="C30" s="3">
        <v>10</v>
      </c>
      <c r="D30" s="3">
        <v>25</v>
      </c>
      <c r="E30" s="3">
        <v>40</v>
      </c>
      <c r="F30" s="3">
        <v>15</v>
      </c>
      <c r="G30" s="3">
        <v>13</v>
      </c>
      <c r="H30" s="3">
        <v>18</v>
      </c>
      <c r="I30">
        <f t="shared" si="0"/>
        <v>131</v>
      </c>
      <c r="J30">
        <f t="shared" si="2"/>
        <v>22501</v>
      </c>
      <c r="K30" s="20">
        <f t="shared" si="1"/>
        <v>44551.98</v>
      </c>
    </row>
    <row r="31" spans="1:11" x14ac:dyDescent="0.2">
      <c r="A31" t="s">
        <v>64</v>
      </c>
      <c r="B31" s="3">
        <v>14</v>
      </c>
      <c r="C31" s="3">
        <v>10</v>
      </c>
      <c r="D31" s="3">
        <v>9</v>
      </c>
      <c r="E31" s="3">
        <v>6</v>
      </c>
      <c r="F31" s="3">
        <v>10</v>
      </c>
      <c r="G31" s="3">
        <v>11</v>
      </c>
      <c r="H31" s="3">
        <v>12</v>
      </c>
      <c r="I31">
        <f t="shared" si="0"/>
        <v>72</v>
      </c>
      <c r="J31">
        <f t="shared" si="2"/>
        <v>22573</v>
      </c>
      <c r="K31" s="20">
        <f t="shared" si="1"/>
        <v>44694.54</v>
      </c>
    </row>
    <row r="32" spans="1:11" x14ac:dyDescent="0.2">
      <c r="A32" s="7" t="s">
        <v>65</v>
      </c>
      <c r="B32" s="3">
        <v>11</v>
      </c>
      <c r="C32" s="3">
        <v>10</v>
      </c>
      <c r="D32" s="3">
        <v>25</v>
      </c>
      <c r="E32" s="3">
        <v>119</v>
      </c>
      <c r="F32" s="3">
        <v>150</v>
      </c>
      <c r="G32" s="3">
        <v>173</v>
      </c>
      <c r="H32" s="3">
        <v>184</v>
      </c>
      <c r="I32">
        <f t="shared" si="0"/>
        <v>672</v>
      </c>
      <c r="J32">
        <f t="shared" si="2"/>
        <v>23245</v>
      </c>
      <c r="K32" s="20">
        <f t="shared" si="1"/>
        <v>46025.1</v>
      </c>
    </row>
    <row r="33" spans="1:11" x14ac:dyDescent="0.2">
      <c r="A33" s="7" t="s">
        <v>66</v>
      </c>
      <c r="B33" s="3">
        <v>170</v>
      </c>
      <c r="C33" s="3">
        <v>85</v>
      </c>
      <c r="D33" s="3">
        <v>33</v>
      </c>
      <c r="E33" s="3">
        <v>21</v>
      </c>
      <c r="F33" s="3">
        <v>13</v>
      </c>
      <c r="G33" s="3">
        <v>12</v>
      </c>
      <c r="H33" s="3">
        <v>13</v>
      </c>
      <c r="I33">
        <f t="shared" si="0"/>
        <v>347</v>
      </c>
      <c r="J33">
        <f t="shared" si="2"/>
        <v>23592</v>
      </c>
      <c r="K33" s="20">
        <f t="shared" si="1"/>
        <v>46712.159999999996</v>
      </c>
    </row>
    <row r="34" spans="1:11" x14ac:dyDescent="0.2">
      <c r="A34" t="s">
        <v>67</v>
      </c>
      <c r="B34" s="3">
        <v>14</v>
      </c>
      <c r="C34" s="3">
        <v>8</v>
      </c>
      <c r="D34" s="3">
        <v>0</v>
      </c>
      <c r="E34" s="3">
        <v>19</v>
      </c>
      <c r="F34" s="3">
        <v>21</v>
      </c>
      <c r="G34" s="3">
        <v>14</v>
      </c>
      <c r="H34" s="3">
        <v>15</v>
      </c>
      <c r="I34">
        <f t="shared" si="0"/>
        <v>91</v>
      </c>
      <c r="J34">
        <f t="shared" si="2"/>
        <v>23683</v>
      </c>
      <c r="K34" s="20">
        <f t="shared" si="1"/>
        <v>46892.34</v>
      </c>
    </row>
    <row r="35" spans="1:11" x14ac:dyDescent="0.2">
      <c r="A35" s="7" t="s">
        <v>68</v>
      </c>
      <c r="B35" s="3">
        <v>17</v>
      </c>
      <c r="C35" s="3">
        <v>18</v>
      </c>
      <c r="D35" s="3">
        <v>17</v>
      </c>
      <c r="E35" s="3">
        <v>19</v>
      </c>
      <c r="F35" s="3">
        <v>20</v>
      </c>
      <c r="G35" s="3">
        <v>18</v>
      </c>
      <c r="H35" s="3">
        <v>16</v>
      </c>
      <c r="I35">
        <f t="shared" si="0"/>
        <v>125</v>
      </c>
      <c r="J35">
        <f t="shared" si="2"/>
        <v>23808</v>
      </c>
      <c r="K35" s="20">
        <f t="shared" si="1"/>
        <v>47139.839999999997</v>
      </c>
    </row>
    <row r="36" spans="1:11" x14ac:dyDescent="0.2">
      <c r="A36" t="s">
        <v>69</v>
      </c>
      <c r="B36" s="3">
        <v>17</v>
      </c>
      <c r="C36" s="3">
        <v>21</v>
      </c>
      <c r="D36" s="3">
        <v>28</v>
      </c>
      <c r="E36" s="3">
        <v>27</v>
      </c>
      <c r="F36" s="3">
        <v>25</v>
      </c>
      <c r="G36" s="3">
        <v>24</v>
      </c>
      <c r="H36" s="3">
        <v>25</v>
      </c>
      <c r="I36">
        <f t="shared" si="0"/>
        <v>167</v>
      </c>
      <c r="J36">
        <f t="shared" si="2"/>
        <v>23975</v>
      </c>
      <c r="K36" s="20">
        <f t="shared" si="1"/>
        <v>47470.5</v>
      </c>
    </row>
    <row r="37" spans="1:11" x14ac:dyDescent="0.2">
      <c r="A37" s="7" t="s">
        <v>70</v>
      </c>
      <c r="B37" s="3">
        <v>23</v>
      </c>
      <c r="C37" s="3">
        <v>24</v>
      </c>
      <c r="D37" s="3">
        <v>24</v>
      </c>
      <c r="E37" s="3">
        <v>24</v>
      </c>
      <c r="F37" s="3">
        <v>20</v>
      </c>
      <c r="G37" s="3">
        <v>12</v>
      </c>
      <c r="H37" s="3">
        <v>23</v>
      </c>
      <c r="I37">
        <f t="shared" si="0"/>
        <v>150</v>
      </c>
      <c r="J37">
        <f t="shared" si="2"/>
        <v>24125</v>
      </c>
      <c r="K37" s="20">
        <f t="shared" si="1"/>
        <v>47767.5</v>
      </c>
    </row>
    <row r="38" spans="1:11" x14ac:dyDescent="0.2">
      <c r="A38" s="7" t="s">
        <v>71</v>
      </c>
      <c r="B38" s="3">
        <v>23</v>
      </c>
      <c r="C38" s="3">
        <v>24</v>
      </c>
      <c r="D38" s="3">
        <v>19</v>
      </c>
      <c r="E38" s="3">
        <v>15</v>
      </c>
      <c r="F38" s="3">
        <v>13</v>
      </c>
      <c r="G38" s="3">
        <v>10</v>
      </c>
      <c r="H38" s="3">
        <v>12</v>
      </c>
      <c r="I38">
        <f t="shared" si="0"/>
        <v>116</v>
      </c>
      <c r="J38">
        <f t="shared" si="2"/>
        <v>24241</v>
      </c>
      <c r="K38" s="20">
        <f t="shared" si="1"/>
        <v>47997.18</v>
      </c>
    </row>
    <row r="39" spans="1:11" x14ac:dyDescent="0.2">
      <c r="A39" t="s">
        <v>72</v>
      </c>
      <c r="B39" s="3">
        <v>13</v>
      </c>
      <c r="C39" s="3">
        <v>12</v>
      </c>
      <c r="D39" s="3">
        <v>12</v>
      </c>
      <c r="E39" s="3">
        <v>13</v>
      </c>
      <c r="F39" s="3">
        <v>13</v>
      </c>
      <c r="G39" s="3">
        <v>13</v>
      </c>
      <c r="H39" s="3">
        <v>12</v>
      </c>
      <c r="I39">
        <f t="shared" si="0"/>
        <v>88</v>
      </c>
      <c r="J39">
        <f t="shared" si="2"/>
        <v>24329</v>
      </c>
      <c r="K39" s="20">
        <f t="shared" si="1"/>
        <v>48171.42</v>
      </c>
    </row>
    <row r="40" spans="1:11" x14ac:dyDescent="0.2">
      <c r="A40" s="7" t="s">
        <v>73</v>
      </c>
      <c r="B40" s="3">
        <v>13</v>
      </c>
      <c r="C40" s="3">
        <v>12</v>
      </c>
      <c r="D40" s="3">
        <v>12</v>
      </c>
      <c r="E40" s="3">
        <v>11</v>
      </c>
      <c r="F40" s="3">
        <v>8</v>
      </c>
      <c r="G40" s="3">
        <v>6</v>
      </c>
      <c r="H40" s="3">
        <v>10</v>
      </c>
      <c r="I40">
        <f t="shared" si="0"/>
        <v>72</v>
      </c>
      <c r="J40">
        <f t="shared" si="2"/>
        <v>24401</v>
      </c>
      <c r="K40" s="20">
        <f t="shared" si="1"/>
        <v>48313.98</v>
      </c>
    </row>
    <row r="41" spans="1:11" x14ac:dyDescent="0.2">
      <c r="A41" s="7" t="s">
        <v>74</v>
      </c>
      <c r="B41" s="3">
        <v>12</v>
      </c>
      <c r="C41" s="3">
        <v>34</v>
      </c>
      <c r="D41" s="3">
        <v>97</v>
      </c>
      <c r="E41" s="3">
        <v>56</v>
      </c>
      <c r="F41" s="3">
        <v>38</v>
      </c>
      <c r="G41" s="3">
        <v>19</v>
      </c>
      <c r="H41" s="3">
        <v>15</v>
      </c>
      <c r="I41">
        <f t="shared" si="0"/>
        <v>271</v>
      </c>
      <c r="J41">
        <f t="shared" si="2"/>
        <v>24672</v>
      </c>
      <c r="K41" s="20">
        <f t="shared" si="1"/>
        <v>48850.559999999998</v>
      </c>
    </row>
    <row r="42" spans="1:11" x14ac:dyDescent="0.2">
      <c r="A42" t="s">
        <v>75</v>
      </c>
      <c r="B42" s="3">
        <v>20</v>
      </c>
      <c r="C42" s="3">
        <v>23</v>
      </c>
      <c r="D42" s="3">
        <v>23</v>
      </c>
      <c r="E42" s="3">
        <v>25</v>
      </c>
      <c r="F42" s="3">
        <v>25</v>
      </c>
      <c r="G42" s="3">
        <v>22</v>
      </c>
      <c r="H42" s="3">
        <v>28</v>
      </c>
      <c r="I42">
        <f t="shared" si="0"/>
        <v>166</v>
      </c>
      <c r="J42">
        <f t="shared" si="2"/>
        <v>24838</v>
      </c>
      <c r="K42" s="20">
        <f t="shared" si="1"/>
        <v>49179.24</v>
      </c>
    </row>
    <row r="43" spans="1:11" x14ac:dyDescent="0.2">
      <c r="A43" s="7" t="s">
        <v>76</v>
      </c>
      <c r="B43" s="3">
        <v>20</v>
      </c>
      <c r="C43" s="3">
        <v>12</v>
      </c>
      <c r="D43" s="3">
        <v>8</v>
      </c>
      <c r="E43" s="3">
        <v>11</v>
      </c>
      <c r="F43" s="3">
        <v>11</v>
      </c>
      <c r="G43" s="3">
        <v>10</v>
      </c>
      <c r="H43" s="3">
        <v>12</v>
      </c>
      <c r="I43">
        <f t="shared" si="0"/>
        <v>84</v>
      </c>
      <c r="J43">
        <f t="shared" si="2"/>
        <v>24922</v>
      </c>
      <c r="K43" s="20">
        <f t="shared" si="1"/>
        <v>49345.56</v>
      </c>
    </row>
    <row r="44" spans="1:11" x14ac:dyDescent="0.2">
      <c r="A44" t="s">
        <v>77</v>
      </c>
      <c r="B44" s="3">
        <v>28</v>
      </c>
      <c r="C44" s="3">
        <v>31</v>
      </c>
      <c r="D44" s="3">
        <v>26</v>
      </c>
      <c r="E44" s="3">
        <v>58</v>
      </c>
      <c r="F44" s="3">
        <v>75</v>
      </c>
      <c r="G44" s="3">
        <v>71</v>
      </c>
      <c r="H44" s="3">
        <v>50</v>
      </c>
      <c r="I44">
        <f t="shared" si="0"/>
        <v>339</v>
      </c>
      <c r="J44">
        <f t="shared" si="2"/>
        <v>25261</v>
      </c>
      <c r="K44" s="20">
        <f t="shared" si="1"/>
        <v>50016.78</v>
      </c>
    </row>
    <row r="45" spans="1:11" x14ac:dyDescent="0.2">
      <c r="A45" s="7" t="s">
        <v>78</v>
      </c>
      <c r="B45" s="3">
        <v>35</v>
      </c>
      <c r="C45" s="3">
        <v>42</v>
      </c>
      <c r="D45" s="3">
        <v>53</v>
      </c>
      <c r="E45" s="3">
        <v>44</v>
      </c>
      <c r="F45" s="3">
        <v>45</v>
      </c>
      <c r="G45" s="3">
        <v>37</v>
      </c>
      <c r="H45" s="3">
        <v>14</v>
      </c>
      <c r="I45">
        <f t="shared" si="0"/>
        <v>270</v>
      </c>
      <c r="J45">
        <f t="shared" si="2"/>
        <v>25531</v>
      </c>
      <c r="K45" s="20">
        <f t="shared" si="1"/>
        <v>50551.38</v>
      </c>
    </row>
    <row r="46" spans="1:11" x14ac:dyDescent="0.2">
      <c r="A46" s="7" t="s">
        <v>79</v>
      </c>
      <c r="B46" s="3">
        <v>10</v>
      </c>
      <c r="C46" s="3">
        <v>12</v>
      </c>
      <c r="D46" s="3">
        <v>6</v>
      </c>
      <c r="E46" s="3">
        <v>8</v>
      </c>
      <c r="F46" s="3">
        <v>3</v>
      </c>
      <c r="G46" s="3">
        <v>1</v>
      </c>
      <c r="H46" s="3">
        <v>1</v>
      </c>
      <c r="I46">
        <f t="shared" si="0"/>
        <v>41</v>
      </c>
      <c r="J46">
        <f t="shared" si="2"/>
        <v>25572</v>
      </c>
      <c r="K46" s="20">
        <f t="shared" si="1"/>
        <v>50632.56</v>
      </c>
    </row>
    <row r="47" spans="1:11" x14ac:dyDescent="0.2">
      <c r="A47" t="s">
        <v>80</v>
      </c>
      <c r="B47" s="3">
        <v>2</v>
      </c>
      <c r="C47" s="3">
        <v>20</v>
      </c>
      <c r="D47" s="3">
        <v>31</v>
      </c>
      <c r="E47" s="3">
        <v>23</v>
      </c>
      <c r="F47" s="3">
        <v>13</v>
      </c>
      <c r="G47" s="3">
        <v>8</v>
      </c>
      <c r="H47" s="3">
        <v>12</v>
      </c>
      <c r="I47">
        <f t="shared" si="0"/>
        <v>109</v>
      </c>
      <c r="J47">
        <f t="shared" si="2"/>
        <v>25681</v>
      </c>
      <c r="K47" s="20">
        <f t="shared" si="1"/>
        <v>50848.38</v>
      </c>
    </row>
    <row r="48" spans="1:11" x14ac:dyDescent="0.2">
      <c r="A48" s="7" t="s">
        <v>81</v>
      </c>
      <c r="B48" s="3">
        <v>12</v>
      </c>
      <c r="C48" s="3">
        <v>11</v>
      </c>
      <c r="D48" s="3">
        <v>7</v>
      </c>
      <c r="E48" s="3">
        <v>8</v>
      </c>
      <c r="F48" s="3">
        <v>11</v>
      </c>
      <c r="G48" s="3">
        <v>11</v>
      </c>
      <c r="H48" s="3">
        <v>12</v>
      </c>
      <c r="I48">
        <f t="shared" si="0"/>
        <v>72</v>
      </c>
      <c r="J48">
        <f t="shared" si="2"/>
        <v>25753</v>
      </c>
      <c r="K48" s="20">
        <f t="shared" si="1"/>
        <v>50990.94</v>
      </c>
    </row>
    <row r="49" spans="1:11" x14ac:dyDescent="0.2">
      <c r="A49" s="7" t="s">
        <v>82</v>
      </c>
      <c r="B49" s="3">
        <v>12</v>
      </c>
      <c r="C49" s="3">
        <v>13</v>
      </c>
      <c r="D49" s="3">
        <v>14</v>
      </c>
      <c r="E49" s="3">
        <v>21</v>
      </c>
      <c r="F49" s="3">
        <v>31</v>
      </c>
      <c r="G49" s="3">
        <v>39</v>
      </c>
      <c r="H49" s="3">
        <v>53</v>
      </c>
      <c r="I49">
        <f t="shared" si="0"/>
        <v>183</v>
      </c>
      <c r="J49">
        <f t="shared" si="2"/>
        <v>25936</v>
      </c>
      <c r="K49" s="20">
        <f t="shared" si="1"/>
        <v>51353.279999999999</v>
      </c>
    </row>
    <row r="50" spans="1:11" x14ac:dyDescent="0.2">
      <c r="A50" t="s">
        <v>83</v>
      </c>
      <c r="B50" s="3">
        <v>51</v>
      </c>
      <c r="C50" s="3">
        <v>56</v>
      </c>
      <c r="D50" s="3">
        <v>41</v>
      </c>
      <c r="E50" s="3">
        <v>90</v>
      </c>
      <c r="F50" s="3">
        <v>146</v>
      </c>
      <c r="G50" s="3">
        <v>144</v>
      </c>
      <c r="H50" s="3">
        <v>164</v>
      </c>
      <c r="I50">
        <f t="shared" si="0"/>
        <v>692</v>
      </c>
      <c r="J50">
        <f t="shared" si="2"/>
        <v>26628</v>
      </c>
      <c r="K50" s="20">
        <f t="shared" si="1"/>
        <v>52723.44</v>
      </c>
    </row>
    <row r="51" spans="1:11" x14ac:dyDescent="0.2">
      <c r="A51" s="7" t="s">
        <v>84</v>
      </c>
      <c r="B51" s="3">
        <v>156</v>
      </c>
      <c r="C51" s="3">
        <v>141</v>
      </c>
      <c r="D51" s="3">
        <v>140</v>
      </c>
      <c r="E51" s="3">
        <v>178</v>
      </c>
      <c r="F51" s="3">
        <v>144</v>
      </c>
      <c r="G51" s="3">
        <v>147</v>
      </c>
      <c r="H51" s="3">
        <v>142</v>
      </c>
      <c r="I51">
        <f t="shared" si="0"/>
        <v>1048</v>
      </c>
      <c r="J51">
        <f t="shared" si="2"/>
        <v>27676</v>
      </c>
      <c r="K51" s="20">
        <f t="shared" si="1"/>
        <v>54798.479999999996</v>
      </c>
    </row>
    <row r="52" spans="1:11" x14ac:dyDescent="0.2">
      <c r="A52" t="s">
        <v>85</v>
      </c>
      <c r="B52" s="3">
        <v>139</v>
      </c>
      <c r="C52" s="3">
        <v>179</v>
      </c>
      <c r="D52" s="3">
        <v>185</v>
      </c>
      <c r="E52" s="3">
        <v>192</v>
      </c>
      <c r="F52" s="3">
        <v>234</v>
      </c>
      <c r="G52" s="3">
        <v>289</v>
      </c>
      <c r="H52" s="3">
        <v>302</v>
      </c>
      <c r="I52">
        <f t="shared" si="0"/>
        <v>1520</v>
      </c>
      <c r="J52">
        <f t="shared" si="2"/>
        <v>29196</v>
      </c>
      <c r="K52" s="20">
        <f t="shared" si="1"/>
        <v>57808.08</v>
      </c>
    </row>
    <row r="53" spans="1:11" x14ac:dyDescent="0.2">
      <c r="A53" s="7" t="s">
        <v>86</v>
      </c>
      <c r="B53" s="3">
        <v>316</v>
      </c>
      <c r="C53" s="3">
        <v>308</v>
      </c>
      <c r="D53" s="3">
        <v>184</v>
      </c>
      <c r="E53" s="3">
        <v>282</v>
      </c>
      <c r="F53" s="3">
        <v>181</v>
      </c>
      <c r="G53" s="3">
        <v>97</v>
      </c>
      <c r="H53" s="3">
        <v>81</v>
      </c>
      <c r="I53">
        <f t="shared" si="0"/>
        <v>1449</v>
      </c>
      <c r="J53">
        <f t="shared" si="2"/>
        <v>30645</v>
      </c>
      <c r="K53" s="20">
        <f t="shared" si="1"/>
        <v>60677.1</v>
      </c>
    </row>
    <row r="54" spans="1:11" x14ac:dyDescent="0.2">
      <c r="A54" s="7" t="s">
        <v>87</v>
      </c>
      <c r="B54" s="3">
        <v>73</v>
      </c>
      <c r="C54" s="3">
        <v>65</v>
      </c>
      <c r="D54" s="3">
        <v>68</v>
      </c>
      <c r="E54" s="3">
        <v>73</v>
      </c>
      <c r="F54" s="3">
        <v>91</v>
      </c>
      <c r="G54" s="3">
        <v>81</v>
      </c>
      <c r="H54" s="3">
        <v>73</v>
      </c>
      <c r="I54">
        <f t="shared" si="0"/>
        <v>524</v>
      </c>
      <c r="J54">
        <f t="shared" si="2"/>
        <v>31169</v>
      </c>
      <c r="K54" s="20">
        <f t="shared" si="1"/>
        <v>61714.62</v>
      </c>
    </row>
    <row r="55" spans="1:11" x14ac:dyDescent="0.2">
      <c r="A55" t="s">
        <v>88</v>
      </c>
      <c r="B55" s="3">
        <v>73</v>
      </c>
      <c r="C55" s="3">
        <v>84</v>
      </c>
      <c r="D55" s="3">
        <v>83</v>
      </c>
      <c r="E55" s="3">
        <v>13</v>
      </c>
      <c r="F55" s="3">
        <v>4</v>
      </c>
      <c r="G55" s="3">
        <v>4</v>
      </c>
      <c r="H55" s="3">
        <v>6</v>
      </c>
      <c r="I55">
        <f t="shared" si="0"/>
        <v>267</v>
      </c>
      <c r="J55">
        <f t="shared" si="2"/>
        <v>31436</v>
      </c>
      <c r="K55" s="20">
        <f t="shared" si="1"/>
        <v>62243.28</v>
      </c>
    </row>
    <row r="56" spans="1:11" x14ac:dyDescent="0.2">
      <c r="A56" s="7" t="s">
        <v>89</v>
      </c>
      <c r="B56" s="3">
        <v>7</v>
      </c>
      <c r="C56" s="3">
        <v>7</v>
      </c>
      <c r="D56" s="3">
        <v>12</v>
      </c>
      <c r="E56" s="3">
        <v>11</v>
      </c>
      <c r="F56" s="3">
        <v>0</v>
      </c>
      <c r="G56" s="3">
        <v>0</v>
      </c>
      <c r="H56" s="3">
        <v>0</v>
      </c>
      <c r="I56">
        <f t="shared" si="0"/>
        <v>37</v>
      </c>
      <c r="J56">
        <f t="shared" si="2"/>
        <v>31473</v>
      </c>
      <c r="K56" s="20">
        <f t="shared" si="1"/>
        <v>62316.54</v>
      </c>
    </row>
    <row r="57" spans="1:11" x14ac:dyDescent="0.2">
      <c r="A57" s="7"/>
    </row>
    <row r="59" spans="1:11" x14ac:dyDescent="0.2">
      <c r="A59" s="7"/>
    </row>
    <row r="61" spans="1:11" x14ac:dyDescent="0.2">
      <c r="A61" s="7"/>
    </row>
    <row r="62" spans="1:11" x14ac:dyDescent="0.2">
      <c r="A62" s="7"/>
    </row>
    <row r="64" spans="1:11" x14ac:dyDescent="0.2">
      <c r="A64" s="7"/>
    </row>
    <row r="65" spans="1:1" x14ac:dyDescent="0.2">
      <c r="A65" s="7"/>
    </row>
    <row r="67" spans="1:1" x14ac:dyDescent="0.2">
      <c r="A67" s="7"/>
    </row>
    <row r="69" spans="1:1" x14ac:dyDescent="0.2">
      <c r="A69" s="7"/>
    </row>
    <row r="70" spans="1:1" x14ac:dyDescent="0.2">
      <c r="A70" s="7"/>
    </row>
    <row r="72" spans="1:1" x14ac:dyDescent="0.2">
      <c r="A72" s="7"/>
    </row>
    <row r="73" spans="1:1" x14ac:dyDescent="0.2">
      <c r="A73" s="7"/>
    </row>
    <row r="75" spans="1:1" x14ac:dyDescent="0.2">
      <c r="A75" s="7"/>
    </row>
    <row r="77" spans="1:1" x14ac:dyDescent="0.2">
      <c r="A77" s="7"/>
    </row>
    <row r="78" spans="1:1" x14ac:dyDescent="0.2">
      <c r="A78" s="7"/>
    </row>
    <row r="80" spans="1:1" x14ac:dyDescent="0.2">
      <c r="A80" s="7"/>
    </row>
    <row r="81" spans="1:1" x14ac:dyDescent="0.2">
      <c r="A81" s="7"/>
    </row>
    <row r="83" spans="1:1" x14ac:dyDescent="0.2">
      <c r="A83" s="7"/>
    </row>
    <row r="85" spans="1:1" x14ac:dyDescent="0.2">
      <c r="A85" s="7"/>
    </row>
    <row r="86" spans="1:1" x14ac:dyDescent="0.2">
      <c r="A86" s="7"/>
    </row>
    <row r="88" spans="1:1" x14ac:dyDescent="0.2">
      <c r="A88" s="7"/>
    </row>
    <row r="89" spans="1:1" x14ac:dyDescent="0.2">
      <c r="A89" s="7"/>
    </row>
    <row r="91" spans="1:1" x14ac:dyDescent="0.2">
      <c r="A91" s="7"/>
    </row>
    <row r="93" spans="1:1" x14ac:dyDescent="0.2">
      <c r="A93" s="7"/>
    </row>
    <row r="94" spans="1:1" x14ac:dyDescent="0.2">
      <c r="A94" s="7"/>
    </row>
    <row r="96" spans="1:1" x14ac:dyDescent="0.2">
      <c r="A96" s="7"/>
    </row>
    <row r="97" spans="1:1" x14ac:dyDescent="0.2">
      <c r="A97" s="7"/>
    </row>
    <row r="99" spans="1:1" x14ac:dyDescent="0.2">
      <c r="A99" s="7"/>
    </row>
    <row r="101" spans="1:1" x14ac:dyDescent="0.2">
      <c r="A101" s="7"/>
    </row>
    <row r="102" spans="1:1" x14ac:dyDescent="0.2">
      <c r="A102" s="7"/>
    </row>
    <row r="104" spans="1:1" x14ac:dyDescent="0.2">
      <c r="A104" s="7"/>
    </row>
    <row r="105" spans="1:1" x14ac:dyDescent="0.2">
      <c r="A105" s="7"/>
    </row>
    <row r="107" spans="1:1" x14ac:dyDescent="0.2">
      <c r="A107" s="7"/>
    </row>
    <row r="109" spans="1:1" x14ac:dyDescent="0.2">
      <c r="A109" s="7"/>
    </row>
    <row r="110" spans="1:1" x14ac:dyDescent="0.2">
      <c r="A110" s="7"/>
    </row>
  </sheetData>
  <sheetProtection sheet="1" objects="1" scenarios="1"/>
  <pageMargins left="0.75" right="0.75" top="1" bottom="1" header="0.5" footer="0.5"/>
  <pageSetup scale="86" orientation="portrait" horizontalDpi="18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J-CAN</vt:lpstr>
      <vt:lpstr>ST-48</vt:lpstr>
      <vt:lpstr>SPILL</vt:lpstr>
      <vt:lpstr>D-PLNT HRS</vt:lpstr>
      <vt:lpstr>D-PLNT A.F.</vt:lpstr>
      <vt:lpstr>STRAITS</vt:lpstr>
      <vt:lpstr>'D-PLNT HRS'!Print_Area</vt:lpstr>
      <vt:lpstr>STRAITS!Print_Area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Kirby</dc:creator>
  <cp:lastModifiedBy>Brad Kirby</cp:lastModifiedBy>
  <dcterms:created xsi:type="dcterms:W3CDTF">2011-09-30T15:46:38Z</dcterms:created>
  <dcterms:modified xsi:type="dcterms:W3CDTF">2011-09-30T15:46:54Z</dcterms:modified>
</cp:coreProperties>
</file>