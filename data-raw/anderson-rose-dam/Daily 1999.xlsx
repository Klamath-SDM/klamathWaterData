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6835" windowHeight="10290"/>
  </bookViews>
  <sheets>
    <sheet name="J-CAN" sheetId="1" r:id="rId1"/>
    <sheet name="ST-48" sheetId="2" r:id="rId2"/>
    <sheet name="SPILL" sheetId="3" r:id="rId3"/>
    <sheet name="D-PLNT HRS" sheetId="4" r:id="rId4"/>
    <sheet name="D-PLNT A.F." sheetId="5" r:id="rId5"/>
    <sheet name="STRAITS" sheetId="6" r:id="rId6"/>
  </sheets>
  <definedNames>
    <definedName name="_xlnm.Print_Area" localSheetId="5">STRAITS!$A$1:$K$56</definedName>
  </definedNames>
  <calcPr calcId="145621" iterate="1" iterateCount="1"/>
</workbook>
</file>

<file path=xl/calcChain.xml><?xml version="1.0" encoding="utf-8"?>
<calcChain xmlns="http://schemas.openxmlformats.org/spreadsheetml/2006/main">
  <c r="I4" i="6" l="1"/>
  <c r="J4" i="6"/>
  <c r="K4" i="6" s="1"/>
  <c r="I5" i="6"/>
  <c r="J5" i="6" s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B37" i="5"/>
  <c r="C37" i="5"/>
  <c r="D37" i="5"/>
  <c r="E37" i="5"/>
  <c r="F37" i="5"/>
  <c r="G37" i="5"/>
  <c r="H37" i="5"/>
  <c r="I37" i="5"/>
  <c r="J37" i="5"/>
  <c r="K37" i="5"/>
  <c r="L37" i="5"/>
  <c r="M37" i="5"/>
  <c r="B38" i="5"/>
  <c r="C38" i="5"/>
  <c r="D38" i="5"/>
  <c r="E38" i="5"/>
  <c r="F38" i="5"/>
  <c r="G38" i="5"/>
  <c r="H38" i="5"/>
  <c r="I38" i="5"/>
  <c r="J38" i="5"/>
  <c r="K38" i="5"/>
  <c r="L38" i="5"/>
  <c r="M38" i="5"/>
  <c r="B39" i="5"/>
  <c r="C39" i="5" s="1"/>
  <c r="D39" i="5" s="1"/>
  <c r="E39" i="5" s="1"/>
  <c r="F39" i="5" s="1"/>
  <c r="G39" i="5" s="1"/>
  <c r="H39" i="5" s="1"/>
  <c r="I39" i="5" s="1"/>
  <c r="J39" i="5" s="1"/>
  <c r="K39" i="5" s="1"/>
  <c r="L39" i="5" s="1"/>
  <c r="M39" i="5" s="1"/>
  <c r="N41" i="5"/>
  <c r="N42" i="5"/>
  <c r="N43" i="5"/>
  <c r="N44" i="5"/>
  <c r="N45" i="5"/>
  <c r="N46" i="5"/>
  <c r="N47" i="5"/>
  <c r="N48" i="5"/>
  <c r="N49" i="5"/>
  <c r="N50" i="5"/>
  <c r="B52" i="5"/>
  <c r="C52" i="5"/>
  <c r="D52" i="5"/>
  <c r="E52" i="5"/>
  <c r="F52" i="5"/>
  <c r="G52" i="5"/>
  <c r="H52" i="5"/>
  <c r="I52" i="5"/>
  <c r="J52" i="5"/>
  <c r="K52" i="5"/>
  <c r="L52" i="5"/>
  <c r="M52" i="5"/>
  <c r="B53" i="5"/>
  <c r="C53" i="5" s="1"/>
  <c r="D53" i="5" s="1"/>
  <c r="E53" i="5" s="1"/>
  <c r="F53" i="5" s="1"/>
  <c r="G53" i="5" s="1"/>
  <c r="H53" i="5" s="1"/>
  <c r="I53" i="5" s="1"/>
  <c r="J53" i="5" s="1"/>
  <c r="K53" i="5" s="1"/>
  <c r="L53" i="5" s="1"/>
  <c r="M53" i="5" s="1"/>
  <c r="N53" i="5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 s="1"/>
  <c r="E37" i="4"/>
  <c r="F37" i="4" s="1"/>
  <c r="G37" i="4" s="1"/>
  <c r="H37" i="4" s="1"/>
  <c r="I37" i="4"/>
  <c r="J37" i="4" s="1"/>
  <c r="K37" i="4" s="1"/>
  <c r="L37" i="4" s="1"/>
  <c r="M37" i="4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E38" i="3" s="1"/>
  <c r="F38" i="3" s="1"/>
  <c r="G38" i="3" s="1"/>
  <c r="H38" i="3" s="1"/>
  <c r="I38" i="3" s="1"/>
  <c r="J38" i="3" s="1"/>
  <c r="K38" i="3" s="1"/>
  <c r="L38" i="3" s="1"/>
  <c r="M38" i="3" s="1"/>
  <c r="F37" i="3"/>
  <c r="G37" i="3"/>
  <c r="H37" i="3"/>
  <c r="I37" i="3"/>
  <c r="J37" i="3"/>
  <c r="K37" i="3"/>
  <c r="L37" i="3"/>
  <c r="M37" i="3"/>
  <c r="B38" i="3"/>
  <c r="C38" i="3"/>
  <c r="D38" i="3" s="1"/>
  <c r="N40" i="3"/>
  <c r="N41" i="3"/>
  <c r="N42" i="3"/>
  <c r="N43" i="3"/>
  <c r="N44" i="3"/>
  <c r="N45" i="3"/>
  <c r="N46" i="3"/>
  <c r="N47" i="3"/>
  <c r="N48" i="3"/>
  <c r="N49" i="3"/>
  <c r="B51" i="3"/>
  <c r="C51" i="3"/>
  <c r="D51" i="3"/>
  <c r="E51" i="3"/>
  <c r="E52" i="3" s="1"/>
  <c r="F52" i="3" s="1"/>
  <c r="G52" i="3" s="1"/>
  <c r="H52" i="3" s="1"/>
  <c r="I52" i="3" s="1"/>
  <c r="J52" i="3" s="1"/>
  <c r="K52" i="3" s="1"/>
  <c r="L52" i="3" s="1"/>
  <c r="M52" i="3" s="1"/>
  <c r="F51" i="3"/>
  <c r="G51" i="3"/>
  <c r="H51" i="3"/>
  <c r="I51" i="3"/>
  <c r="J51" i="3"/>
  <c r="K51" i="3"/>
  <c r="L51" i="3"/>
  <c r="M51" i="3"/>
  <c r="B52" i="3"/>
  <c r="C52" i="3"/>
  <c r="D52" i="3" s="1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 s="1"/>
  <c r="D38" i="2" s="1"/>
  <c r="E38" i="2" s="1"/>
  <c r="F38" i="2" s="1"/>
  <c r="G38" i="2" s="1"/>
  <c r="H38" i="2" s="1"/>
  <c r="I38" i="2" s="1"/>
  <c r="J38" i="2" s="1"/>
  <c r="K38" i="2" s="1"/>
  <c r="L38" i="2" s="1"/>
  <c r="M38" i="2" s="1"/>
  <c r="N40" i="2"/>
  <c r="N41" i="2"/>
  <c r="N42" i="2"/>
  <c r="N52" i="2" s="1"/>
  <c r="N43" i="2"/>
  <c r="N44" i="2"/>
  <c r="N45" i="2"/>
  <c r="N46" i="2"/>
  <c r="N47" i="2"/>
  <c r="N48" i="2"/>
  <c r="N49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 s="1"/>
  <c r="D52" i="2" s="1"/>
  <c r="E52" i="2" s="1"/>
  <c r="F52" i="2" s="1"/>
  <c r="G52" i="2" s="1"/>
  <c r="H52" i="2" s="1"/>
  <c r="I52" i="2" s="1"/>
  <c r="J52" i="2" s="1"/>
  <c r="K52" i="2" s="1"/>
  <c r="L52" i="2" s="1"/>
  <c r="M52" i="2" s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N40" i="1"/>
  <c r="N41" i="1"/>
  <c r="N42" i="1"/>
  <c r="N43" i="1"/>
  <c r="N44" i="1"/>
  <c r="N45" i="1"/>
  <c r="N46" i="1"/>
  <c r="N47" i="1"/>
  <c r="N48" i="1"/>
  <c r="N49" i="1"/>
  <c r="B51" i="1"/>
  <c r="C51" i="1"/>
  <c r="D51" i="1"/>
  <c r="E51" i="1"/>
  <c r="E52" i="1" s="1"/>
  <c r="F52" i="1" s="1"/>
  <c r="G52" i="1" s="1"/>
  <c r="H52" i="1" s="1"/>
  <c r="I52" i="1" s="1"/>
  <c r="J52" i="1" s="1"/>
  <c r="K52" i="1" s="1"/>
  <c r="L52" i="1" s="1"/>
  <c r="M52" i="1" s="1"/>
  <c r="F51" i="1"/>
  <c r="G51" i="1"/>
  <c r="H51" i="1"/>
  <c r="I51" i="1"/>
  <c r="J51" i="1"/>
  <c r="K51" i="1"/>
  <c r="L51" i="1"/>
  <c r="M51" i="1"/>
  <c r="D52" i="1"/>
  <c r="N52" i="3" l="1"/>
  <c r="N52" i="1"/>
  <c r="K5" i="6"/>
  <c r="J6" i="6"/>
  <c r="K6" i="6" s="1"/>
  <c r="J7" i="6" l="1"/>
  <c r="J8" i="6" l="1"/>
  <c r="K7" i="6"/>
  <c r="K8" i="6" l="1"/>
  <c r="J9" i="6"/>
  <c r="K9" i="6" l="1"/>
  <c r="J10" i="6"/>
  <c r="K10" i="6" l="1"/>
  <c r="J11" i="6"/>
  <c r="J12" i="6" l="1"/>
  <c r="K11" i="6"/>
  <c r="K12" i="6" l="1"/>
  <c r="J13" i="6"/>
  <c r="K13" i="6" l="1"/>
  <c r="J14" i="6"/>
  <c r="K14" i="6" l="1"/>
  <c r="J15" i="6"/>
  <c r="J16" i="6" l="1"/>
  <c r="K15" i="6"/>
  <c r="K16" i="6" l="1"/>
  <c r="J17" i="6"/>
  <c r="K17" i="6" l="1"/>
  <c r="J18" i="6"/>
  <c r="K18" i="6" l="1"/>
  <c r="J19" i="6"/>
  <c r="J20" i="6" l="1"/>
  <c r="K19" i="6"/>
  <c r="K20" i="6" l="1"/>
  <c r="J21" i="6"/>
  <c r="K21" i="6" l="1"/>
  <c r="J22" i="6"/>
  <c r="K22" i="6" l="1"/>
  <c r="J23" i="6"/>
  <c r="J24" i="6" l="1"/>
  <c r="K23" i="6"/>
  <c r="K24" i="6" l="1"/>
  <c r="J25" i="6"/>
  <c r="K25" i="6" l="1"/>
  <c r="J26" i="6"/>
  <c r="K26" i="6" l="1"/>
  <c r="J27" i="6"/>
  <c r="J28" i="6" l="1"/>
  <c r="K27" i="6"/>
  <c r="K28" i="6" l="1"/>
  <c r="J29" i="6"/>
  <c r="K29" i="6" l="1"/>
  <c r="J30" i="6"/>
  <c r="K30" i="6" l="1"/>
  <c r="J31" i="6"/>
  <c r="J32" i="6" l="1"/>
  <c r="K31" i="6"/>
  <c r="K32" i="6" l="1"/>
  <c r="J33" i="6"/>
  <c r="K33" i="6" l="1"/>
  <c r="J34" i="6"/>
  <c r="K34" i="6" l="1"/>
  <c r="J35" i="6"/>
  <c r="J36" i="6" l="1"/>
  <c r="K35" i="6"/>
  <c r="K36" i="6" l="1"/>
  <c r="J37" i="6"/>
  <c r="K37" i="6" l="1"/>
  <c r="J38" i="6"/>
  <c r="K38" i="6" l="1"/>
  <c r="J39" i="6"/>
  <c r="J40" i="6" l="1"/>
  <c r="K39" i="6"/>
  <c r="K40" i="6" l="1"/>
  <c r="J41" i="6"/>
  <c r="K41" i="6" l="1"/>
  <c r="J42" i="6"/>
  <c r="K42" i="6" l="1"/>
  <c r="J43" i="6"/>
  <c r="J44" i="6" l="1"/>
  <c r="K43" i="6"/>
  <c r="K44" i="6" l="1"/>
  <c r="J45" i="6"/>
  <c r="K45" i="6" l="1"/>
  <c r="J46" i="6"/>
  <c r="K46" i="6" l="1"/>
  <c r="J47" i="6"/>
  <c r="J48" i="6" l="1"/>
  <c r="K47" i="6"/>
  <c r="K48" i="6" l="1"/>
  <c r="J49" i="6"/>
  <c r="K49" i="6" l="1"/>
  <c r="J50" i="6"/>
  <c r="K50" i="6" l="1"/>
  <c r="J51" i="6"/>
  <c r="J52" i="6" l="1"/>
  <c r="K51" i="6"/>
  <c r="K52" i="6" l="1"/>
  <c r="J53" i="6"/>
  <c r="K53" i="6" l="1"/>
  <c r="J54" i="6"/>
  <c r="K54" i="6" l="1"/>
  <c r="J55" i="6"/>
  <c r="J56" i="6" l="1"/>
  <c r="K56" i="6" s="1"/>
  <c r="K55" i="6"/>
</calcChain>
</file>

<file path=xl/comments1.xml><?xml version="1.0" encoding="utf-8"?>
<comments xmlns="http://schemas.openxmlformats.org/spreadsheetml/2006/main">
  <authors>
    <author>A satisfied Microsoft Office user</author>
  </authors>
  <commentList>
    <comment ref="G56" authorId="0">
      <text>
        <r>
          <rPr>
            <sz val="9"/>
            <color indexed="81"/>
            <rFont val="Tahoma"/>
            <charset val="1"/>
          </rPr>
          <t>December 31, 1999</t>
        </r>
      </text>
    </comment>
    <comment ref="H56" authorId="0">
      <text>
        <r>
          <rPr>
            <sz val="9"/>
            <color indexed="81"/>
            <rFont val="Tahoma"/>
            <charset val="1"/>
          </rPr>
          <t>January 1, 2000</t>
        </r>
      </text>
    </comment>
  </commentList>
</comments>
</file>

<file path=xl/sharedStrings.xml><?xml version="1.0" encoding="utf-8"?>
<sst xmlns="http://schemas.openxmlformats.org/spreadsheetml/2006/main" count="435" uniqueCount="90">
  <si>
    <t xml:space="preserve"> </t>
  </si>
  <si>
    <t>AVG</t>
  </si>
  <si>
    <t>AAF</t>
  </si>
  <si>
    <t>AF</t>
  </si>
  <si>
    <t>CFS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</si>
  <si>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</si>
  <si>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</si>
  <si>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</si>
  <si>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</si>
  <si>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</si>
  <si>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</si>
  <si>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</si>
  <si>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</si>
  <si>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</si>
  <si>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</si>
  <si>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</si>
  <si>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 xml:space="preserve">JAN </t>
  </si>
  <si>
    <t>DAY</t>
  </si>
  <si>
    <t>J-CANAL HEADWORKS 1999</t>
  </si>
  <si>
    <t>STATION 48 1999</t>
  </si>
  <si>
    <t>JAN</t>
  </si>
  <si>
    <t>LOST RIVER SPILL-AND-ROSE-DAM 1999</t>
  </si>
  <si>
    <t>ACCUHRS</t>
  </si>
  <si>
    <t>HRS</t>
  </si>
  <si>
    <t>D-PLANT HOURS 1998</t>
  </si>
  <si>
    <t>D-PLANT ACRE FEET 1999</t>
  </si>
  <si>
    <t>Week 53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</si>
  <si>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</si>
  <si>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</si>
  <si>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</si>
  <si>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</si>
  <si>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</si>
  <si>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</si>
  <si>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</si>
  <si>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</si>
  <si>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</si>
  <si>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</si>
  <si>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</si>
  <si>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</si>
  <si>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</si>
  <si>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</si>
  <si>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</si>
  <si>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</si>
  <si>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</si>
  <si>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</si>
  <si>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</si>
  <si>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</si>
  <si>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</si>
  <si>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</si>
  <si>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</si>
  <si>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</si>
  <si>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Week 28</t>
  </si>
  <si>
    <t>Week 27</t>
  </si>
  <si>
    <t>Week 26</t>
  </si>
  <si>
    <t>Week 25</t>
  </si>
  <si>
    <t>Week 24</t>
  </si>
  <si>
    <t>Week 23</t>
  </si>
  <si>
    <t>Week 22</t>
  </si>
  <si>
    <t>Week 21</t>
  </si>
  <si>
    <t>Week 20</t>
  </si>
  <si>
    <t>Week 19</t>
  </si>
  <si>
    <t>Week 18</t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</si>
  <si>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</si>
  <si>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</si>
  <si>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</si>
  <si>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</si>
  <si>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</si>
  <si>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</si>
  <si>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</si>
  <si>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</si>
  <si>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</si>
  <si>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</si>
  <si>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</si>
  <si>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</si>
  <si>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</si>
  <si>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</si>
  <si>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</si>
  <si>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</si>
  <si>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</si>
  <si>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ACCU. A.F.</t>
  </si>
  <si>
    <t>ACCU. C.F.S</t>
  </si>
  <si>
    <t>TOTAL C.F.S.</t>
  </si>
  <si>
    <t>Sat</t>
  </si>
  <si>
    <t>Fri</t>
  </si>
  <si>
    <t>Thu</t>
  </si>
  <si>
    <t>Wed</t>
  </si>
  <si>
    <t>Tue</t>
  </si>
  <si>
    <t>Mon</t>
  </si>
  <si>
    <t>Sun</t>
  </si>
  <si>
    <t>TO STRAITS DRAIN @ REFUGE 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</si>
</sst>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0.0"/>
  </numFmts>
  <fonts count="4" x14ac:knownFonts="1">
    <font>
      <sz val="10"/>
      <name val="Arial"/>
    </font>
    <font>
      <sz val="10"/>
      <name val="Arial"/>
    </font>
    <font>
      <b/>
      <sz val="10"/>
      <name val="Arial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0" fillId="0" borderId="0" xfId="0" applyNumberFormat="1"/>
    <xf numFmtId="41" fontId="0" fillId="0" borderId="0" xfId="1" applyNumberFormat="1" applyFont="1"/>
    <xf numFmtId="164" fontId="0" fillId="0" borderId="0" xfId="1" applyNumberFormat="1" applyFont="1"/>
    <xf numFmtId="0" fontId="0" fillId="2" borderId="0" xfId="0" applyFill="1" applyProtection="1"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/>
    <xf numFmtId="43" fontId="0" fillId="0" borderId="0" xfId="1" applyFont="1"/>
    <xf numFmtId="0" fontId="2" fillId="0" borderId="0" xfId="0" quotePrefix="1" applyFont="1" applyAlignment="1">
      <alignment horizontal="right"/>
    </xf>
    <xf numFmtId="0" fontId="2" fillId="0" borderId="0" xfId="0" applyFont="1" applyAlignment="1" applyProtection="1">
      <alignment horizontal="right"/>
    </xf>
    <xf numFmtId="0" fontId="0" fillId="0" borderId="0" xfId="0" applyAlignment="1">
      <alignment horizontal="left"/>
    </xf>
    <xf numFmtId="165" fontId="0" fillId="0" borderId="0" xfId="1" applyNumberFormat="1" applyFont="1"/>
    <xf numFmtId="166" fontId="0" fillId="2" borderId="0" xfId="0" applyNumberFormat="1" applyFill="1" applyProtection="1">
      <protection locked="0"/>
    </xf>
    <xf numFmtId="166" fontId="0" fillId="0" borderId="0" xfId="0" quotePrefix="1" applyNumberFormat="1" applyAlignment="1">
      <alignment horizontal="left"/>
    </xf>
    <xf numFmtId="1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workbookViewId="0">
      <pane xSplit="1" ySplit="3" topLeftCell="B4" activePane="bottomRight" state="frozen"/>
      <selection activeCell="N52" sqref="N52"/>
      <selection pane="topRight" activeCell="N52" sqref="N52"/>
      <selection pane="bottomLeft" activeCell="N52" sqref="N52"/>
      <selection pane="bottomRight" activeCell="N52" sqref="N52"/>
    </sheetView>
  </sheetViews>
  <sheetFormatPr defaultRowHeight="12.75" x14ac:dyDescent="0.2"/>
  <cols>
    <col min="1" max="14" width="9.7109375" customWidth="1"/>
  </cols>
  <sheetData>
    <row r="1" spans="1:13" x14ac:dyDescent="0.2">
      <c r="A1" s="7" t="s">
        <v>18</v>
      </c>
      <c r="K1" s="7" t="s">
        <v>18</v>
      </c>
    </row>
    <row r="3" spans="1:13" x14ac:dyDescent="0.2">
      <c r="A3" s="6" t="s">
        <v>17</v>
      </c>
      <c r="B3" s="6" t="s">
        <v>16</v>
      </c>
      <c r="C3" s="6" t="s">
        <v>15</v>
      </c>
      <c r="D3" s="6" t="s">
        <v>14</v>
      </c>
      <c r="E3" s="6" t="s">
        <v>13</v>
      </c>
      <c r="F3" s="6" t="s">
        <v>12</v>
      </c>
      <c r="G3" s="6" t="s">
        <v>11</v>
      </c>
      <c r="H3" s="6" t="s">
        <v>10</v>
      </c>
      <c r="I3" s="6" t="s">
        <v>9</v>
      </c>
      <c r="J3" s="6" t="s">
        <v>8</v>
      </c>
      <c r="K3" s="6" t="s">
        <v>7</v>
      </c>
      <c r="L3" s="6" t="s">
        <v>6</v>
      </c>
      <c r="M3" s="6" t="s">
        <v>5</v>
      </c>
    </row>
    <row r="4" spans="1:13" x14ac:dyDescent="0.2">
      <c r="A4" s="5">
        <v>1</v>
      </c>
      <c r="B4" s="4">
        <v>0</v>
      </c>
      <c r="C4" s="4">
        <v>0</v>
      </c>
      <c r="D4" s="4">
        <v>0</v>
      </c>
      <c r="E4" s="4">
        <v>95</v>
      </c>
      <c r="F4" s="4">
        <v>249</v>
      </c>
      <c r="G4" s="4">
        <v>468</v>
      </c>
      <c r="H4" s="4">
        <v>614</v>
      </c>
      <c r="I4" s="4">
        <v>439</v>
      </c>
      <c r="J4" s="4">
        <v>337</v>
      </c>
      <c r="K4" s="4">
        <v>185</v>
      </c>
      <c r="L4" s="4">
        <v>65</v>
      </c>
      <c r="M4" s="4">
        <v>0</v>
      </c>
    </row>
    <row r="5" spans="1:13" x14ac:dyDescent="0.2">
      <c r="A5" s="5">
        <v>2</v>
      </c>
      <c r="B5" s="4">
        <v>0</v>
      </c>
      <c r="C5" s="4">
        <v>0</v>
      </c>
      <c r="D5" s="4">
        <v>0</v>
      </c>
      <c r="E5" s="4">
        <v>90</v>
      </c>
      <c r="F5" s="4">
        <v>246</v>
      </c>
      <c r="G5" s="4">
        <v>371</v>
      </c>
      <c r="H5" s="4">
        <v>597</v>
      </c>
      <c r="I5" s="4">
        <v>435</v>
      </c>
      <c r="J5" s="4">
        <v>311</v>
      </c>
      <c r="K5" s="4">
        <v>179</v>
      </c>
      <c r="L5" s="4">
        <v>67</v>
      </c>
      <c r="M5" s="4">
        <v>0</v>
      </c>
    </row>
    <row r="6" spans="1:13" x14ac:dyDescent="0.2">
      <c r="A6" s="5">
        <v>3</v>
      </c>
      <c r="B6" s="4">
        <v>0</v>
      </c>
      <c r="C6" s="4">
        <v>0</v>
      </c>
      <c r="D6" s="4">
        <v>0</v>
      </c>
      <c r="E6" s="4">
        <v>88</v>
      </c>
      <c r="F6" s="4">
        <v>230</v>
      </c>
      <c r="G6" s="4">
        <v>336</v>
      </c>
      <c r="H6" s="4">
        <v>556</v>
      </c>
      <c r="I6" s="4">
        <v>438</v>
      </c>
      <c r="J6" s="4">
        <v>285</v>
      </c>
      <c r="K6" s="4">
        <v>161</v>
      </c>
      <c r="L6" s="4">
        <v>78</v>
      </c>
      <c r="M6" s="4">
        <v>0</v>
      </c>
    </row>
    <row r="7" spans="1:13" x14ac:dyDescent="0.2">
      <c r="A7" s="5">
        <v>4</v>
      </c>
      <c r="B7" s="4">
        <v>0</v>
      </c>
      <c r="C7" s="4">
        <v>0</v>
      </c>
      <c r="D7" s="4">
        <v>0</v>
      </c>
      <c r="E7" s="4">
        <v>90</v>
      </c>
      <c r="F7" s="4">
        <v>222</v>
      </c>
      <c r="G7" s="4">
        <v>340</v>
      </c>
      <c r="H7" s="4">
        <v>529</v>
      </c>
      <c r="I7" s="4">
        <v>459</v>
      </c>
      <c r="J7" s="4">
        <v>279</v>
      </c>
      <c r="K7" s="4">
        <v>142</v>
      </c>
      <c r="L7" s="4">
        <v>87</v>
      </c>
      <c r="M7" s="4">
        <v>0</v>
      </c>
    </row>
    <row r="8" spans="1:13" x14ac:dyDescent="0.2">
      <c r="A8" s="5">
        <v>5</v>
      </c>
      <c r="B8" s="4">
        <v>0</v>
      </c>
      <c r="C8" s="4">
        <v>0</v>
      </c>
      <c r="D8" s="4">
        <v>0</v>
      </c>
      <c r="E8" s="4">
        <v>83</v>
      </c>
      <c r="F8" s="4">
        <v>235</v>
      </c>
      <c r="G8" s="4">
        <v>334</v>
      </c>
      <c r="H8" s="4">
        <v>543</v>
      </c>
      <c r="I8" s="4">
        <v>467</v>
      </c>
      <c r="J8" s="4">
        <v>268</v>
      </c>
      <c r="K8" s="4">
        <v>132</v>
      </c>
      <c r="L8" s="4">
        <v>87</v>
      </c>
      <c r="M8" s="4">
        <v>0</v>
      </c>
    </row>
    <row r="9" spans="1:13" x14ac:dyDescent="0.2">
      <c r="A9" s="5">
        <v>6</v>
      </c>
      <c r="B9" s="4">
        <v>0</v>
      </c>
      <c r="C9" s="4">
        <v>0</v>
      </c>
      <c r="D9" s="4">
        <v>0</v>
      </c>
      <c r="E9" s="4">
        <v>88</v>
      </c>
      <c r="F9" s="4">
        <v>251</v>
      </c>
      <c r="G9" s="4">
        <v>346</v>
      </c>
      <c r="H9" s="4">
        <v>576</v>
      </c>
      <c r="I9" s="4">
        <v>461</v>
      </c>
      <c r="J9" s="4">
        <v>261</v>
      </c>
      <c r="K9" s="4">
        <v>119</v>
      </c>
      <c r="L9" s="4">
        <v>88</v>
      </c>
      <c r="M9" s="4">
        <v>0</v>
      </c>
    </row>
    <row r="10" spans="1:13" x14ac:dyDescent="0.2">
      <c r="A10" s="5">
        <v>7</v>
      </c>
      <c r="B10" s="4">
        <v>0</v>
      </c>
      <c r="C10" s="4">
        <v>0</v>
      </c>
      <c r="D10" s="4">
        <v>0</v>
      </c>
      <c r="E10" s="4">
        <v>106</v>
      </c>
      <c r="F10" s="4">
        <v>258</v>
      </c>
      <c r="G10" s="4">
        <v>384</v>
      </c>
      <c r="H10" s="4">
        <v>554</v>
      </c>
      <c r="I10" s="4">
        <v>421</v>
      </c>
      <c r="J10" s="4">
        <v>262</v>
      </c>
      <c r="K10" s="4">
        <v>113</v>
      </c>
      <c r="L10" s="4">
        <v>88</v>
      </c>
      <c r="M10" s="4">
        <v>0</v>
      </c>
    </row>
    <row r="11" spans="1:13" x14ac:dyDescent="0.2">
      <c r="A11" s="5">
        <v>8</v>
      </c>
      <c r="B11" s="4">
        <v>0</v>
      </c>
      <c r="C11" s="4">
        <v>0</v>
      </c>
      <c r="D11" s="4">
        <v>0</v>
      </c>
      <c r="E11" s="4">
        <v>117</v>
      </c>
      <c r="F11" s="4">
        <v>271</v>
      </c>
      <c r="G11" s="4">
        <v>405</v>
      </c>
      <c r="H11" s="4">
        <v>530</v>
      </c>
      <c r="I11" s="4">
        <v>353</v>
      </c>
      <c r="J11" s="4">
        <v>276</v>
      </c>
      <c r="K11" s="4">
        <v>85</v>
      </c>
      <c r="L11" s="4">
        <v>86</v>
      </c>
      <c r="M11" s="4">
        <v>0</v>
      </c>
    </row>
    <row r="12" spans="1:13" x14ac:dyDescent="0.2">
      <c r="A12" s="5">
        <v>9</v>
      </c>
      <c r="B12" s="4">
        <v>0</v>
      </c>
      <c r="C12" s="4">
        <v>0</v>
      </c>
      <c r="D12" s="4">
        <v>0</v>
      </c>
      <c r="E12" s="4">
        <v>100</v>
      </c>
      <c r="F12" s="4">
        <v>277</v>
      </c>
      <c r="G12" s="4">
        <v>408</v>
      </c>
      <c r="H12" s="4">
        <v>510</v>
      </c>
      <c r="I12" s="4">
        <v>318</v>
      </c>
      <c r="J12" s="4">
        <v>273</v>
      </c>
      <c r="K12" s="4">
        <v>66</v>
      </c>
      <c r="L12" s="4">
        <v>98</v>
      </c>
      <c r="M12" s="4">
        <v>0</v>
      </c>
    </row>
    <row r="13" spans="1:13" x14ac:dyDescent="0.2">
      <c r="A13" s="5">
        <v>10</v>
      </c>
      <c r="B13" s="4">
        <v>0</v>
      </c>
      <c r="C13" s="4">
        <v>0</v>
      </c>
      <c r="D13" s="4">
        <v>0</v>
      </c>
      <c r="E13" s="4">
        <v>85</v>
      </c>
      <c r="F13" s="4">
        <v>284</v>
      </c>
      <c r="G13" s="4">
        <v>427</v>
      </c>
      <c r="H13" s="4">
        <v>561</v>
      </c>
      <c r="I13" s="4">
        <v>311</v>
      </c>
      <c r="J13" s="4">
        <v>271</v>
      </c>
      <c r="K13" s="4">
        <v>66</v>
      </c>
      <c r="L13" s="4">
        <v>102</v>
      </c>
      <c r="M13" s="4">
        <v>0</v>
      </c>
    </row>
    <row r="14" spans="1:13" x14ac:dyDescent="0.2">
      <c r="A14" s="5">
        <v>11</v>
      </c>
      <c r="B14" s="4">
        <v>0</v>
      </c>
      <c r="C14" s="4">
        <v>0</v>
      </c>
      <c r="D14" s="4">
        <v>0</v>
      </c>
      <c r="E14" s="4">
        <v>80</v>
      </c>
      <c r="F14" s="4">
        <v>287</v>
      </c>
      <c r="G14" s="4">
        <v>463</v>
      </c>
      <c r="H14" s="4">
        <v>524</v>
      </c>
      <c r="I14" s="4">
        <v>328</v>
      </c>
      <c r="J14" s="4">
        <v>245</v>
      </c>
      <c r="K14" s="4">
        <v>69</v>
      </c>
      <c r="L14" s="4">
        <v>95</v>
      </c>
      <c r="M14" s="4">
        <v>0</v>
      </c>
    </row>
    <row r="15" spans="1:13" x14ac:dyDescent="0.2">
      <c r="A15" s="5">
        <v>12</v>
      </c>
      <c r="B15" s="4">
        <v>0</v>
      </c>
      <c r="C15" s="4">
        <v>0</v>
      </c>
      <c r="D15" s="4">
        <v>0</v>
      </c>
      <c r="E15" s="4">
        <v>84</v>
      </c>
      <c r="F15" s="4">
        <v>311</v>
      </c>
      <c r="G15" s="4">
        <v>444</v>
      </c>
      <c r="H15" s="4">
        <v>542</v>
      </c>
      <c r="I15" s="4">
        <v>284</v>
      </c>
      <c r="J15" s="4">
        <v>247</v>
      </c>
      <c r="K15" s="4">
        <v>90</v>
      </c>
      <c r="L15" s="4">
        <v>79</v>
      </c>
      <c r="M15" s="4">
        <v>0</v>
      </c>
    </row>
    <row r="16" spans="1:13" x14ac:dyDescent="0.2">
      <c r="A16" s="5">
        <v>13</v>
      </c>
      <c r="B16" s="4">
        <v>0</v>
      </c>
      <c r="C16" s="4">
        <v>0</v>
      </c>
      <c r="D16" s="4">
        <v>0</v>
      </c>
      <c r="E16" s="4">
        <v>89</v>
      </c>
      <c r="F16" s="4">
        <v>330</v>
      </c>
      <c r="G16" s="4">
        <v>445</v>
      </c>
      <c r="H16" s="4">
        <v>570</v>
      </c>
      <c r="I16" s="4">
        <v>252</v>
      </c>
      <c r="J16" s="4">
        <v>267</v>
      </c>
      <c r="K16" s="4">
        <v>89</v>
      </c>
      <c r="L16" s="4">
        <v>54</v>
      </c>
      <c r="M16" s="4">
        <v>0</v>
      </c>
    </row>
    <row r="17" spans="1:13" x14ac:dyDescent="0.2">
      <c r="A17" s="5">
        <v>14</v>
      </c>
      <c r="B17" s="4">
        <v>0</v>
      </c>
      <c r="C17" s="4">
        <v>0</v>
      </c>
      <c r="D17" s="4">
        <v>0</v>
      </c>
      <c r="E17" s="4">
        <v>93</v>
      </c>
      <c r="F17" s="4">
        <v>320</v>
      </c>
      <c r="G17" s="4">
        <v>490</v>
      </c>
      <c r="H17" s="4">
        <v>549</v>
      </c>
      <c r="I17" s="4">
        <v>239</v>
      </c>
      <c r="J17" s="4">
        <v>273</v>
      </c>
      <c r="K17" s="4">
        <v>93</v>
      </c>
      <c r="L17" s="4">
        <v>33</v>
      </c>
      <c r="M17" s="4">
        <v>0</v>
      </c>
    </row>
    <row r="18" spans="1:13" x14ac:dyDescent="0.2">
      <c r="A18" s="5">
        <v>15</v>
      </c>
      <c r="B18" s="4">
        <v>0</v>
      </c>
      <c r="C18" s="4">
        <v>0</v>
      </c>
      <c r="D18" s="4">
        <v>0</v>
      </c>
      <c r="E18" s="4">
        <v>93</v>
      </c>
      <c r="F18" s="4">
        <v>322</v>
      </c>
      <c r="G18" s="4">
        <v>580</v>
      </c>
      <c r="H18" s="4">
        <v>534</v>
      </c>
      <c r="I18" s="4">
        <v>269</v>
      </c>
      <c r="J18" s="4">
        <v>274</v>
      </c>
      <c r="K18" s="4">
        <v>92</v>
      </c>
      <c r="L18" s="4">
        <v>37</v>
      </c>
      <c r="M18" s="4">
        <v>0</v>
      </c>
    </row>
    <row r="19" spans="1:13" x14ac:dyDescent="0.2">
      <c r="A19" s="5">
        <v>16</v>
      </c>
      <c r="B19" s="4">
        <v>0</v>
      </c>
      <c r="C19" s="4">
        <v>0</v>
      </c>
      <c r="D19" s="4">
        <v>0</v>
      </c>
      <c r="E19" s="4">
        <v>94</v>
      </c>
      <c r="F19" s="4">
        <v>325</v>
      </c>
      <c r="G19" s="4">
        <v>606</v>
      </c>
      <c r="H19" s="4">
        <v>504</v>
      </c>
      <c r="I19" s="4">
        <v>261</v>
      </c>
      <c r="J19" s="4">
        <v>277</v>
      </c>
      <c r="K19" s="4">
        <v>95</v>
      </c>
      <c r="L19" s="4">
        <v>37</v>
      </c>
      <c r="M19" s="4">
        <v>0</v>
      </c>
    </row>
    <row r="20" spans="1:13" x14ac:dyDescent="0.2">
      <c r="A20" s="5">
        <v>17</v>
      </c>
      <c r="B20" s="4">
        <v>0</v>
      </c>
      <c r="C20" s="4">
        <v>0</v>
      </c>
      <c r="D20" s="4">
        <v>0</v>
      </c>
      <c r="E20" s="4">
        <v>94</v>
      </c>
      <c r="F20" s="4">
        <v>323</v>
      </c>
      <c r="G20" s="4">
        <v>596</v>
      </c>
      <c r="H20" s="4">
        <v>487</v>
      </c>
      <c r="I20" s="4">
        <v>301</v>
      </c>
      <c r="J20" s="4">
        <v>259</v>
      </c>
      <c r="K20" s="4">
        <v>99</v>
      </c>
      <c r="L20" s="4">
        <v>14</v>
      </c>
      <c r="M20" s="4">
        <v>0</v>
      </c>
    </row>
    <row r="21" spans="1:13" x14ac:dyDescent="0.2">
      <c r="A21" s="5">
        <v>18</v>
      </c>
      <c r="B21" s="4">
        <v>0</v>
      </c>
      <c r="C21" s="4">
        <v>0</v>
      </c>
      <c r="D21" s="4">
        <v>14</v>
      </c>
      <c r="E21" s="4">
        <v>102</v>
      </c>
      <c r="F21" s="4">
        <v>360</v>
      </c>
      <c r="G21" s="4">
        <v>627</v>
      </c>
      <c r="H21" s="4">
        <v>496</v>
      </c>
      <c r="I21" s="4">
        <v>334</v>
      </c>
      <c r="J21" s="4">
        <v>237</v>
      </c>
      <c r="K21" s="4">
        <v>93</v>
      </c>
      <c r="L21" s="4">
        <v>0</v>
      </c>
      <c r="M21" s="4">
        <v>0</v>
      </c>
    </row>
    <row r="22" spans="1:13" x14ac:dyDescent="0.2">
      <c r="A22" s="5">
        <v>19</v>
      </c>
      <c r="B22" s="4">
        <v>0</v>
      </c>
      <c r="C22" s="4">
        <v>0</v>
      </c>
      <c r="D22" s="4">
        <v>35</v>
      </c>
      <c r="E22" s="4">
        <v>117</v>
      </c>
      <c r="F22" s="4">
        <v>370</v>
      </c>
      <c r="G22" s="4">
        <v>567</v>
      </c>
      <c r="H22" s="4">
        <v>453</v>
      </c>
      <c r="I22" s="4">
        <v>342</v>
      </c>
      <c r="J22" s="4">
        <v>208</v>
      </c>
      <c r="K22" s="4">
        <v>98</v>
      </c>
      <c r="L22" s="4">
        <v>0</v>
      </c>
      <c r="M22" s="4">
        <v>0</v>
      </c>
    </row>
    <row r="23" spans="1:13" x14ac:dyDescent="0.2">
      <c r="A23" s="5">
        <v>20</v>
      </c>
      <c r="B23" s="4">
        <v>0</v>
      </c>
      <c r="C23" s="4">
        <v>0</v>
      </c>
      <c r="D23" s="4">
        <v>38</v>
      </c>
      <c r="E23" s="4">
        <v>135</v>
      </c>
      <c r="F23" s="4">
        <v>387</v>
      </c>
      <c r="G23" s="4">
        <v>536</v>
      </c>
      <c r="H23" s="4">
        <v>436</v>
      </c>
      <c r="I23" s="4">
        <v>378</v>
      </c>
      <c r="J23" s="4">
        <v>223</v>
      </c>
      <c r="K23" s="4">
        <v>95</v>
      </c>
      <c r="L23" s="4">
        <v>0</v>
      </c>
      <c r="M23" s="4">
        <v>0</v>
      </c>
    </row>
    <row r="24" spans="1:13" x14ac:dyDescent="0.2">
      <c r="A24" s="5">
        <v>21</v>
      </c>
      <c r="B24" s="4">
        <v>0</v>
      </c>
      <c r="C24" s="4">
        <v>0</v>
      </c>
      <c r="D24" s="4">
        <v>45</v>
      </c>
      <c r="E24" s="4">
        <v>138</v>
      </c>
      <c r="F24" s="4">
        <v>413</v>
      </c>
      <c r="G24" s="4">
        <v>533</v>
      </c>
      <c r="H24" s="4">
        <v>461</v>
      </c>
      <c r="I24" s="4">
        <v>389</v>
      </c>
      <c r="J24" s="4">
        <v>233</v>
      </c>
      <c r="K24" s="4">
        <v>95</v>
      </c>
      <c r="L24" s="4">
        <v>0</v>
      </c>
      <c r="M24" s="4">
        <v>0</v>
      </c>
    </row>
    <row r="25" spans="1:13" x14ac:dyDescent="0.2">
      <c r="A25" s="5">
        <v>22</v>
      </c>
      <c r="B25" s="4">
        <v>0</v>
      </c>
      <c r="C25" s="4">
        <v>0</v>
      </c>
      <c r="D25" s="4">
        <v>40</v>
      </c>
      <c r="E25" s="4">
        <v>136</v>
      </c>
      <c r="F25" s="4">
        <v>440</v>
      </c>
      <c r="G25" s="4">
        <v>514</v>
      </c>
      <c r="H25" s="4">
        <v>472</v>
      </c>
      <c r="I25" s="4">
        <v>367</v>
      </c>
      <c r="J25" s="4">
        <v>242</v>
      </c>
      <c r="K25" s="4">
        <v>97</v>
      </c>
      <c r="L25" s="4">
        <v>0</v>
      </c>
      <c r="M25" s="4">
        <v>0</v>
      </c>
    </row>
    <row r="26" spans="1:13" x14ac:dyDescent="0.2">
      <c r="A26" s="5">
        <v>23</v>
      </c>
      <c r="B26" s="4">
        <v>0</v>
      </c>
      <c r="C26" s="4">
        <v>0</v>
      </c>
      <c r="D26" s="4">
        <v>47</v>
      </c>
      <c r="E26" s="4">
        <v>122</v>
      </c>
      <c r="F26" s="4">
        <v>442</v>
      </c>
      <c r="G26" s="4">
        <v>553</v>
      </c>
      <c r="H26" s="4">
        <v>467</v>
      </c>
      <c r="I26" s="4">
        <v>378</v>
      </c>
      <c r="J26" s="4">
        <v>253</v>
      </c>
      <c r="K26" s="4">
        <v>98</v>
      </c>
      <c r="L26" s="4">
        <v>0</v>
      </c>
      <c r="M26" s="4">
        <v>0</v>
      </c>
    </row>
    <row r="27" spans="1:13" x14ac:dyDescent="0.2">
      <c r="A27" s="5">
        <v>24</v>
      </c>
      <c r="B27" s="4">
        <v>0</v>
      </c>
      <c r="C27" s="4">
        <v>0</v>
      </c>
      <c r="D27" s="4">
        <v>49</v>
      </c>
      <c r="E27" s="4">
        <v>160</v>
      </c>
      <c r="F27" s="4">
        <v>480</v>
      </c>
      <c r="G27" s="4">
        <v>604</v>
      </c>
      <c r="H27" s="4">
        <v>437</v>
      </c>
      <c r="I27" s="4">
        <v>337</v>
      </c>
      <c r="J27" s="4">
        <v>236</v>
      </c>
      <c r="K27" s="4">
        <v>91</v>
      </c>
      <c r="L27" s="4">
        <v>0</v>
      </c>
      <c r="M27" s="4">
        <v>0</v>
      </c>
    </row>
    <row r="28" spans="1:13" x14ac:dyDescent="0.2">
      <c r="A28" s="5">
        <v>25</v>
      </c>
      <c r="B28" s="4">
        <v>0</v>
      </c>
      <c r="C28" s="4">
        <v>0</v>
      </c>
      <c r="D28" s="4">
        <v>50</v>
      </c>
      <c r="E28" s="4">
        <v>170</v>
      </c>
      <c r="F28" s="4">
        <v>518</v>
      </c>
      <c r="G28" s="4">
        <v>610</v>
      </c>
      <c r="H28" s="4">
        <v>428</v>
      </c>
      <c r="I28" s="4">
        <v>364</v>
      </c>
      <c r="J28" s="4">
        <v>230</v>
      </c>
      <c r="K28" s="4">
        <v>92</v>
      </c>
      <c r="L28" s="4">
        <v>0</v>
      </c>
      <c r="M28" s="4">
        <v>0</v>
      </c>
    </row>
    <row r="29" spans="1:13" x14ac:dyDescent="0.2">
      <c r="A29" s="5">
        <v>26</v>
      </c>
      <c r="B29" s="4">
        <v>0</v>
      </c>
      <c r="C29" s="4">
        <v>0</v>
      </c>
      <c r="D29" s="4">
        <v>66</v>
      </c>
      <c r="E29" s="4">
        <v>190</v>
      </c>
      <c r="F29" s="4">
        <v>497</v>
      </c>
      <c r="G29" s="4">
        <v>594</v>
      </c>
      <c r="H29" s="4">
        <v>447</v>
      </c>
      <c r="I29" s="4">
        <v>343</v>
      </c>
      <c r="J29" s="4">
        <v>232</v>
      </c>
      <c r="K29" s="4">
        <v>87</v>
      </c>
      <c r="L29" s="4">
        <v>0</v>
      </c>
      <c r="M29" s="4">
        <v>0</v>
      </c>
    </row>
    <row r="30" spans="1:13" x14ac:dyDescent="0.2">
      <c r="A30" s="5">
        <v>27</v>
      </c>
      <c r="B30" s="4">
        <v>0</v>
      </c>
      <c r="C30" s="4">
        <v>0</v>
      </c>
      <c r="D30" s="4">
        <v>80</v>
      </c>
      <c r="E30" s="4">
        <v>185</v>
      </c>
      <c r="F30" s="4">
        <v>464</v>
      </c>
      <c r="G30" s="4">
        <v>559</v>
      </c>
      <c r="H30" s="4">
        <v>456</v>
      </c>
      <c r="I30" s="4">
        <v>348</v>
      </c>
      <c r="J30" s="4">
        <v>226</v>
      </c>
      <c r="K30" s="4">
        <v>84</v>
      </c>
      <c r="L30" s="4">
        <v>0</v>
      </c>
      <c r="M30" s="4">
        <v>0</v>
      </c>
    </row>
    <row r="31" spans="1:13" x14ac:dyDescent="0.2">
      <c r="A31" s="5">
        <v>28</v>
      </c>
      <c r="B31" s="4">
        <v>0</v>
      </c>
      <c r="C31" s="4">
        <v>0</v>
      </c>
      <c r="D31" s="4">
        <v>80</v>
      </c>
      <c r="E31" s="4">
        <v>192</v>
      </c>
      <c r="F31" s="4">
        <v>494</v>
      </c>
      <c r="G31" s="4">
        <v>585</v>
      </c>
      <c r="H31" s="4">
        <v>458</v>
      </c>
      <c r="I31" s="4">
        <v>350</v>
      </c>
      <c r="J31" s="4">
        <v>196</v>
      </c>
      <c r="K31" s="4">
        <v>79</v>
      </c>
      <c r="L31" s="4">
        <v>0</v>
      </c>
      <c r="M31" s="4">
        <v>0</v>
      </c>
    </row>
    <row r="32" spans="1:13" x14ac:dyDescent="0.2">
      <c r="A32" s="5">
        <v>29</v>
      </c>
      <c r="B32" s="4">
        <v>0</v>
      </c>
      <c r="C32" t="s">
        <v>0</v>
      </c>
      <c r="D32" s="4">
        <v>80</v>
      </c>
      <c r="E32" s="4">
        <v>189</v>
      </c>
      <c r="F32" s="4">
        <v>513</v>
      </c>
      <c r="G32" s="4">
        <v>606</v>
      </c>
      <c r="H32" s="4">
        <v>452</v>
      </c>
      <c r="I32" s="4">
        <v>330</v>
      </c>
      <c r="J32" s="4">
        <v>178</v>
      </c>
      <c r="K32" s="4">
        <v>65</v>
      </c>
      <c r="L32" s="4">
        <v>0</v>
      </c>
      <c r="M32" s="4">
        <v>0</v>
      </c>
    </row>
    <row r="33" spans="1:14" x14ac:dyDescent="0.2">
      <c r="A33" s="5">
        <v>30</v>
      </c>
      <c r="B33" s="4">
        <v>0</v>
      </c>
      <c r="C33" t="s">
        <v>0</v>
      </c>
      <c r="D33" s="4">
        <v>93</v>
      </c>
      <c r="E33" s="4">
        <v>206</v>
      </c>
      <c r="F33" s="4">
        <v>491</v>
      </c>
      <c r="G33" s="4">
        <v>628</v>
      </c>
      <c r="H33" s="4">
        <v>486</v>
      </c>
      <c r="I33" s="4">
        <v>336</v>
      </c>
      <c r="J33" s="4">
        <v>185</v>
      </c>
      <c r="K33" s="4">
        <v>65</v>
      </c>
      <c r="L33" s="4">
        <v>0</v>
      </c>
      <c r="M33" s="4">
        <v>0</v>
      </c>
    </row>
    <row r="34" spans="1:14" x14ac:dyDescent="0.2">
      <c r="A34" s="5">
        <v>31</v>
      </c>
      <c r="B34" s="4">
        <v>0</v>
      </c>
      <c r="C34" t="s">
        <v>0</v>
      </c>
      <c r="D34" s="4">
        <v>100</v>
      </c>
      <c r="E34" t="s">
        <v>0</v>
      </c>
      <c r="F34" s="4">
        <v>483</v>
      </c>
      <c r="G34" t="s">
        <v>0</v>
      </c>
      <c r="H34" s="4">
        <v>471</v>
      </c>
      <c r="I34" s="4">
        <v>324</v>
      </c>
      <c r="J34" t="s">
        <v>0</v>
      </c>
      <c r="K34" s="4">
        <v>68</v>
      </c>
      <c r="L34" t="s">
        <v>0</v>
      </c>
      <c r="M34" s="4">
        <v>0</v>
      </c>
    </row>
    <row r="36" spans="1:14" x14ac:dyDescent="0.2">
      <c r="A36" t="s">
        <v>4</v>
      </c>
      <c r="B36" s="2">
        <f>SUM(B4:B35)</f>
        <v>0</v>
      </c>
      <c r="C36" s="2">
        <f>SUM(C4:C35)</f>
        <v>0</v>
      </c>
      <c r="D36" s="2">
        <f>SUM(D4:D35)</f>
        <v>817</v>
      </c>
      <c r="E36" s="2">
        <f>SUM(E4:E35)</f>
        <v>3611</v>
      </c>
      <c r="F36" s="2">
        <f>SUM(F4:F35)</f>
        <v>11093</v>
      </c>
      <c r="G36" s="2">
        <f>SUM(G4:G35)</f>
        <v>14959</v>
      </c>
      <c r="H36" s="2">
        <f>SUM(H4:H35)</f>
        <v>15700</v>
      </c>
      <c r="I36" s="2">
        <f>SUM(I4:I35)</f>
        <v>10956</v>
      </c>
      <c r="J36" s="2">
        <f>SUM(J4:J35)</f>
        <v>7544</v>
      </c>
      <c r="K36" s="2">
        <f>SUM(K4:K35)</f>
        <v>3082</v>
      </c>
      <c r="L36" s="2">
        <f>SUM(L4:L35)</f>
        <v>1195</v>
      </c>
      <c r="M36" s="2">
        <f>SUM(M4:M35)</f>
        <v>0</v>
      </c>
      <c r="N36" s="2"/>
    </row>
    <row r="37" spans="1:14" x14ac:dyDescent="0.2">
      <c r="A37" t="s">
        <v>3</v>
      </c>
      <c r="B37" s="2">
        <f>+B36*1.98</f>
        <v>0</v>
      </c>
      <c r="C37" s="2">
        <f>+C36*1.98</f>
        <v>0</v>
      </c>
      <c r="D37" s="2">
        <f>+D36*1.98</f>
        <v>1617.66</v>
      </c>
      <c r="E37" s="2">
        <f>+E36*1.98</f>
        <v>7149.78</v>
      </c>
      <c r="F37" s="2">
        <f>+F36*1.98</f>
        <v>21964.14</v>
      </c>
      <c r="G37" s="2">
        <f>+G36*1.98</f>
        <v>29618.82</v>
      </c>
      <c r="H37" s="2">
        <f>+H36*1.98</f>
        <v>31086</v>
      </c>
      <c r="I37" s="2">
        <f>+I36*1.98</f>
        <v>21692.880000000001</v>
      </c>
      <c r="J37" s="2">
        <f>+J36*1.98</f>
        <v>14937.119999999999</v>
      </c>
      <c r="K37" s="2">
        <f>+K36*1.98</f>
        <v>6102.36</v>
      </c>
      <c r="L37" s="2">
        <f>+L36*1.98</f>
        <v>2366.1</v>
      </c>
      <c r="M37" s="2">
        <f>+M36*1.98</f>
        <v>0</v>
      </c>
      <c r="N37" s="2"/>
    </row>
    <row r="38" spans="1:14" x14ac:dyDescent="0.2">
      <c r="A38" t="s">
        <v>2</v>
      </c>
      <c r="B38" s="2">
        <f>+B37</f>
        <v>0</v>
      </c>
      <c r="C38" s="2">
        <f>+B38+C37</f>
        <v>0</v>
      </c>
      <c r="D38" s="2">
        <f>+C38+D37</f>
        <v>1617.66</v>
      </c>
      <c r="E38" s="2">
        <f>+D38+E37</f>
        <v>8767.44</v>
      </c>
      <c r="F38" s="2">
        <f>+E38+F37</f>
        <v>30731.58</v>
      </c>
      <c r="G38" s="2">
        <f>+F38+G37</f>
        <v>60350.400000000001</v>
      </c>
      <c r="H38" s="2">
        <f>+G38+H37</f>
        <v>91436.4</v>
      </c>
      <c r="I38" s="2">
        <f>+H38+I37</f>
        <v>113129.28</v>
      </c>
      <c r="J38" s="2">
        <f>+I38+J37</f>
        <v>128066.4</v>
      </c>
      <c r="K38" s="2">
        <f>+J38+K37</f>
        <v>134168.75999999998</v>
      </c>
      <c r="L38" s="2">
        <f>+K38+L37</f>
        <v>136534.85999999999</v>
      </c>
      <c r="M38" s="2">
        <f>+L38+M37</f>
        <v>136534.85999999999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89</v>
      </c>
      <c r="B40" s="2">
        <v>0</v>
      </c>
      <c r="C40" s="2">
        <v>0</v>
      </c>
      <c r="D40" s="2">
        <v>1899</v>
      </c>
      <c r="E40" s="2">
        <v>8975</v>
      </c>
      <c r="F40" s="2">
        <v>13424</v>
      </c>
      <c r="G40" s="2">
        <v>32084</v>
      </c>
      <c r="H40" s="2">
        <v>29637</v>
      </c>
      <c r="I40" s="2">
        <v>24675</v>
      </c>
      <c r="J40" s="2">
        <v>12882</v>
      </c>
      <c r="K40" s="2">
        <v>4522</v>
      </c>
      <c r="L40" s="2">
        <v>434</v>
      </c>
      <c r="M40" s="2">
        <v>0</v>
      </c>
      <c r="N40" s="2">
        <f>SUM(B40:M40)</f>
        <v>128532</v>
      </c>
    </row>
    <row r="41" spans="1:14" x14ac:dyDescent="0.2">
      <c r="A41">
        <v>90</v>
      </c>
      <c r="B41" s="2">
        <v>0</v>
      </c>
      <c r="C41" s="2">
        <v>0</v>
      </c>
      <c r="D41" s="2">
        <v>1679</v>
      </c>
      <c r="E41" s="2">
        <v>15206</v>
      </c>
      <c r="F41" s="2">
        <v>20113</v>
      </c>
      <c r="G41" s="2">
        <v>27801</v>
      </c>
      <c r="H41" s="2">
        <v>30846</v>
      </c>
      <c r="I41" s="2">
        <v>22778</v>
      </c>
      <c r="J41" s="2">
        <v>15777</v>
      </c>
      <c r="K41" s="2">
        <v>5067</v>
      </c>
      <c r="L41" s="2">
        <v>2002</v>
      </c>
      <c r="M41" s="2">
        <v>0</v>
      </c>
      <c r="N41" s="2">
        <f>SUM(B41:M41)</f>
        <v>141269</v>
      </c>
    </row>
    <row r="42" spans="1:14" x14ac:dyDescent="0.2">
      <c r="A42">
        <v>91</v>
      </c>
      <c r="B42" s="2">
        <v>0</v>
      </c>
      <c r="C42" s="2">
        <v>0</v>
      </c>
      <c r="D42" s="2">
        <v>2467</v>
      </c>
      <c r="E42" s="2">
        <v>17089</v>
      </c>
      <c r="F42" s="2">
        <v>11880</v>
      </c>
      <c r="G42" s="2">
        <v>31050</v>
      </c>
      <c r="H42" s="2">
        <v>29948</v>
      </c>
      <c r="I42" s="2">
        <v>25770</v>
      </c>
      <c r="J42" s="2">
        <v>19034</v>
      </c>
      <c r="K42" s="2">
        <v>8031</v>
      </c>
      <c r="L42" s="2">
        <v>42</v>
      </c>
      <c r="M42" s="2">
        <v>0</v>
      </c>
      <c r="N42" s="2">
        <f>SUM(B42:M42)</f>
        <v>145311</v>
      </c>
    </row>
    <row r="43" spans="1:14" x14ac:dyDescent="0.2">
      <c r="A43">
        <v>92</v>
      </c>
      <c r="B43" s="2">
        <v>0</v>
      </c>
      <c r="C43" s="2">
        <v>0</v>
      </c>
      <c r="D43" s="2">
        <v>1394</v>
      </c>
      <c r="E43" s="2">
        <v>24768</v>
      </c>
      <c r="F43" s="2">
        <v>28639</v>
      </c>
      <c r="G43" s="2">
        <v>30292</v>
      </c>
      <c r="H43" s="2">
        <v>21441</v>
      </c>
      <c r="I43" s="2">
        <v>21321</v>
      </c>
      <c r="J43" s="2">
        <v>8039</v>
      </c>
      <c r="K43" s="2">
        <v>0</v>
      </c>
      <c r="L43" s="2">
        <v>0</v>
      </c>
      <c r="M43" s="2">
        <v>0</v>
      </c>
      <c r="N43" s="2">
        <f>SUM(B43:M43)</f>
        <v>135894</v>
      </c>
    </row>
    <row r="44" spans="1:14" x14ac:dyDescent="0.2">
      <c r="A44">
        <v>93</v>
      </c>
      <c r="B44" s="2">
        <v>0</v>
      </c>
      <c r="C44" s="2">
        <v>0</v>
      </c>
      <c r="D44" s="2">
        <v>697</v>
      </c>
      <c r="E44" s="2">
        <v>5853</v>
      </c>
      <c r="F44" s="2">
        <v>19216</v>
      </c>
      <c r="G44" s="2">
        <v>26184</v>
      </c>
      <c r="H44" s="2">
        <v>28233</v>
      </c>
      <c r="I44" s="2">
        <v>21558</v>
      </c>
      <c r="J44" s="2">
        <v>13050</v>
      </c>
      <c r="K44" s="2">
        <v>4437</v>
      </c>
      <c r="L44" s="2">
        <v>259</v>
      </c>
      <c r="M44" s="2">
        <v>0</v>
      </c>
      <c r="N44" s="2">
        <f>SUM(B44:M44)</f>
        <v>119487</v>
      </c>
    </row>
    <row r="45" spans="1:14" x14ac:dyDescent="0.2">
      <c r="A45">
        <v>94</v>
      </c>
      <c r="B45" s="2">
        <v>0</v>
      </c>
      <c r="C45" s="2">
        <v>0</v>
      </c>
      <c r="D45" s="2">
        <v>7332</v>
      </c>
      <c r="E45" s="2">
        <v>24204</v>
      </c>
      <c r="F45" s="2">
        <v>14705</v>
      </c>
      <c r="G45" s="2">
        <v>31557</v>
      </c>
      <c r="H45" s="2">
        <v>31607</v>
      </c>
      <c r="I45" s="2">
        <v>26477</v>
      </c>
      <c r="J45" s="2">
        <v>8682</v>
      </c>
      <c r="K45" s="2">
        <v>0</v>
      </c>
      <c r="L45" s="2">
        <v>0</v>
      </c>
      <c r="M45" s="2">
        <v>0</v>
      </c>
      <c r="N45" s="2">
        <f>SUM(B45:M45)</f>
        <v>144564</v>
      </c>
    </row>
    <row r="46" spans="1:14" x14ac:dyDescent="0.2">
      <c r="A46">
        <v>95</v>
      </c>
      <c r="B46" s="2">
        <v>0</v>
      </c>
      <c r="C46" s="2">
        <v>0</v>
      </c>
      <c r="D46" s="2">
        <v>1327</v>
      </c>
      <c r="E46" s="2">
        <v>6061</v>
      </c>
      <c r="F46" s="2">
        <v>12098</v>
      </c>
      <c r="G46" s="2">
        <v>22386</v>
      </c>
      <c r="H46" s="2">
        <v>28211</v>
      </c>
      <c r="I46" s="2">
        <v>26130</v>
      </c>
      <c r="J46" s="2">
        <v>17173</v>
      </c>
      <c r="K46" s="2">
        <v>5718</v>
      </c>
      <c r="L46" s="2">
        <v>596</v>
      </c>
      <c r="M46" s="2">
        <v>0</v>
      </c>
      <c r="N46" s="2">
        <f>SUM(B46:M46)</f>
        <v>119700</v>
      </c>
    </row>
    <row r="47" spans="1:14" x14ac:dyDescent="0.2">
      <c r="A47">
        <v>96</v>
      </c>
      <c r="B47" s="2">
        <v>0</v>
      </c>
      <c r="C47" s="2">
        <v>0</v>
      </c>
      <c r="D47" s="2">
        <v>752</v>
      </c>
      <c r="E47" s="2">
        <v>7884</v>
      </c>
      <c r="F47" s="2">
        <v>16547</v>
      </c>
      <c r="G47" s="2">
        <v>32777</v>
      </c>
      <c r="H47" s="2">
        <v>30375</v>
      </c>
      <c r="I47" s="2">
        <v>23459</v>
      </c>
      <c r="J47" s="2">
        <v>16133</v>
      </c>
      <c r="K47" s="2">
        <v>5199</v>
      </c>
      <c r="L47" s="2">
        <v>723</v>
      </c>
      <c r="M47" s="2">
        <v>0</v>
      </c>
      <c r="N47" s="2">
        <f>SUM(B47:M47)</f>
        <v>133849</v>
      </c>
    </row>
    <row r="48" spans="1:14" x14ac:dyDescent="0.2">
      <c r="A48">
        <v>97</v>
      </c>
      <c r="B48" s="2">
        <v>0</v>
      </c>
      <c r="C48" s="2">
        <v>0</v>
      </c>
      <c r="D48" s="3">
        <v>4099</v>
      </c>
      <c r="E48" s="3">
        <v>12850</v>
      </c>
      <c r="F48" s="3">
        <v>23186</v>
      </c>
      <c r="G48" s="3">
        <v>28078</v>
      </c>
      <c r="H48" s="3">
        <v>28805</v>
      </c>
      <c r="I48" s="3">
        <v>23819</v>
      </c>
      <c r="J48" s="3">
        <v>11973</v>
      </c>
      <c r="K48" s="3">
        <v>4019</v>
      </c>
      <c r="L48" s="3">
        <v>366</v>
      </c>
      <c r="M48" s="2">
        <v>0</v>
      </c>
      <c r="N48" s="2">
        <f>SUM(B48:M48)</f>
        <v>137195</v>
      </c>
    </row>
    <row r="49" spans="1:14" x14ac:dyDescent="0.2">
      <c r="A49">
        <v>98</v>
      </c>
      <c r="B49" s="2">
        <v>0</v>
      </c>
      <c r="C49" s="2">
        <v>0</v>
      </c>
      <c r="D49" s="3">
        <v>2235</v>
      </c>
      <c r="E49" s="3">
        <v>5918</v>
      </c>
      <c r="F49" s="3">
        <v>6928</v>
      </c>
      <c r="G49" s="3">
        <v>13058</v>
      </c>
      <c r="H49" s="3">
        <v>29627</v>
      </c>
      <c r="I49" s="3">
        <v>25702</v>
      </c>
      <c r="J49" s="3">
        <v>15713</v>
      </c>
      <c r="K49" s="3">
        <v>4178</v>
      </c>
      <c r="L49" s="3">
        <v>877</v>
      </c>
      <c r="M49" s="2">
        <v>0</v>
      </c>
      <c r="N49" s="2">
        <f>SUM(B49:M49)</f>
        <v>104236</v>
      </c>
    </row>
    <row r="51" spans="1:14" x14ac:dyDescent="0.2">
      <c r="A51" t="s">
        <v>1</v>
      </c>
      <c r="B51" s="1">
        <f>AVERAGE(B40:B49)</f>
        <v>0</v>
      </c>
      <c r="C51" s="1">
        <f>AVERAGE(C40:C49)</f>
        <v>0</v>
      </c>
      <c r="D51" s="1">
        <f>AVERAGE(D40:D49)</f>
        <v>2388.1</v>
      </c>
      <c r="E51" s="1">
        <f>AVERAGE(E40:E49)</f>
        <v>12880.8</v>
      </c>
      <c r="F51" s="1">
        <f>AVERAGE(F40:F49)</f>
        <v>16673.599999999999</v>
      </c>
      <c r="G51" s="1">
        <f>AVERAGE(G40:G49)</f>
        <v>27526.7</v>
      </c>
      <c r="H51" s="1">
        <f>AVERAGE(H40:H49)</f>
        <v>28873</v>
      </c>
      <c r="I51" s="1">
        <f>AVERAGE(I40:I49)</f>
        <v>24168.9</v>
      </c>
      <c r="J51" s="1">
        <f>AVERAGE(J40:J49)</f>
        <v>13845.6</v>
      </c>
      <c r="K51" s="1">
        <f>AVERAGE(K40:K49)</f>
        <v>4117.1000000000004</v>
      </c>
      <c r="L51" s="1">
        <f>AVERAGE(L40:L49)</f>
        <v>529.9</v>
      </c>
      <c r="M51" s="1">
        <f>AVERAGE(M40:M49)</f>
        <v>0</v>
      </c>
    </row>
    <row r="52" spans="1:14" x14ac:dyDescent="0.2">
      <c r="B52" s="1" t="s">
        <v>0</v>
      </c>
      <c r="C52" s="1" t="s">
        <v>0</v>
      </c>
      <c r="D52" s="1">
        <f>+D51</f>
        <v>2388.1</v>
      </c>
      <c r="E52" s="1">
        <f>+D52+E51</f>
        <v>15268.9</v>
      </c>
      <c r="F52" s="1">
        <f>+E52+F51</f>
        <v>31942.5</v>
      </c>
      <c r="G52" s="1">
        <f>+F52+G51</f>
        <v>59469.2</v>
      </c>
      <c r="H52" s="1">
        <f>+G52+H51</f>
        <v>88342.2</v>
      </c>
      <c r="I52" s="1">
        <f>+H52+I51</f>
        <v>112511.1</v>
      </c>
      <c r="J52" s="1">
        <f>+I52+J51</f>
        <v>126356.70000000001</v>
      </c>
      <c r="K52" s="1">
        <f>+J52+K51</f>
        <v>130473.80000000002</v>
      </c>
      <c r="L52" s="1">
        <f>+K52+L51</f>
        <v>131003.70000000001</v>
      </c>
      <c r="M52" s="1">
        <f>+L52+M51</f>
        <v>131003.70000000001</v>
      </c>
      <c r="N52" s="1">
        <f>AVERAGE(N40:N49)</f>
        <v>131003.7</v>
      </c>
    </row>
  </sheetData>
  <sheetProtection sheet="1" objects="1" scenarios="1"/>
  <pageMargins left="0.16" right="0.12" top="1" bottom="1" header="0.44" footer="0.5"/>
  <pageSetup scale="76" orientation="portrait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N52" sqref="N52"/>
      <selection pane="topRight" activeCell="N52" sqref="N52"/>
      <selection pane="bottomLeft" activeCell="N52" sqref="N52"/>
      <selection pane="bottomRight" activeCell="N52" sqref="N52"/>
    </sheetView>
  </sheetViews>
  <sheetFormatPr defaultRowHeight="12.75" x14ac:dyDescent="0.2"/>
  <cols>
    <col min="1" max="1" width="9.7109375" customWidth="1"/>
    <col min="2" max="2" width="10" customWidth="1"/>
    <col min="3" max="14" width="9.7109375" customWidth="1"/>
  </cols>
  <sheetData>
    <row r="1" spans="1:13" x14ac:dyDescent="0.2">
      <c r="A1" s="7" t="s">
        <v>19</v>
      </c>
      <c r="K1" s="7" t="s">
        <v>19</v>
      </c>
    </row>
    <row r="3" spans="1:13" x14ac:dyDescent="0.2">
      <c r="A3" s="11" t="s">
        <v>17</v>
      </c>
      <c r="B3" s="11" t="s">
        <v>16</v>
      </c>
      <c r="C3" s="11" t="s">
        <v>15</v>
      </c>
      <c r="D3" s="11" t="s">
        <v>14</v>
      </c>
      <c r="E3" s="11" t="s">
        <v>13</v>
      </c>
      <c r="F3" s="11" t="s">
        <v>12</v>
      </c>
      <c r="G3" s="11" t="s">
        <v>11</v>
      </c>
      <c r="H3" s="11" t="s">
        <v>10</v>
      </c>
      <c r="I3" s="11" t="s">
        <v>9</v>
      </c>
      <c r="J3" s="11" t="s">
        <v>8</v>
      </c>
      <c r="K3" s="11" t="s">
        <v>7</v>
      </c>
      <c r="L3" s="11" t="s">
        <v>6</v>
      </c>
      <c r="M3" s="11" t="s">
        <v>5</v>
      </c>
    </row>
    <row r="4" spans="1:13" x14ac:dyDescent="0.2">
      <c r="A4" s="5">
        <v>1</v>
      </c>
      <c r="B4" s="4">
        <v>0</v>
      </c>
      <c r="C4" s="4">
        <v>0</v>
      </c>
      <c r="D4" s="4">
        <v>0</v>
      </c>
      <c r="E4" s="4">
        <v>0</v>
      </c>
      <c r="F4" s="4">
        <v>100</v>
      </c>
      <c r="G4" s="4">
        <v>223</v>
      </c>
      <c r="H4" s="4">
        <v>485</v>
      </c>
      <c r="I4" s="4">
        <v>231</v>
      </c>
      <c r="J4" s="4">
        <v>154</v>
      </c>
      <c r="K4" s="4">
        <v>0</v>
      </c>
      <c r="L4" s="4">
        <v>50</v>
      </c>
      <c r="M4" s="4">
        <v>0</v>
      </c>
    </row>
    <row r="5" spans="1:13" x14ac:dyDescent="0.2">
      <c r="A5" s="5">
        <v>2</v>
      </c>
      <c r="B5" s="4">
        <v>0</v>
      </c>
      <c r="C5" s="4">
        <v>0</v>
      </c>
      <c r="D5" s="4">
        <v>0</v>
      </c>
      <c r="E5" s="4">
        <v>17</v>
      </c>
      <c r="F5" s="4">
        <v>100</v>
      </c>
      <c r="G5" s="4">
        <v>154</v>
      </c>
      <c r="H5" s="4">
        <v>470</v>
      </c>
      <c r="I5" s="4">
        <v>233</v>
      </c>
      <c r="J5" s="4">
        <v>117</v>
      </c>
      <c r="K5" s="4">
        <v>0</v>
      </c>
      <c r="L5" s="4">
        <v>33</v>
      </c>
      <c r="M5" s="4">
        <v>0</v>
      </c>
    </row>
    <row r="6" spans="1:13" x14ac:dyDescent="0.2">
      <c r="A6" s="5">
        <v>3</v>
      </c>
      <c r="B6" s="4">
        <v>0</v>
      </c>
      <c r="C6" s="4">
        <v>0</v>
      </c>
      <c r="D6" s="4">
        <v>0</v>
      </c>
      <c r="E6" s="4">
        <v>25</v>
      </c>
      <c r="F6" s="4">
        <v>71</v>
      </c>
      <c r="G6" s="4">
        <v>100</v>
      </c>
      <c r="H6" s="4">
        <v>388</v>
      </c>
      <c r="I6" s="4">
        <v>298</v>
      </c>
      <c r="J6" s="4">
        <v>50</v>
      </c>
      <c r="K6" s="4">
        <v>0</v>
      </c>
      <c r="L6" s="4">
        <v>25</v>
      </c>
      <c r="M6" s="4">
        <v>0</v>
      </c>
    </row>
    <row r="7" spans="1:13" x14ac:dyDescent="0.2">
      <c r="A7" s="5">
        <v>4</v>
      </c>
      <c r="B7" s="4">
        <v>0</v>
      </c>
      <c r="C7" s="4">
        <v>0</v>
      </c>
      <c r="D7" s="4">
        <v>0</v>
      </c>
      <c r="E7" s="4">
        <v>25</v>
      </c>
      <c r="F7" s="4">
        <v>50</v>
      </c>
      <c r="G7" s="4">
        <v>100</v>
      </c>
      <c r="H7" s="4">
        <v>350</v>
      </c>
      <c r="I7" s="4">
        <v>338</v>
      </c>
      <c r="J7" s="4">
        <v>65</v>
      </c>
      <c r="K7" s="4">
        <v>0</v>
      </c>
      <c r="L7" s="4">
        <v>25</v>
      </c>
      <c r="M7" s="4">
        <v>0</v>
      </c>
    </row>
    <row r="8" spans="1:13" x14ac:dyDescent="0.2">
      <c r="A8" s="5">
        <v>5</v>
      </c>
      <c r="B8" s="4">
        <v>0</v>
      </c>
      <c r="C8" s="4">
        <v>0</v>
      </c>
      <c r="D8" s="4">
        <v>0</v>
      </c>
      <c r="E8" s="4">
        <v>35</v>
      </c>
      <c r="F8" s="4">
        <v>72</v>
      </c>
      <c r="G8" s="4">
        <v>100</v>
      </c>
      <c r="H8" s="4">
        <v>350</v>
      </c>
      <c r="I8" s="4">
        <v>367</v>
      </c>
      <c r="J8" s="4">
        <v>85</v>
      </c>
      <c r="K8" s="4">
        <v>0</v>
      </c>
      <c r="L8" s="4">
        <v>41</v>
      </c>
      <c r="M8" s="4">
        <v>0</v>
      </c>
    </row>
    <row r="9" spans="1:13" x14ac:dyDescent="0.2">
      <c r="A9" s="5">
        <v>6</v>
      </c>
      <c r="B9" s="4">
        <v>0</v>
      </c>
      <c r="C9" s="4">
        <v>0</v>
      </c>
      <c r="D9" s="4">
        <v>0</v>
      </c>
      <c r="E9" s="4">
        <v>50</v>
      </c>
      <c r="F9" s="4">
        <v>100</v>
      </c>
      <c r="G9" s="4">
        <v>100</v>
      </c>
      <c r="H9" s="4">
        <v>363</v>
      </c>
      <c r="I9" s="4">
        <v>283</v>
      </c>
      <c r="J9" s="4">
        <v>50</v>
      </c>
      <c r="K9" s="4">
        <v>0</v>
      </c>
      <c r="L9" s="4">
        <v>50</v>
      </c>
      <c r="M9" s="4">
        <v>0</v>
      </c>
    </row>
    <row r="10" spans="1:13" x14ac:dyDescent="0.2">
      <c r="A10" s="5">
        <v>7</v>
      </c>
      <c r="B10" s="4">
        <v>0</v>
      </c>
      <c r="C10" s="4">
        <v>0</v>
      </c>
      <c r="D10" s="4">
        <v>0</v>
      </c>
      <c r="E10" s="4">
        <v>50</v>
      </c>
      <c r="F10" s="4">
        <v>100</v>
      </c>
      <c r="G10" s="4">
        <v>156</v>
      </c>
      <c r="H10" s="4">
        <v>377</v>
      </c>
      <c r="I10" s="4">
        <v>200</v>
      </c>
      <c r="J10" s="4">
        <v>113</v>
      </c>
      <c r="K10" s="4">
        <v>0</v>
      </c>
      <c r="L10" s="4">
        <v>65</v>
      </c>
      <c r="M10" s="4">
        <v>0</v>
      </c>
    </row>
    <row r="11" spans="1:13" x14ac:dyDescent="0.2">
      <c r="A11" s="5">
        <v>8</v>
      </c>
      <c r="B11" s="4">
        <v>0</v>
      </c>
      <c r="C11" s="4">
        <v>0</v>
      </c>
      <c r="D11" s="4">
        <v>0</v>
      </c>
      <c r="E11" s="4">
        <v>21</v>
      </c>
      <c r="F11" s="4">
        <v>100</v>
      </c>
      <c r="G11" s="4">
        <v>185</v>
      </c>
      <c r="H11" s="4">
        <v>413</v>
      </c>
      <c r="I11" s="4">
        <v>165</v>
      </c>
      <c r="J11" s="4">
        <v>116</v>
      </c>
      <c r="K11" s="4">
        <v>0</v>
      </c>
      <c r="L11" s="4">
        <v>75</v>
      </c>
      <c r="M11" s="4">
        <v>0</v>
      </c>
    </row>
    <row r="12" spans="1:13" x14ac:dyDescent="0.2">
      <c r="A12" s="5">
        <v>9</v>
      </c>
      <c r="B12" s="4">
        <v>0</v>
      </c>
      <c r="C12" s="4">
        <v>0</v>
      </c>
      <c r="D12" s="4">
        <v>0</v>
      </c>
      <c r="E12" s="4">
        <v>0</v>
      </c>
      <c r="F12" s="4">
        <v>100</v>
      </c>
      <c r="G12" s="4">
        <v>200</v>
      </c>
      <c r="H12" s="4">
        <v>419</v>
      </c>
      <c r="I12" s="4">
        <v>85</v>
      </c>
      <c r="J12" s="4">
        <v>83</v>
      </c>
      <c r="K12" s="4">
        <v>0</v>
      </c>
      <c r="L12" s="4">
        <v>75</v>
      </c>
      <c r="M12" s="4">
        <v>0</v>
      </c>
    </row>
    <row r="13" spans="1:13" x14ac:dyDescent="0.2">
      <c r="A13" s="5">
        <v>10</v>
      </c>
      <c r="B13" s="4">
        <v>0</v>
      </c>
      <c r="C13" s="4">
        <v>0</v>
      </c>
      <c r="D13" s="4">
        <v>0</v>
      </c>
      <c r="E13" s="4">
        <v>0</v>
      </c>
      <c r="F13" s="4">
        <v>100</v>
      </c>
      <c r="G13" s="4">
        <v>285</v>
      </c>
      <c r="H13" s="4">
        <v>388</v>
      </c>
      <c r="I13" s="4">
        <v>50</v>
      </c>
      <c r="J13" s="4">
        <v>50</v>
      </c>
      <c r="K13" s="4">
        <v>0</v>
      </c>
      <c r="L13" s="4">
        <v>75</v>
      </c>
      <c r="M13" s="4">
        <v>0</v>
      </c>
    </row>
    <row r="14" spans="1:13" x14ac:dyDescent="0.2">
      <c r="A14" s="5">
        <v>11</v>
      </c>
      <c r="B14" s="4">
        <v>0</v>
      </c>
      <c r="C14" s="4">
        <v>0</v>
      </c>
      <c r="D14" s="4">
        <v>0</v>
      </c>
      <c r="E14" s="4">
        <v>0</v>
      </c>
      <c r="F14" s="4">
        <v>100</v>
      </c>
      <c r="G14" s="4">
        <v>350</v>
      </c>
      <c r="H14" s="4">
        <v>363</v>
      </c>
      <c r="I14" s="4">
        <v>27</v>
      </c>
      <c r="J14" s="4">
        <v>33</v>
      </c>
      <c r="K14" s="4">
        <v>0</v>
      </c>
      <c r="L14" s="4">
        <v>58</v>
      </c>
      <c r="M14" s="4">
        <v>0</v>
      </c>
    </row>
    <row r="15" spans="1:13" x14ac:dyDescent="0.2">
      <c r="A15" s="5">
        <v>12</v>
      </c>
      <c r="B15" s="4">
        <v>0</v>
      </c>
      <c r="C15" s="4">
        <v>0</v>
      </c>
      <c r="D15" s="4">
        <v>0</v>
      </c>
      <c r="E15" s="4">
        <v>0</v>
      </c>
      <c r="F15" s="4">
        <v>100</v>
      </c>
      <c r="G15" s="4">
        <v>325</v>
      </c>
      <c r="H15" s="4">
        <v>419</v>
      </c>
      <c r="I15" s="4">
        <v>0</v>
      </c>
      <c r="J15" s="4">
        <v>10</v>
      </c>
      <c r="K15" s="4">
        <v>0</v>
      </c>
      <c r="L15" s="4">
        <v>42</v>
      </c>
      <c r="M15" s="4">
        <v>0</v>
      </c>
    </row>
    <row r="16" spans="1:13" x14ac:dyDescent="0.2">
      <c r="A16" s="5">
        <v>13</v>
      </c>
      <c r="B16" s="4">
        <v>0</v>
      </c>
      <c r="C16" s="4">
        <v>0</v>
      </c>
      <c r="D16" s="4">
        <v>0</v>
      </c>
      <c r="E16" s="4">
        <v>0</v>
      </c>
      <c r="F16" s="4">
        <v>127</v>
      </c>
      <c r="G16" s="4">
        <v>300</v>
      </c>
      <c r="H16" s="4">
        <v>458</v>
      </c>
      <c r="I16" s="4">
        <v>0</v>
      </c>
      <c r="J16" s="4">
        <v>10</v>
      </c>
      <c r="K16" s="4">
        <v>0</v>
      </c>
      <c r="L16" s="4">
        <v>25</v>
      </c>
      <c r="M16" s="4">
        <v>0</v>
      </c>
    </row>
    <row r="17" spans="1:13" x14ac:dyDescent="0.2">
      <c r="A17" s="5">
        <v>14</v>
      </c>
      <c r="B17" s="4">
        <v>0</v>
      </c>
      <c r="C17" s="4">
        <v>0</v>
      </c>
      <c r="D17" s="4">
        <v>0</v>
      </c>
      <c r="E17" s="4">
        <v>0</v>
      </c>
      <c r="F17" s="4">
        <v>150</v>
      </c>
      <c r="G17" s="4">
        <v>331</v>
      </c>
      <c r="H17" s="4">
        <v>583</v>
      </c>
      <c r="I17" s="4">
        <v>0</v>
      </c>
      <c r="J17" s="4">
        <v>27</v>
      </c>
      <c r="K17" s="4">
        <v>0</v>
      </c>
      <c r="L17" s="4">
        <v>25</v>
      </c>
      <c r="M17" s="4">
        <v>0</v>
      </c>
    </row>
    <row r="18" spans="1:13" x14ac:dyDescent="0.2">
      <c r="A18" s="5">
        <v>15</v>
      </c>
      <c r="B18" s="4">
        <v>0</v>
      </c>
      <c r="C18" s="4">
        <v>0</v>
      </c>
      <c r="D18" s="4">
        <v>0</v>
      </c>
      <c r="E18" s="4">
        <v>0</v>
      </c>
      <c r="F18" s="4">
        <v>150</v>
      </c>
      <c r="G18" s="4">
        <v>431</v>
      </c>
      <c r="H18" s="4">
        <v>506</v>
      </c>
      <c r="I18" s="4">
        <v>0</v>
      </c>
      <c r="J18" s="4">
        <v>73</v>
      </c>
      <c r="K18" s="4">
        <v>0</v>
      </c>
      <c r="L18" s="4">
        <v>9</v>
      </c>
      <c r="M18" s="4">
        <v>0</v>
      </c>
    </row>
    <row r="19" spans="1:13" x14ac:dyDescent="0.2">
      <c r="A19" s="5">
        <v>16</v>
      </c>
      <c r="B19" s="4">
        <v>0</v>
      </c>
      <c r="C19" s="4">
        <v>0</v>
      </c>
      <c r="D19" s="4">
        <v>0</v>
      </c>
      <c r="E19" s="4">
        <v>0</v>
      </c>
      <c r="F19" s="4">
        <v>127</v>
      </c>
      <c r="G19" s="4">
        <v>483</v>
      </c>
      <c r="H19" s="4">
        <v>400</v>
      </c>
      <c r="I19" s="4">
        <v>48</v>
      </c>
      <c r="J19" s="4">
        <v>100</v>
      </c>
      <c r="K19" s="4">
        <v>0</v>
      </c>
      <c r="L19" s="4">
        <v>0</v>
      </c>
      <c r="M19" s="4">
        <v>0</v>
      </c>
    </row>
    <row r="20" spans="1:13" x14ac:dyDescent="0.2">
      <c r="A20" s="5">
        <v>17</v>
      </c>
      <c r="B20" s="4">
        <v>0</v>
      </c>
      <c r="C20" s="4">
        <v>0</v>
      </c>
      <c r="D20" s="4">
        <v>0</v>
      </c>
      <c r="E20" s="4">
        <v>0</v>
      </c>
      <c r="F20" s="4">
        <v>167</v>
      </c>
      <c r="G20" s="4">
        <v>450</v>
      </c>
      <c r="H20" s="4">
        <v>350</v>
      </c>
      <c r="I20" s="4">
        <v>152</v>
      </c>
      <c r="J20" s="4">
        <v>50</v>
      </c>
      <c r="K20" s="4">
        <v>0</v>
      </c>
      <c r="L20" s="4">
        <v>0</v>
      </c>
      <c r="M20" s="4">
        <v>0</v>
      </c>
    </row>
    <row r="21" spans="1:13" x14ac:dyDescent="0.2">
      <c r="A21" s="5">
        <v>18</v>
      </c>
      <c r="B21" s="4">
        <v>0</v>
      </c>
      <c r="C21" s="4">
        <v>0</v>
      </c>
      <c r="D21" s="4">
        <v>0</v>
      </c>
      <c r="E21" s="4">
        <v>0</v>
      </c>
      <c r="F21" s="4">
        <v>200</v>
      </c>
      <c r="G21" s="4">
        <v>444</v>
      </c>
      <c r="H21" s="4">
        <v>338</v>
      </c>
      <c r="I21" s="4">
        <v>258</v>
      </c>
      <c r="J21" s="4">
        <v>25</v>
      </c>
      <c r="K21" s="4">
        <v>0</v>
      </c>
      <c r="L21" s="4">
        <v>0</v>
      </c>
      <c r="M21" s="4">
        <v>0</v>
      </c>
    </row>
    <row r="22" spans="1:13" x14ac:dyDescent="0.2">
      <c r="A22" s="5">
        <v>19</v>
      </c>
      <c r="B22" s="4">
        <v>0</v>
      </c>
      <c r="C22" s="4">
        <v>0</v>
      </c>
      <c r="D22" s="4">
        <v>0</v>
      </c>
      <c r="E22" s="4">
        <v>0</v>
      </c>
      <c r="F22" s="4">
        <v>267</v>
      </c>
      <c r="G22" s="4">
        <v>400</v>
      </c>
      <c r="H22" s="4">
        <v>281</v>
      </c>
      <c r="I22" s="4">
        <v>267</v>
      </c>
      <c r="J22" s="4">
        <v>25</v>
      </c>
      <c r="K22" s="4">
        <v>11</v>
      </c>
      <c r="L22" s="4">
        <v>0</v>
      </c>
      <c r="M22" s="4">
        <v>0</v>
      </c>
    </row>
    <row r="23" spans="1:13" x14ac:dyDescent="0.2">
      <c r="A23" s="5">
        <v>20</v>
      </c>
      <c r="B23" s="4">
        <v>0</v>
      </c>
      <c r="C23" s="4">
        <v>0</v>
      </c>
      <c r="D23" s="4">
        <v>0</v>
      </c>
      <c r="E23" s="4">
        <v>0</v>
      </c>
      <c r="F23" s="4">
        <v>300</v>
      </c>
      <c r="G23" s="4">
        <v>365</v>
      </c>
      <c r="H23" s="4">
        <v>250</v>
      </c>
      <c r="I23" s="4">
        <v>271</v>
      </c>
      <c r="J23" s="4">
        <v>25</v>
      </c>
      <c r="K23" s="4">
        <v>25</v>
      </c>
      <c r="L23" s="4">
        <v>0</v>
      </c>
      <c r="M23" s="4">
        <v>0</v>
      </c>
    </row>
    <row r="24" spans="1:13" x14ac:dyDescent="0.2">
      <c r="A24" s="5">
        <v>21</v>
      </c>
      <c r="B24" s="4">
        <v>0</v>
      </c>
      <c r="C24" s="4">
        <v>0</v>
      </c>
      <c r="D24" s="4">
        <v>0</v>
      </c>
      <c r="E24" s="4">
        <v>0</v>
      </c>
      <c r="F24" s="4">
        <v>300</v>
      </c>
      <c r="G24" s="4">
        <v>315</v>
      </c>
      <c r="H24" s="4">
        <v>217</v>
      </c>
      <c r="I24" s="4">
        <v>229</v>
      </c>
      <c r="J24" s="4">
        <v>25</v>
      </c>
      <c r="K24" s="4">
        <v>25</v>
      </c>
      <c r="L24" s="4">
        <v>0</v>
      </c>
      <c r="M24" s="4">
        <v>0</v>
      </c>
    </row>
    <row r="25" spans="1:13" x14ac:dyDescent="0.2">
      <c r="A25" s="5">
        <v>22</v>
      </c>
      <c r="B25" s="4">
        <v>0</v>
      </c>
      <c r="C25" s="4">
        <v>0</v>
      </c>
      <c r="D25" s="4">
        <v>0</v>
      </c>
      <c r="E25" s="4">
        <v>0</v>
      </c>
      <c r="F25" s="4">
        <v>275</v>
      </c>
      <c r="G25" s="4">
        <v>282</v>
      </c>
      <c r="H25" s="4">
        <v>206</v>
      </c>
      <c r="I25" s="4">
        <v>200</v>
      </c>
      <c r="J25" s="4">
        <v>15</v>
      </c>
      <c r="K25" s="4">
        <v>42</v>
      </c>
      <c r="L25" s="4">
        <v>0</v>
      </c>
      <c r="M25" s="4">
        <v>0</v>
      </c>
    </row>
    <row r="26" spans="1:13" x14ac:dyDescent="0.2">
      <c r="A26" s="5">
        <v>23</v>
      </c>
      <c r="B26" s="4">
        <v>0</v>
      </c>
      <c r="C26" s="4">
        <v>0</v>
      </c>
      <c r="D26" s="4">
        <v>0</v>
      </c>
      <c r="E26" s="4">
        <v>23</v>
      </c>
      <c r="F26" s="4">
        <v>283</v>
      </c>
      <c r="G26" s="4">
        <v>333</v>
      </c>
      <c r="H26" s="4">
        <v>213</v>
      </c>
      <c r="I26" s="4">
        <v>175</v>
      </c>
      <c r="J26" s="4">
        <v>10</v>
      </c>
      <c r="K26" s="4">
        <v>50</v>
      </c>
      <c r="L26" s="4">
        <v>0</v>
      </c>
      <c r="M26" s="4">
        <v>0</v>
      </c>
    </row>
    <row r="27" spans="1:13" x14ac:dyDescent="0.2">
      <c r="A27" s="5">
        <v>24</v>
      </c>
      <c r="B27" s="4">
        <v>0</v>
      </c>
      <c r="C27" s="4">
        <v>0</v>
      </c>
      <c r="D27" s="4">
        <v>0</v>
      </c>
      <c r="E27" s="4">
        <v>50</v>
      </c>
      <c r="F27" s="4">
        <v>342</v>
      </c>
      <c r="G27" s="4">
        <v>427</v>
      </c>
      <c r="H27" s="4">
        <v>200</v>
      </c>
      <c r="I27" s="4">
        <v>100</v>
      </c>
      <c r="J27" s="4">
        <v>10</v>
      </c>
      <c r="K27" s="4">
        <v>50</v>
      </c>
      <c r="L27" s="4">
        <v>0</v>
      </c>
      <c r="M27" s="4">
        <v>0</v>
      </c>
    </row>
    <row r="28" spans="1:13" x14ac:dyDescent="0.2">
      <c r="A28" s="5">
        <v>25</v>
      </c>
      <c r="B28" s="4">
        <v>0</v>
      </c>
      <c r="C28" s="4">
        <v>0</v>
      </c>
      <c r="D28" s="4">
        <v>0</v>
      </c>
      <c r="E28" s="4">
        <v>83</v>
      </c>
      <c r="F28" s="4">
        <v>438</v>
      </c>
      <c r="G28" s="4">
        <v>467</v>
      </c>
      <c r="H28" s="4">
        <v>200</v>
      </c>
      <c r="I28" s="4">
        <v>154</v>
      </c>
      <c r="J28" s="4">
        <v>10</v>
      </c>
      <c r="K28" s="4">
        <v>83</v>
      </c>
      <c r="L28" s="4">
        <v>0</v>
      </c>
      <c r="M28" s="4">
        <v>0</v>
      </c>
    </row>
    <row r="29" spans="1:13" x14ac:dyDescent="0.2">
      <c r="A29" s="5">
        <v>26</v>
      </c>
      <c r="B29" s="4">
        <v>0</v>
      </c>
      <c r="C29" s="4">
        <v>0</v>
      </c>
      <c r="D29" s="4">
        <v>14</v>
      </c>
      <c r="E29" s="4">
        <v>119</v>
      </c>
      <c r="F29" s="4">
        <v>425</v>
      </c>
      <c r="G29" s="4">
        <v>429</v>
      </c>
      <c r="H29" s="4">
        <v>200</v>
      </c>
      <c r="I29" s="4">
        <v>150</v>
      </c>
      <c r="J29" s="4">
        <v>10</v>
      </c>
      <c r="K29" s="4">
        <v>83</v>
      </c>
      <c r="L29" s="4">
        <v>0</v>
      </c>
      <c r="M29" s="4">
        <v>0</v>
      </c>
    </row>
    <row r="30" spans="1:13" x14ac:dyDescent="0.2">
      <c r="A30" s="5">
        <v>27</v>
      </c>
      <c r="B30" s="4">
        <v>0</v>
      </c>
      <c r="C30" s="4">
        <v>0</v>
      </c>
      <c r="D30" s="4">
        <v>25</v>
      </c>
      <c r="E30" s="4">
        <v>119</v>
      </c>
      <c r="F30" s="4">
        <v>333</v>
      </c>
      <c r="G30" s="4">
        <v>400</v>
      </c>
      <c r="H30" s="4">
        <v>213</v>
      </c>
      <c r="I30" s="4">
        <v>150</v>
      </c>
      <c r="J30" s="4">
        <v>10</v>
      </c>
      <c r="K30" s="4">
        <v>75</v>
      </c>
      <c r="L30" s="4">
        <v>0</v>
      </c>
      <c r="M30" s="4">
        <v>0</v>
      </c>
    </row>
    <row r="31" spans="1:13" x14ac:dyDescent="0.2">
      <c r="A31" s="5">
        <v>28</v>
      </c>
      <c r="B31" s="4">
        <v>0</v>
      </c>
      <c r="C31" s="4">
        <v>0</v>
      </c>
      <c r="D31" s="4">
        <v>25</v>
      </c>
      <c r="E31" s="4">
        <v>80</v>
      </c>
      <c r="F31" s="4">
        <v>313</v>
      </c>
      <c r="G31" s="4">
        <v>400</v>
      </c>
      <c r="H31" s="4">
        <v>263</v>
      </c>
      <c r="I31" s="4">
        <v>135</v>
      </c>
      <c r="J31" s="4">
        <v>5</v>
      </c>
      <c r="K31" s="4">
        <v>42</v>
      </c>
      <c r="L31" s="4">
        <v>0</v>
      </c>
      <c r="M31" s="4">
        <v>0</v>
      </c>
    </row>
    <row r="32" spans="1:13" x14ac:dyDescent="0.2">
      <c r="A32" s="5">
        <v>29</v>
      </c>
      <c r="B32" s="4">
        <v>0</v>
      </c>
      <c r="C32" s="7" t="s">
        <v>0</v>
      </c>
      <c r="D32" s="4">
        <v>25</v>
      </c>
      <c r="E32" s="4">
        <v>29</v>
      </c>
      <c r="F32" s="4">
        <v>327</v>
      </c>
      <c r="G32" s="4">
        <v>471</v>
      </c>
      <c r="H32" s="4">
        <v>313</v>
      </c>
      <c r="I32" s="4">
        <v>100</v>
      </c>
      <c r="J32" s="4">
        <v>0</v>
      </c>
      <c r="K32" s="4">
        <v>42</v>
      </c>
      <c r="L32" s="4">
        <v>0</v>
      </c>
      <c r="M32" s="4">
        <v>0</v>
      </c>
    </row>
    <row r="33" spans="1:14" x14ac:dyDescent="0.2">
      <c r="A33" s="5">
        <v>30</v>
      </c>
      <c r="B33" s="4">
        <v>0</v>
      </c>
      <c r="C33" s="7" t="s">
        <v>0</v>
      </c>
      <c r="D33" s="4">
        <v>25</v>
      </c>
      <c r="E33" s="4">
        <v>58</v>
      </c>
      <c r="F33" s="4">
        <v>288</v>
      </c>
      <c r="G33" s="4">
        <v>450</v>
      </c>
      <c r="H33" s="4">
        <v>338</v>
      </c>
      <c r="I33" s="4">
        <v>71</v>
      </c>
      <c r="J33" s="4">
        <v>0</v>
      </c>
      <c r="K33" s="4">
        <v>50</v>
      </c>
      <c r="L33" s="4">
        <v>0</v>
      </c>
      <c r="M33" s="4">
        <v>0</v>
      </c>
    </row>
    <row r="34" spans="1:14" x14ac:dyDescent="0.2">
      <c r="A34" s="5">
        <v>31</v>
      </c>
      <c r="B34" s="4">
        <v>0</v>
      </c>
      <c r="C34" s="7" t="s">
        <v>0</v>
      </c>
      <c r="D34" s="4">
        <v>10</v>
      </c>
      <c r="E34" s="7" t="s">
        <v>0</v>
      </c>
      <c r="F34" s="4">
        <v>250</v>
      </c>
      <c r="G34" s="7" t="s">
        <v>0</v>
      </c>
      <c r="H34" s="4">
        <v>272</v>
      </c>
      <c r="I34" s="4">
        <v>119</v>
      </c>
      <c r="J34" s="7" t="s">
        <v>0</v>
      </c>
      <c r="K34" s="4">
        <v>50</v>
      </c>
      <c r="L34" s="7" t="s">
        <v>0</v>
      </c>
      <c r="M34" s="4">
        <v>0</v>
      </c>
    </row>
    <row r="36" spans="1:14" x14ac:dyDescent="0.2">
      <c r="A36" s="7" t="s">
        <v>4</v>
      </c>
      <c r="B36" s="2">
        <f>SUM(B4:B35)</f>
        <v>0</v>
      </c>
      <c r="C36" s="2">
        <f>SUM(C4:C35)</f>
        <v>0</v>
      </c>
      <c r="D36" s="2">
        <f>SUM(D4:D35)</f>
        <v>124</v>
      </c>
      <c r="E36" s="2">
        <f>SUM(E4:E35)</f>
        <v>784</v>
      </c>
      <c r="F36" s="2">
        <f>SUM(F4:F35)</f>
        <v>6155</v>
      </c>
      <c r="G36" s="2">
        <f>SUM(G4:G35)</f>
        <v>9456</v>
      </c>
      <c r="H36" s="2">
        <f>SUM(H4:H35)</f>
        <v>10586</v>
      </c>
      <c r="I36" s="2">
        <f>SUM(I4:I35)</f>
        <v>4856</v>
      </c>
      <c r="J36" s="2">
        <f>SUM(J4:J35)</f>
        <v>1356</v>
      </c>
      <c r="K36" s="2">
        <f>SUM(K4:K35)</f>
        <v>628</v>
      </c>
      <c r="L36" s="2">
        <f>SUM(L4:L35)</f>
        <v>673</v>
      </c>
      <c r="M36" s="2">
        <f>SUM(M4:M35)</f>
        <v>0</v>
      </c>
      <c r="N36" s="2"/>
    </row>
    <row r="37" spans="1:14" x14ac:dyDescent="0.2">
      <c r="A37" s="7" t="s">
        <v>3</v>
      </c>
      <c r="B37" s="2">
        <f>B36*1.98</f>
        <v>0</v>
      </c>
      <c r="C37" s="2">
        <f>C36*1.98</f>
        <v>0</v>
      </c>
      <c r="D37" s="2">
        <f>D36*1.98</f>
        <v>245.52</v>
      </c>
      <c r="E37" s="2">
        <f>E36*1.98</f>
        <v>1552.32</v>
      </c>
      <c r="F37" s="2">
        <f>F36*1.98</f>
        <v>12186.9</v>
      </c>
      <c r="G37" s="2">
        <f>G36*1.98</f>
        <v>18722.88</v>
      </c>
      <c r="H37" s="2">
        <f>H36*1.98</f>
        <v>20960.28</v>
      </c>
      <c r="I37" s="2">
        <f>I36*1.98</f>
        <v>9614.8799999999992</v>
      </c>
      <c r="J37" s="2">
        <f>J36*1.98</f>
        <v>2684.88</v>
      </c>
      <c r="K37" s="2">
        <f>K36*1.98</f>
        <v>1243.44</v>
      </c>
      <c r="L37" s="2">
        <f>L36*1.98</f>
        <v>1332.54</v>
      </c>
      <c r="M37" s="2">
        <f>M36*1.98</f>
        <v>0</v>
      </c>
      <c r="N37" s="2"/>
    </row>
    <row r="38" spans="1:14" x14ac:dyDescent="0.2">
      <c r="A38" s="7" t="s">
        <v>2</v>
      </c>
      <c r="B38" s="2">
        <f>+B37</f>
        <v>0</v>
      </c>
      <c r="C38" s="2">
        <f>+B38+C37</f>
        <v>0</v>
      </c>
      <c r="D38" s="2">
        <f>+C38+D37</f>
        <v>245.52</v>
      </c>
      <c r="E38" s="2">
        <f>+D38+E37</f>
        <v>1797.84</v>
      </c>
      <c r="F38" s="2">
        <f>+E38+F37</f>
        <v>13984.74</v>
      </c>
      <c r="G38" s="2">
        <f>+F38+G37</f>
        <v>32707.620000000003</v>
      </c>
      <c r="H38" s="2">
        <f>+G38+H37</f>
        <v>53667.9</v>
      </c>
      <c r="I38" s="2">
        <f>+H38+I37</f>
        <v>63282.78</v>
      </c>
      <c r="J38" s="2">
        <f>+I38+J37</f>
        <v>65967.66</v>
      </c>
      <c r="K38" s="2">
        <f>+J38+K37</f>
        <v>67211.100000000006</v>
      </c>
      <c r="L38" s="2">
        <f>+K38+L37</f>
        <v>68543.64</v>
      </c>
      <c r="M38" s="2">
        <f>+L38+M37</f>
        <v>68543.64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89</v>
      </c>
      <c r="B40" s="8">
        <v>0</v>
      </c>
      <c r="C40" s="9">
        <v>0</v>
      </c>
      <c r="D40" s="3">
        <v>1016</v>
      </c>
      <c r="E40" s="3">
        <v>4609</v>
      </c>
      <c r="F40" s="3">
        <v>2303</v>
      </c>
      <c r="G40" s="3">
        <v>21273</v>
      </c>
      <c r="H40" s="3">
        <v>17274</v>
      </c>
      <c r="I40" s="3">
        <v>8168</v>
      </c>
      <c r="J40" s="3">
        <v>341</v>
      </c>
      <c r="K40" s="3">
        <v>784</v>
      </c>
      <c r="L40" s="3">
        <v>0</v>
      </c>
      <c r="M40" s="3">
        <v>0</v>
      </c>
      <c r="N40" s="2">
        <f>SUM(B40:M40)</f>
        <v>55768</v>
      </c>
    </row>
    <row r="41" spans="1:14" x14ac:dyDescent="0.2">
      <c r="A41">
        <v>90</v>
      </c>
      <c r="B41" s="8">
        <v>0</v>
      </c>
      <c r="C41" s="9">
        <v>0</v>
      </c>
      <c r="D41" s="3">
        <v>1152</v>
      </c>
      <c r="E41" s="3">
        <v>10611</v>
      </c>
      <c r="F41" s="3">
        <v>4364</v>
      </c>
      <c r="G41" s="3">
        <v>17792</v>
      </c>
      <c r="H41" s="3">
        <v>20242</v>
      </c>
      <c r="I41" s="3">
        <v>7989</v>
      </c>
      <c r="J41" s="3">
        <v>2132</v>
      </c>
      <c r="K41" s="3">
        <v>937</v>
      </c>
      <c r="L41" s="3">
        <v>1051</v>
      </c>
      <c r="M41" s="3">
        <v>1081</v>
      </c>
      <c r="N41" s="2">
        <f>SUM(B41:M41)</f>
        <v>67351</v>
      </c>
    </row>
    <row r="42" spans="1:14" x14ac:dyDescent="0.2">
      <c r="A42">
        <v>91</v>
      </c>
      <c r="B42" s="8">
        <v>0</v>
      </c>
      <c r="C42" s="9">
        <v>0</v>
      </c>
      <c r="D42" s="3">
        <v>2285</v>
      </c>
      <c r="E42" s="3">
        <v>16030</v>
      </c>
      <c r="F42" s="3">
        <v>2501</v>
      </c>
      <c r="G42" s="3">
        <v>20087</v>
      </c>
      <c r="H42" s="3">
        <v>19105</v>
      </c>
      <c r="I42" s="3">
        <v>13310</v>
      </c>
      <c r="J42" s="3">
        <v>5635</v>
      </c>
      <c r="K42" s="3">
        <v>4221</v>
      </c>
      <c r="L42" s="3">
        <v>0</v>
      </c>
      <c r="M42" s="3">
        <v>0</v>
      </c>
      <c r="N42" s="2">
        <f>SUM(B42:M42)</f>
        <v>83174</v>
      </c>
    </row>
    <row r="43" spans="1:14" x14ac:dyDescent="0.2">
      <c r="A43">
        <v>92</v>
      </c>
      <c r="B43" s="8">
        <v>0</v>
      </c>
      <c r="C43" s="9">
        <v>0</v>
      </c>
      <c r="D43" s="3">
        <v>1509</v>
      </c>
      <c r="E43" s="3">
        <v>20095</v>
      </c>
      <c r="F43" s="3">
        <v>17309</v>
      </c>
      <c r="G43" s="3">
        <v>19630</v>
      </c>
      <c r="H43" s="3">
        <v>15501</v>
      </c>
      <c r="I43" s="3">
        <v>15002</v>
      </c>
      <c r="J43" s="3">
        <v>4520</v>
      </c>
      <c r="K43" s="3">
        <v>0</v>
      </c>
      <c r="L43" s="3">
        <v>0</v>
      </c>
      <c r="M43" s="3">
        <v>0</v>
      </c>
      <c r="N43" s="2">
        <f>SUM(B43:M43)</f>
        <v>93566</v>
      </c>
    </row>
    <row r="44" spans="1:14" x14ac:dyDescent="0.2">
      <c r="A44">
        <v>93</v>
      </c>
      <c r="B44" s="8">
        <v>0</v>
      </c>
      <c r="C44" s="9">
        <v>0</v>
      </c>
      <c r="D44" s="10">
        <v>0</v>
      </c>
      <c r="E44" s="3">
        <v>3291</v>
      </c>
      <c r="F44" s="3">
        <v>12799</v>
      </c>
      <c r="G44" s="3">
        <v>17788</v>
      </c>
      <c r="H44" s="3">
        <v>20465</v>
      </c>
      <c r="I44" s="3">
        <v>12327</v>
      </c>
      <c r="J44" s="3">
        <v>2942</v>
      </c>
      <c r="K44" s="3">
        <v>83</v>
      </c>
      <c r="L44" s="3">
        <v>0</v>
      </c>
      <c r="M44" s="3">
        <v>0</v>
      </c>
      <c r="N44" s="2">
        <f>SUM(B44:M44)</f>
        <v>69695</v>
      </c>
    </row>
    <row r="45" spans="1:14" x14ac:dyDescent="0.2">
      <c r="A45">
        <v>94</v>
      </c>
      <c r="B45" s="8">
        <v>0</v>
      </c>
      <c r="C45" s="9">
        <v>0</v>
      </c>
      <c r="D45" s="3">
        <v>8070</v>
      </c>
      <c r="E45" s="3">
        <v>24914</v>
      </c>
      <c r="F45" s="3">
        <v>8162</v>
      </c>
      <c r="G45" s="3">
        <v>23255</v>
      </c>
      <c r="H45" s="3">
        <v>25128</v>
      </c>
      <c r="I45" s="3">
        <v>20491</v>
      </c>
      <c r="J45" s="3">
        <v>4483</v>
      </c>
      <c r="K45" s="3">
        <v>0</v>
      </c>
      <c r="L45" s="3">
        <v>0</v>
      </c>
      <c r="M45" s="3">
        <v>0</v>
      </c>
      <c r="N45" s="2">
        <f>SUM(B45:M45)</f>
        <v>114503</v>
      </c>
    </row>
    <row r="46" spans="1:14" x14ac:dyDescent="0.2">
      <c r="A46">
        <v>95</v>
      </c>
      <c r="B46" s="8">
        <v>1501</v>
      </c>
      <c r="C46" s="9">
        <v>0</v>
      </c>
      <c r="D46" s="3">
        <v>99</v>
      </c>
      <c r="E46" s="3">
        <v>2378</v>
      </c>
      <c r="F46" s="3">
        <v>5265</v>
      </c>
      <c r="G46" s="3">
        <v>13953</v>
      </c>
      <c r="H46" s="3">
        <v>19715</v>
      </c>
      <c r="I46" s="3">
        <v>16624</v>
      </c>
      <c r="J46" s="3">
        <v>3928</v>
      </c>
      <c r="K46" s="3">
        <v>430</v>
      </c>
      <c r="L46" s="3">
        <v>127</v>
      </c>
      <c r="M46" s="3">
        <v>0</v>
      </c>
      <c r="N46" s="2">
        <f>SUM(B46:M46)</f>
        <v>64020</v>
      </c>
    </row>
    <row r="47" spans="1:14" x14ac:dyDescent="0.2">
      <c r="A47">
        <v>96</v>
      </c>
      <c r="B47" s="8">
        <v>0</v>
      </c>
      <c r="C47" s="9">
        <v>0</v>
      </c>
      <c r="D47" s="3">
        <v>238</v>
      </c>
      <c r="E47" s="3">
        <v>4473</v>
      </c>
      <c r="F47" s="3">
        <v>6397</v>
      </c>
      <c r="G47" s="3">
        <v>20905</v>
      </c>
      <c r="H47" s="3">
        <v>22820</v>
      </c>
      <c r="I47" s="3">
        <v>13369</v>
      </c>
      <c r="J47" s="3">
        <v>3388</v>
      </c>
      <c r="K47" s="3">
        <v>97</v>
      </c>
      <c r="L47" s="3">
        <v>0</v>
      </c>
      <c r="M47" s="3">
        <v>0</v>
      </c>
      <c r="N47" s="2">
        <f>SUM(B47:M47)</f>
        <v>71687</v>
      </c>
    </row>
    <row r="48" spans="1:14" x14ac:dyDescent="0.2">
      <c r="A48">
        <v>97</v>
      </c>
      <c r="B48" s="8">
        <v>0</v>
      </c>
      <c r="C48" s="8">
        <v>0</v>
      </c>
      <c r="D48" s="8">
        <v>3497</v>
      </c>
      <c r="E48" s="8">
        <v>8999</v>
      </c>
      <c r="F48" s="8">
        <v>14216</v>
      </c>
      <c r="G48" s="8">
        <v>17537</v>
      </c>
      <c r="H48" s="8">
        <v>17068</v>
      </c>
      <c r="I48" s="8">
        <v>13965</v>
      </c>
      <c r="J48" s="8">
        <v>3675</v>
      </c>
      <c r="K48" s="8">
        <v>0</v>
      </c>
      <c r="L48" s="8">
        <v>0</v>
      </c>
      <c r="M48" s="8">
        <v>0</v>
      </c>
      <c r="N48" s="2">
        <f>SUM(B48:M48)</f>
        <v>78957</v>
      </c>
    </row>
    <row r="49" spans="1:14" x14ac:dyDescent="0.2">
      <c r="A49">
        <v>98</v>
      </c>
      <c r="B49" s="8">
        <v>0</v>
      </c>
      <c r="C49" s="8">
        <v>0</v>
      </c>
      <c r="D49" s="8">
        <v>743</v>
      </c>
      <c r="E49" s="8">
        <v>2063</v>
      </c>
      <c r="F49" s="8">
        <v>744</v>
      </c>
      <c r="G49" s="8">
        <v>4025</v>
      </c>
      <c r="H49" s="8">
        <v>22208</v>
      </c>
      <c r="I49" s="8">
        <v>10248</v>
      </c>
      <c r="J49" s="8">
        <v>1932</v>
      </c>
      <c r="K49" s="8">
        <v>0</v>
      </c>
      <c r="L49" s="8">
        <v>87</v>
      </c>
      <c r="M49" s="8">
        <v>0</v>
      </c>
      <c r="N49" s="2">
        <f>SUM(B49:M49)</f>
        <v>42050</v>
      </c>
    </row>
    <row r="51" spans="1:14" x14ac:dyDescent="0.2">
      <c r="A51" s="7" t="s">
        <v>1</v>
      </c>
      <c r="B51" s="1">
        <f>AVERAGE(B40:B49)</f>
        <v>150.1</v>
      </c>
      <c r="C51" s="1">
        <f>AVERAGE(C40:C49)</f>
        <v>0</v>
      </c>
      <c r="D51" s="1">
        <f>AVERAGE(D40:D49)</f>
        <v>1860.9</v>
      </c>
      <c r="E51" s="1">
        <f>AVERAGE(E40:E49)</f>
        <v>9746.2999999999993</v>
      </c>
      <c r="F51" s="1">
        <f>AVERAGE(F40:F49)</f>
        <v>7406</v>
      </c>
      <c r="G51" s="1">
        <f>AVERAGE(G40:G49)</f>
        <v>17624.5</v>
      </c>
      <c r="H51" s="1">
        <f>AVERAGE(H40:H49)</f>
        <v>19952.599999999999</v>
      </c>
      <c r="I51" s="1">
        <f>AVERAGE(I40:I49)</f>
        <v>13149.3</v>
      </c>
      <c r="J51" s="1">
        <f>AVERAGE(J40:J49)</f>
        <v>3297.6</v>
      </c>
      <c r="K51" s="1">
        <f>AVERAGE(K40:K49)</f>
        <v>655.20000000000005</v>
      </c>
      <c r="L51" s="1">
        <f>AVERAGE(L40:L49)</f>
        <v>126.5</v>
      </c>
      <c r="M51" s="1">
        <f>AVERAGE(M40:M49)</f>
        <v>108.1</v>
      </c>
    </row>
    <row r="52" spans="1:14" x14ac:dyDescent="0.2">
      <c r="B52" s="1">
        <f>+B51</f>
        <v>150.1</v>
      </c>
      <c r="C52" s="1">
        <f>+B52+C51</f>
        <v>150.1</v>
      </c>
      <c r="D52" s="1">
        <f>+C52+D51</f>
        <v>2011</v>
      </c>
      <c r="E52" s="1">
        <f>+D52+E51</f>
        <v>11757.3</v>
      </c>
      <c r="F52" s="1">
        <f>+E52+F51</f>
        <v>19163.3</v>
      </c>
      <c r="G52" s="1">
        <f>+F52+G51</f>
        <v>36787.800000000003</v>
      </c>
      <c r="H52" s="1">
        <f>+G52+H51</f>
        <v>56740.4</v>
      </c>
      <c r="I52" s="1">
        <f>+H52+I51</f>
        <v>69889.7</v>
      </c>
      <c r="J52" s="1">
        <f>+I52+J51</f>
        <v>73187.3</v>
      </c>
      <c r="K52" s="1">
        <f>+J52+K51</f>
        <v>73842.5</v>
      </c>
      <c r="L52" s="1">
        <f>+K52+L51</f>
        <v>73969</v>
      </c>
      <c r="M52" s="1">
        <f>+L52+M51</f>
        <v>74077.100000000006</v>
      </c>
      <c r="N52" s="1">
        <f>AVERAGE(N40:N49)</f>
        <v>74077.100000000006</v>
      </c>
    </row>
  </sheetData>
  <sheetProtection sheet="1" objects="1" scenarios="1"/>
  <pageMargins left="0.13" right="0.14000000000000001" top="1" bottom="1" header="0.49" footer="0.5"/>
  <pageSetup scale="76"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N52" sqref="N52"/>
      <selection pane="topRight" activeCell="N52" sqref="N52"/>
      <selection pane="bottomLeft" activeCell="N52" sqref="N52"/>
      <selection pane="bottomRight" activeCell="N52" sqref="N52"/>
    </sheetView>
  </sheetViews>
  <sheetFormatPr defaultRowHeight="12.75" x14ac:dyDescent="0.2"/>
  <cols>
    <col min="1" max="14" width="9.7109375" customWidth="1"/>
  </cols>
  <sheetData>
    <row r="1" spans="1:13" x14ac:dyDescent="0.2">
      <c r="A1" s="7" t="s">
        <v>21</v>
      </c>
      <c r="J1" s="7" t="s">
        <v>21</v>
      </c>
    </row>
    <row r="3" spans="1:13" x14ac:dyDescent="0.2">
      <c r="A3" s="11" t="s">
        <v>17</v>
      </c>
      <c r="B3" s="12" t="s">
        <v>20</v>
      </c>
      <c r="C3" s="12" t="s">
        <v>15</v>
      </c>
      <c r="D3" s="12" t="s">
        <v>14</v>
      </c>
      <c r="E3" s="12" t="s">
        <v>13</v>
      </c>
      <c r="F3" s="12" t="s">
        <v>12</v>
      </c>
      <c r="G3" s="12" t="s">
        <v>11</v>
      </c>
      <c r="H3" s="12" t="s">
        <v>10</v>
      </c>
      <c r="I3" s="12" t="s">
        <v>9</v>
      </c>
      <c r="J3" s="12" t="s">
        <v>8</v>
      </c>
      <c r="K3" s="12" t="s">
        <v>7</v>
      </c>
      <c r="L3" s="12" t="s">
        <v>6</v>
      </c>
      <c r="M3" s="12" t="s">
        <v>5</v>
      </c>
    </row>
    <row r="4" spans="1:13" x14ac:dyDescent="0.2">
      <c r="A4" s="5">
        <v>1</v>
      </c>
      <c r="B4" s="4">
        <v>63</v>
      </c>
      <c r="C4" s="4">
        <v>46</v>
      </c>
      <c r="D4" s="4">
        <v>375</v>
      </c>
      <c r="E4" s="4">
        <v>0</v>
      </c>
      <c r="F4" s="4">
        <v>30</v>
      </c>
      <c r="G4" s="4">
        <v>33</v>
      </c>
      <c r="H4" s="4">
        <v>0</v>
      </c>
      <c r="I4" s="4">
        <v>0</v>
      </c>
      <c r="J4" s="4">
        <v>0</v>
      </c>
      <c r="K4" s="4">
        <v>51</v>
      </c>
      <c r="L4" s="4">
        <v>0</v>
      </c>
      <c r="M4" s="4">
        <v>27</v>
      </c>
    </row>
    <row r="5" spans="1:13" x14ac:dyDescent="0.2">
      <c r="A5" s="5">
        <v>2</v>
      </c>
      <c r="B5" s="4">
        <v>64</v>
      </c>
      <c r="C5" s="4">
        <v>47</v>
      </c>
      <c r="D5" s="4">
        <v>318</v>
      </c>
      <c r="E5" s="4">
        <v>0</v>
      </c>
      <c r="F5" s="4">
        <v>30</v>
      </c>
      <c r="G5" s="4">
        <v>38</v>
      </c>
      <c r="H5" s="4">
        <v>0</v>
      </c>
      <c r="I5" s="4">
        <v>0</v>
      </c>
      <c r="J5" s="4">
        <v>29</v>
      </c>
      <c r="K5" s="4">
        <v>33</v>
      </c>
      <c r="L5" s="4">
        <v>0</v>
      </c>
      <c r="M5" s="4">
        <v>28</v>
      </c>
    </row>
    <row r="6" spans="1:13" x14ac:dyDescent="0.2">
      <c r="A6" s="5">
        <v>3</v>
      </c>
      <c r="B6" s="4">
        <v>65</v>
      </c>
      <c r="C6" s="4">
        <v>47</v>
      </c>
      <c r="D6" s="4">
        <v>266</v>
      </c>
      <c r="E6" s="4">
        <v>0</v>
      </c>
      <c r="F6" s="4">
        <v>30</v>
      </c>
      <c r="G6" s="4">
        <v>15</v>
      </c>
      <c r="H6" s="4">
        <v>5</v>
      </c>
      <c r="I6" s="4">
        <v>0</v>
      </c>
      <c r="J6" s="4">
        <v>7</v>
      </c>
      <c r="K6" s="4">
        <v>40</v>
      </c>
      <c r="L6" s="4">
        <v>0</v>
      </c>
      <c r="M6" s="4">
        <v>28</v>
      </c>
    </row>
    <row r="7" spans="1:13" x14ac:dyDescent="0.2">
      <c r="A7" s="5">
        <v>4</v>
      </c>
      <c r="B7" s="4">
        <v>53</v>
      </c>
      <c r="C7" s="4">
        <v>48</v>
      </c>
      <c r="D7" s="4">
        <v>249</v>
      </c>
      <c r="E7" s="4">
        <v>0</v>
      </c>
      <c r="F7" s="4">
        <v>30</v>
      </c>
      <c r="G7" s="4">
        <v>15</v>
      </c>
      <c r="H7" s="4">
        <v>25</v>
      </c>
      <c r="I7" s="4">
        <v>0</v>
      </c>
      <c r="J7" s="4">
        <v>0</v>
      </c>
      <c r="K7" s="4">
        <v>56</v>
      </c>
      <c r="L7" s="4">
        <v>0</v>
      </c>
      <c r="M7" s="4">
        <v>28</v>
      </c>
    </row>
    <row r="8" spans="1:13" x14ac:dyDescent="0.2">
      <c r="A8" s="5">
        <v>5</v>
      </c>
      <c r="B8" s="4">
        <v>44</v>
      </c>
      <c r="C8" s="4">
        <v>48</v>
      </c>
      <c r="D8" s="4">
        <v>214</v>
      </c>
      <c r="E8" s="4">
        <v>0</v>
      </c>
      <c r="F8" s="4">
        <v>30</v>
      </c>
      <c r="G8" s="4">
        <v>20</v>
      </c>
      <c r="H8" s="4">
        <v>17</v>
      </c>
      <c r="I8" s="4">
        <v>0</v>
      </c>
      <c r="J8" s="4">
        <v>0</v>
      </c>
      <c r="K8" s="4">
        <v>70</v>
      </c>
      <c r="L8" s="4">
        <v>0</v>
      </c>
      <c r="M8" s="4">
        <v>28</v>
      </c>
    </row>
    <row r="9" spans="1:13" x14ac:dyDescent="0.2">
      <c r="A9" s="5">
        <v>6</v>
      </c>
      <c r="B9" s="4">
        <v>44</v>
      </c>
      <c r="C9" s="4">
        <v>64</v>
      </c>
      <c r="D9" s="4">
        <v>165</v>
      </c>
      <c r="E9" s="4">
        <v>0</v>
      </c>
      <c r="F9" s="4">
        <v>30</v>
      </c>
      <c r="G9" s="4">
        <v>0</v>
      </c>
      <c r="H9" s="4">
        <v>0</v>
      </c>
      <c r="I9" s="4">
        <v>46</v>
      </c>
      <c r="J9" s="4">
        <v>0</v>
      </c>
      <c r="K9" s="4">
        <v>81</v>
      </c>
      <c r="L9" s="4">
        <v>0</v>
      </c>
      <c r="M9" s="4">
        <v>28</v>
      </c>
    </row>
    <row r="10" spans="1:13" x14ac:dyDescent="0.2">
      <c r="A10" s="5">
        <v>7</v>
      </c>
      <c r="B10" s="4">
        <v>44</v>
      </c>
      <c r="C10" s="4">
        <v>99</v>
      </c>
      <c r="D10" s="4">
        <v>150</v>
      </c>
      <c r="E10" s="4">
        <v>0</v>
      </c>
      <c r="F10" s="4">
        <v>30</v>
      </c>
      <c r="G10" s="4">
        <v>0</v>
      </c>
      <c r="H10" s="4">
        <v>0</v>
      </c>
      <c r="I10" s="4">
        <v>101</v>
      </c>
      <c r="J10" s="4">
        <v>0</v>
      </c>
      <c r="K10" s="4">
        <v>48</v>
      </c>
      <c r="L10" s="4">
        <v>0</v>
      </c>
      <c r="M10" s="4">
        <v>28</v>
      </c>
    </row>
    <row r="11" spans="1:13" x14ac:dyDescent="0.2">
      <c r="A11" s="5">
        <v>8</v>
      </c>
      <c r="B11" s="4">
        <v>44</v>
      </c>
      <c r="C11" s="4">
        <v>126</v>
      </c>
      <c r="D11" s="4">
        <v>132</v>
      </c>
      <c r="E11" s="4">
        <v>0</v>
      </c>
      <c r="F11" s="4">
        <v>30</v>
      </c>
      <c r="G11" s="4">
        <v>0</v>
      </c>
      <c r="H11" s="4">
        <v>0</v>
      </c>
      <c r="I11" s="4">
        <v>113</v>
      </c>
      <c r="J11" s="4">
        <v>0</v>
      </c>
      <c r="K11" s="4">
        <v>88</v>
      </c>
      <c r="L11" s="4">
        <v>0</v>
      </c>
      <c r="M11" s="4">
        <v>28</v>
      </c>
    </row>
    <row r="12" spans="1:13" x14ac:dyDescent="0.2">
      <c r="A12" s="5">
        <v>9</v>
      </c>
      <c r="B12" s="4">
        <v>44</v>
      </c>
      <c r="C12" s="4">
        <v>97</v>
      </c>
      <c r="D12" s="4">
        <v>123</v>
      </c>
      <c r="E12" s="4">
        <v>0</v>
      </c>
      <c r="F12" s="4">
        <v>30</v>
      </c>
      <c r="G12" s="4">
        <v>0</v>
      </c>
      <c r="H12" s="4">
        <v>0</v>
      </c>
      <c r="I12" s="4">
        <v>64</v>
      </c>
      <c r="J12" s="4">
        <v>3</v>
      </c>
      <c r="K12" s="4">
        <v>77</v>
      </c>
      <c r="L12" s="4">
        <v>0</v>
      </c>
      <c r="M12" s="4">
        <v>28</v>
      </c>
    </row>
    <row r="13" spans="1:13" x14ac:dyDescent="0.2">
      <c r="A13" s="5">
        <v>10</v>
      </c>
      <c r="B13" s="4">
        <v>31</v>
      </c>
      <c r="C13" s="4">
        <v>98</v>
      </c>
      <c r="D13" s="4">
        <v>122</v>
      </c>
      <c r="E13" s="4">
        <v>0</v>
      </c>
      <c r="F13" s="4">
        <v>30</v>
      </c>
      <c r="G13" s="4">
        <v>0</v>
      </c>
      <c r="H13" s="4">
        <v>0</v>
      </c>
      <c r="I13" s="4">
        <v>10</v>
      </c>
      <c r="J13" s="4">
        <v>3</v>
      </c>
      <c r="K13" s="4">
        <v>77</v>
      </c>
      <c r="L13" s="4">
        <v>0</v>
      </c>
      <c r="M13" s="4">
        <v>28</v>
      </c>
    </row>
    <row r="14" spans="1:13" x14ac:dyDescent="0.2">
      <c r="A14" s="5">
        <v>11</v>
      </c>
      <c r="B14" s="4">
        <v>26</v>
      </c>
      <c r="C14" s="4">
        <v>116</v>
      </c>
      <c r="D14" s="4">
        <v>112</v>
      </c>
      <c r="E14" s="4">
        <v>0</v>
      </c>
      <c r="F14" s="4">
        <v>30</v>
      </c>
      <c r="G14" s="4">
        <v>0</v>
      </c>
      <c r="H14" s="4">
        <v>0</v>
      </c>
      <c r="I14" s="4">
        <v>23</v>
      </c>
      <c r="J14" s="4">
        <v>5</v>
      </c>
      <c r="K14" s="4">
        <v>95</v>
      </c>
      <c r="L14" s="4">
        <v>0</v>
      </c>
      <c r="M14" s="4">
        <v>28</v>
      </c>
    </row>
    <row r="15" spans="1:13" x14ac:dyDescent="0.2">
      <c r="A15" s="5">
        <v>12</v>
      </c>
      <c r="B15" s="4">
        <v>26</v>
      </c>
      <c r="C15" s="4">
        <v>123</v>
      </c>
      <c r="D15" s="4">
        <v>90</v>
      </c>
      <c r="E15" s="4">
        <v>0</v>
      </c>
      <c r="F15" s="4">
        <v>30</v>
      </c>
      <c r="G15" s="4">
        <v>0</v>
      </c>
      <c r="H15" s="4">
        <v>0</v>
      </c>
      <c r="I15" s="4">
        <v>2</v>
      </c>
      <c r="J15" s="4">
        <v>5</v>
      </c>
      <c r="K15" s="4">
        <v>86</v>
      </c>
      <c r="L15" s="4">
        <v>0</v>
      </c>
      <c r="M15" s="4">
        <v>28</v>
      </c>
    </row>
    <row r="16" spans="1:13" x14ac:dyDescent="0.2">
      <c r="A16" s="5">
        <v>13</v>
      </c>
      <c r="B16" s="4">
        <v>27</v>
      </c>
      <c r="C16" s="4">
        <v>120</v>
      </c>
      <c r="D16" s="4">
        <v>85</v>
      </c>
      <c r="E16" s="4">
        <v>0</v>
      </c>
      <c r="F16" s="4">
        <v>30</v>
      </c>
      <c r="G16" s="4">
        <v>13</v>
      </c>
      <c r="H16" s="4">
        <v>0</v>
      </c>
      <c r="I16" s="4">
        <v>18</v>
      </c>
      <c r="J16" s="4">
        <v>2</v>
      </c>
      <c r="K16" s="4">
        <v>80</v>
      </c>
      <c r="L16" s="4">
        <v>0</v>
      </c>
      <c r="M16" s="4">
        <v>28</v>
      </c>
    </row>
    <row r="17" spans="1:13" x14ac:dyDescent="0.2">
      <c r="A17" s="5">
        <v>14</v>
      </c>
      <c r="B17" s="4">
        <v>32</v>
      </c>
      <c r="C17" s="4">
        <v>118</v>
      </c>
      <c r="D17" s="4">
        <v>85</v>
      </c>
      <c r="E17" s="4">
        <v>15</v>
      </c>
      <c r="F17" s="4">
        <v>30</v>
      </c>
      <c r="G17" s="4">
        <v>17</v>
      </c>
      <c r="H17" s="4">
        <v>0</v>
      </c>
      <c r="I17" s="4">
        <v>20</v>
      </c>
      <c r="J17" s="4">
        <v>0</v>
      </c>
      <c r="K17" s="4">
        <v>95</v>
      </c>
      <c r="L17" s="4">
        <v>0</v>
      </c>
      <c r="M17" s="4">
        <v>34</v>
      </c>
    </row>
    <row r="18" spans="1:13" x14ac:dyDescent="0.2">
      <c r="A18" s="5">
        <v>15</v>
      </c>
      <c r="B18" s="4">
        <v>36</v>
      </c>
      <c r="C18" s="4">
        <v>115</v>
      </c>
      <c r="D18" s="4">
        <v>73</v>
      </c>
      <c r="E18" s="4">
        <v>39</v>
      </c>
      <c r="F18" s="4">
        <v>30</v>
      </c>
      <c r="G18" s="4">
        <v>0</v>
      </c>
      <c r="H18" s="4">
        <v>13</v>
      </c>
      <c r="I18" s="4">
        <v>0</v>
      </c>
      <c r="J18" s="4">
        <v>0</v>
      </c>
      <c r="K18" s="4">
        <v>81</v>
      </c>
      <c r="L18" s="4">
        <v>0</v>
      </c>
      <c r="M18" s="4">
        <v>36</v>
      </c>
    </row>
    <row r="19" spans="1:13" x14ac:dyDescent="0.2">
      <c r="A19" s="5">
        <v>16</v>
      </c>
      <c r="B19" s="4">
        <v>36</v>
      </c>
      <c r="C19" s="4">
        <v>93</v>
      </c>
      <c r="D19" s="4">
        <v>66</v>
      </c>
      <c r="E19" s="4">
        <v>48</v>
      </c>
      <c r="F19" s="4">
        <v>30</v>
      </c>
      <c r="G19" s="4">
        <v>0</v>
      </c>
      <c r="H19" s="4">
        <v>0</v>
      </c>
      <c r="I19" s="4">
        <v>0</v>
      </c>
      <c r="J19" s="4">
        <v>0</v>
      </c>
      <c r="K19" s="4">
        <v>25</v>
      </c>
      <c r="L19" s="4">
        <v>0</v>
      </c>
      <c r="M19" s="4">
        <v>36</v>
      </c>
    </row>
    <row r="20" spans="1:13" x14ac:dyDescent="0.2">
      <c r="A20" s="5">
        <v>17</v>
      </c>
      <c r="B20" s="4">
        <v>36</v>
      </c>
      <c r="C20" s="4">
        <v>80</v>
      </c>
      <c r="D20" s="4">
        <v>52</v>
      </c>
      <c r="E20" s="4">
        <v>47</v>
      </c>
      <c r="F20" s="4">
        <v>30</v>
      </c>
      <c r="G20" s="4">
        <v>20</v>
      </c>
      <c r="H20" s="4">
        <v>0</v>
      </c>
      <c r="I20" s="4">
        <v>0</v>
      </c>
      <c r="J20" s="4">
        <v>7</v>
      </c>
      <c r="K20" s="4">
        <v>0</v>
      </c>
      <c r="L20" s="4">
        <v>25</v>
      </c>
      <c r="M20" s="4">
        <v>30</v>
      </c>
    </row>
    <row r="21" spans="1:13" x14ac:dyDescent="0.2">
      <c r="A21" s="5">
        <v>18</v>
      </c>
      <c r="B21" s="4">
        <v>50</v>
      </c>
      <c r="C21" s="4">
        <v>81</v>
      </c>
      <c r="D21" s="4">
        <v>39</v>
      </c>
      <c r="E21" s="4">
        <v>38</v>
      </c>
      <c r="F21" s="4">
        <v>30</v>
      </c>
      <c r="G21" s="4">
        <v>0</v>
      </c>
      <c r="H21" s="4">
        <v>0</v>
      </c>
      <c r="I21" s="4">
        <v>0</v>
      </c>
      <c r="J21" s="4">
        <v>14</v>
      </c>
      <c r="K21" s="4">
        <v>0</v>
      </c>
      <c r="L21" s="4">
        <v>38</v>
      </c>
      <c r="M21" s="4">
        <v>27</v>
      </c>
    </row>
    <row r="22" spans="1:13" x14ac:dyDescent="0.2">
      <c r="A22" s="5">
        <v>19</v>
      </c>
      <c r="B22" s="4">
        <v>78</v>
      </c>
      <c r="C22" s="4">
        <v>82</v>
      </c>
      <c r="D22" s="4">
        <v>27</v>
      </c>
      <c r="E22" s="4">
        <v>30</v>
      </c>
      <c r="F22" s="4">
        <v>30</v>
      </c>
      <c r="G22" s="4">
        <v>17</v>
      </c>
      <c r="H22" s="4">
        <v>45</v>
      </c>
      <c r="I22" s="4">
        <v>0</v>
      </c>
      <c r="J22" s="4">
        <v>17</v>
      </c>
      <c r="K22" s="4">
        <v>0</v>
      </c>
      <c r="L22" s="4">
        <v>37</v>
      </c>
      <c r="M22" s="4">
        <v>27</v>
      </c>
    </row>
    <row r="23" spans="1:13" x14ac:dyDescent="0.2">
      <c r="A23" s="5">
        <v>20</v>
      </c>
      <c r="B23" s="4">
        <v>86</v>
      </c>
      <c r="C23" s="4">
        <v>84</v>
      </c>
      <c r="D23" s="4">
        <v>19</v>
      </c>
      <c r="E23" s="4">
        <v>40</v>
      </c>
      <c r="F23" s="4">
        <v>30</v>
      </c>
      <c r="G23" s="4">
        <v>40</v>
      </c>
      <c r="H23" s="4">
        <v>10</v>
      </c>
      <c r="I23" s="4">
        <v>0</v>
      </c>
      <c r="J23" s="4">
        <v>24</v>
      </c>
      <c r="K23" s="4">
        <v>0</v>
      </c>
      <c r="L23" s="4">
        <v>37</v>
      </c>
      <c r="M23" s="4">
        <v>27</v>
      </c>
    </row>
    <row r="24" spans="1:13" x14ac:dyDescent="0.2">
      <c r="A24" s="5">
        <v>21</v>
      </c>
      <c r="B24" s="4">
        <v>86</v>
      </c>
      <c r="C24" s="4">
        <v>86</v>
      </c>
      <c r="D24" s="4">
        <v>19</v>
      </c>
      <c r="E24" s="4">
        <v>42</v>
      </c>
      <c r="F24" s="4">
        <v>30</v>
      </c>
      <c r="G24" s="4">
        <v>50</v>
      </c>
      <c r="H24" s="4">
        <v>0</v>
      </c>
      <c r="I24" s="4">
        <v>0</v>
      </c>
      <c r="J24" s="4">
        <v>0</v>
      </c>
      <c r="K24" s="4">
        <v>0</v>
      </c>
      <c r="L24" s="4">
        <v>37</v>
      </c>
      <c r="M24" s="4">
        <v>27</v>
      </c>
    </row>
    <row r="25" spans="1:13" x14ac:dyDescent="0.2">
      <c r="A25" s="5">
        <v>22</v>
      </c>
      <c r="B25" s="4">
        <v>85</v>
      </c>
      <c r="C25" s="4">
        <v>104</v>
      </c>
      <c r="D25" s="4">
        <v>19</v>
      </c>
      <c r="E25" s="4">
        <v>30</v>
      </c>
      <c r="F25" s="4">
        <v>30</v>
      </c>
      <c r="G25" s="4">
        <v>20</v>
      </c>
      <c r="H25" s="4">
        <v>0</v>
      </c>
      <c r="I25" s="4">
        <v>12</v>
      </c>
      <c r="J25" s="4">
        <v>15</v>
      </c>
      <c r="K25" s="4">
        <v>0</v>
      </c>
      <c r="L25" s="4">
        <v>31</v>
      </c>
      <c r="M25" s="4">
        <v>27</v>
      </c>
    </row>
    <row r="26" spans="1:13" x14ac:dyDescent="0.2">
      <c r="A26" s="5">
        <v>23</v>
      </c>
      <c r="B26" s="4">
        <v>85</v>
      </c>
      <c r="C26" s="4">
        <v>114</v>
      </c>
      <c r="D26" s="4">
        <v>7</v>
      </c>
      <c r="E26" s="4">
        <v>30</v>
      </c>
      <c r="F26" s="4">
        <v>30</v>
      </c>
      <c r="G26" s="4">
        <v>1</v>
      </c>
      <c r="H26" s="4">
        <v>0</v>
      </c>
      <c r="I26" s="4">
        <v>10</v>
      </c>
      <c r="J26" s="4">
        <v>23</v>
      </c>
      <c r="K26" s="4">
        <v>0</v>
      </c>
      <c r="L26" s="4">
        <v>27</v>
      </c>
      <c r="M26" s="4">
        <v>27</v>
      </c>
    </row>
    <row r="27" spans="1:13" x14ac:dyDescent="0.2">
      <c r="A27" s="5">
        <v>24</v>
      </c>
      <c r="B27" s="4">
        <v>85</v>
      </c>
      <c r="C27" s="4">
        <v>138</v>
      </c>
      <c r="D27" s="4">
        <v>0</v>
      </c>
      <c r="E27" s="4">
        <v>30</v>
      </c>
      <c r="F27" s="4">
        <v>30</v>
      </c>
      <c r="G27" s="4">
        <v>0</v>
      </c>
      <c r="H27" s="4">
        <v>22</v>
      </c>
      <c r="I27" s="4">
        <v>6</v>
      </c>
      <c r="J27" s="4">
        <v>0</v>
      </c>
      <c r="K27" s="4">
        <v>0</v>
      </c>
      <c r="L27" s="4">
        <v>27</v>
      </c>
      <c r="M27" s="4">
        <v>27</v>
      </c>
    </row>
    <row r="28" spans="1:13" x14ac:dyDescent="0.2">
      <c r="A28" s="5">
        <v>25</v>
      </c>
      <c r="B28" s="4">
        <v>84</v>
      </c>
      <c r="C28" s="4">
        <v>271</v>
      </c>
      <c r="D28" s="4">
        <v>0</v>
      </c>
      <c r="E28" s="4">
        <v>30</v>
      </c>
      <c r="F28" s="4">
        <v>30</v>
      </c>
      <c r="G28" s="4">
        <v>0</v>
      </c>
      <c r="H28" s="4">
        <v>53</v>
      </c>
      <c r="I28" s="4">
        <v>0</v>
      </c>
      <c r="J28" s="4">
        <v>12</v>
      </c>
      <c r="K28" s="4">
        <v>0</v>
      </c>
      <c r="L28" s="4">
        <v>27</v>
      </c>
      <c r="M28" s="4">
        <v>27</v>
      </c>
    </row>
    <row r="29" spans="1:13" x14ac:dyDescent="0.2">
      <c r="A29" s="5">
        <v>26</v>
      </c>
      <c r="B29" s="4">
        <v>84</v>
      </c>
      <c r="C29" s="4">
        <v>263</v>
      </c>
      <c r="D29" s="4">
        <v>0</v>
      </c>
      <c r="E29" s="4">
        <v>30</v>
      </c>
      <c r="F29" s="4">
        <v>51</v>
      </c>
      <c r="G29" s="4">
        <v>0</v>
      </c>
      <c r="H29" s="4">
        <v>39</v>
      </c>
      <c r="I29" s="4">
        <v>0</v>
      </c>
      <c r="J29" s="4">
        <v>34</v>
      </c>
      <c r="K29" s="4">
        <v>0</v>
      </c>
      <c r="L29" s="4">
        <v>27</v>
      </c>
      <c r="M29" s="4">
        <v>27</v>
      </c>
    </row>
    <row r="30" spans="1:13" x14ac:dyDescent="0.2">
      <c r="A30" s="5">
        <v>27</v>
      </c>
      <c r="B30" s="4">
        <v>77</v>
      </c>
      <c r="C30" s="4">
        <v>222</v>
      </c>
      <c r="D30" s="4">
        <v>0</v>
      </c>
      <c r="E30" s="4">
        <v>30</v>
      </c>
      <c r="F30" s="4">
        <v>48</v>
      </c>
      <c r="G30" s="4">
        <v>0</v>
      </c>
      <c r="H30" s="4">
        <v>4</v>
      </c>
      <c r="I30" s="4">
        <v>0</v>
      </c>
      <c r="J30" s="4">
        <v>23</v>
      </c>
      <c r="K30" s="4">
        <v>0</v>
      </c>
      <c r="L30" s="4">
        <v>27</v>
      </c>
      <c r="M30" s="4">
        <v>27</v>
      </c>
    </row>
    <row r="31" spans="1:13" x14ac:dyDescent="0.2">
      <c r="A31" s="5">
        <v>28</v>
      </c>
      <c r="B31" s="4">
        <v>53</v>
      </c>
      <c r="C31" s="4">
        <v>269</v>
      </c>
      <c r="D31" s="4">
        <v>0</v>
      </c>
      <c r="E31" s="4">
        <v>30</v>
      </c>
      <c r="F31" s="4">
        <v>30</v>
      </c>
      <c r="G31" s="4">
        <v>6</v>
      </c>
      <c r="H31" s="4">
        <v>0</v>
      </c>
      <c r="I31" s="4">
        <v>0</v>
      </c>
      <c r="J31" s="4">
        <v>42</v>
      </c>
      <c r="K31" s="4">
        <v>0</v>
      </c>
      <c r="L31" s="4">
        <v>27</v>
      </c>
      <c r="M31" s="4">
        <v>27</v>
      </c>
    </row>
    <row r="32" spans="1:13" x14ac:dyDescent="0.2">
      <c r="A32" s="5">
        <v>29</v>
      </c>
      <c r="B32" s="4">
        <v>46</v>
      </c>
      <c r="C32" s="7" t="s">
        <v>0</v>
      </c>
      <c r="D32" s="4">
        <v>0</v>
      </c>
      <c r="E32" s="4">
        <v>36</v>
      </c>
      <c r="F32" s="4">
        <v>30</v>
      </c>
      <c r="G32" s="4">
        <v>0</v>
      </c>
      <c r="H32" s="4">
        <v>0</v>
      </c>
      <c r="I32" s="4">
        <v>0</v>
      </c>
      <c r="J32" s="4">
        <v>53</v>
      </c>
      <c r="K32" s="4">
        <v>0</v>
      </c>
      <c r="L32" s="4">
        <v>27</v>
      </c>
      <c r="M32" s="4">
        <v>27</v>
      </c>
    </row>
    <row r="33" spans="1:14" x14ac:dyDescent="0.2">
      <c r="A33" s="5">
        <v>30</v>
      </c>
      <c r="B33" s="4">
        <v>46</v>
      </c>
      <c r="C33" s="7" t="s">
        <v>0</v>
      </c>
      <c r="D33" s="4">
        <v>4</v>
      </c>
      <c r="E33" s="4">
        <v>30</v>
      </c>
      <c r="F33" s="4">
        <v>55</v>
      </c>
      <c r="G33" s="4">
        <v>0</v>
      </c>
      <c r="H33" s="4">
        <v>0</v>
      </c>
      <c r="I33" s="4">
        <v>35</v>
      </c>
      <c r="J33" s="4">
        <v>63</v>
      </c>
      <c r="K33" s="4">
        <v>0</v>
      </c>
      <c r="L33" s="4">
        <v>27</v>
      </c>
      <c r="M33" s="4">
        <v>27</v>
      </c>
    </row>
    <row r="34" spans="1:14" x14ac:dyDescent="0.2">
      <c r="A34" s="5">
        <v>31</v>
      </c>
      <c r="B34" s="4">
        <v>46</v>
      </c>
      <c r="C34" s="7" t="s">
        <v>0</v>
      </c>
      <c r="D34" s="4">
        <v>15</v>
      </c>
      <c r="E34" s="7" t="s">
        <v>0</v>
      </c>
      <c r="F34" s="4">
        <v>69</v>
      </c>
      <c r="G34" s="7" t="s">
        <v>0</v>
      </c>
      <c r="H34" s="4">
        <v>0</v>
      </c>
      <c r="I34" s="4">
        <v>0</v>
      </c>
      <c r="J34" s="7" t="s">
        <v>0</v>
      </c>
      <c r="K34" s="4">
        <v>0</v>
      </c>
      <c r="L34" s="7" t="s">
        <v>0</v>
      </c>
      <c r="M34" s="4">
        <v>27</v>
      </c>
    </row>
    <row r="36" spans="1:14" x14ac:dyDescent="0.2">
      <c r="A36" s="7" t="s">
        <v>4</v>
      </c>
      <c r="B36" s="2">
        <f>SUM(B4:B35)</f>
        <v>1706</v>
      </c>
      <c r="C36" s="2">
        <f>SUM(C4:C35)</f>
        <v>3199</v>
      </c>
      <c r="D36" s="2">
        <f>SUM(D4:D35)</f>
        <v>2826</v>
      </c>
      <c r="E36" s="2">
        <f>SUM(E4:E35)</f>
        <v>575</v>
      </c>
      <c r="F36" s="2">
        <f>SUM(F4:F35)</f>
        <v>1033</v>
      </c>
      <c r="G36" s="2">
        <f>SUM(G4:G35)</f>
        <v>305</v>
      </c>
      <c r="H36" s="2">
        <f>SUM(H4:H35)</f>
        <v>233</v>
      </c>
      <c r="I36" s="2">
        <f>SUM(I4:I35)</f>
        <v>460</v>
      </c>
      <c r="J36" s="2">
        <f>SUM(J4:J35)</f>
        <v>381</v>
      </c>
      <c r="K36" s="2">
        <f>SUM(K4:K35)</f>
        <v>1083</v>
      </c>
      <c r="L36" s="2">
        <f>SUM(L4:L35)</f>
        <v>421</v>
      </c>
      <c r="M36" s="2">
        <f>SUM(M4:M35)</f>
        <v>877</v>
      </c>
      <c r="N36" s="2"/>
    </row>
    <row r="37" spans="1:14" x14ac:dyDescent="0.2">
      <c r="A37" s="7" t="s">
        <v>3</v>
      </c>
      <c r="B37" s="2">
        <f>B36*1.98</f>
        <v>3377.88</v>
      </c>
      <c r="C37" s="2">
        <f>C36*1.98</f>
        <v>6334.0199999999995</v>
      </c>
      <c r="D37" s="2">
        <f>D36*1.98</f>
        <v>5595.48</v>
      </c>
      <c r="E37" s="2">
        <f>E36*1.98</f>
        <v>1138.5</v>
      </c>
      <c r="F37" s="2">
        <f>F36*1.98</f>
        <v>2045.34</v>
      </c>
      <c r="G37" s="2">
        <f>G36*1.98</f>
        <v>603.9</v>
      </c>
      <c r="H37" s="2">
        <f>H36*1.98</f>
        <v>461.34</v>
      </c>
      <c r="I37" s="2">
        <f>I36*1.98</f>
        <v>910.8</v>
      </c>
      <c r="J37" s="2">
        <f>J36*1.98</f>
        <v>754.38</v>
      </c>
      <c r="K37" s="2">
        <f>K36*1.98</f>
        <v>2144.34</v>
      </c>
      <c r="L37" s="2">
        <f>L36*1.98</f>
        <v>833.58</v>
      </c>
      <c r="M37" s="2">
        <f>M36*1.98</f>
        <v>1736.46</v>
      </c>
      <c r="N37" s="2"/>
    </row>
    <row r="38" spans="1:14" x14ac:dyDescent="0.2">
      <c r="A38" s="7" t="s">
        <v>2</v>
      </c>
      <c r="B38" s="2">
        <f>+B37</f>
        <v>3377.88</v>
      </c>
      <c r="C38" s="2">
        <f>+B38+C37</f>
        <v>9711.9</v>
      </c>
      <c r="D38" s="2">
        <f>+C38+D37</f>
        <v>15307.38</v>
      </c>
      <c r="E38" s="2">
        <f>+D38+E37</f>
        <v>16445.879999999997</v>
      </c>
      <c r="F38" s="2">
        <f>+E38+F37</f>
        <v>18491.219999999998</v>
      </c>
      <c r="G38" s="2">
        <f>+F38+G37</f>
        <v>19095.12</v>
      </c>
      <c r="H38" s="2">
        <f>+G38+H37</f>
        <v>19556.46</v>
      </c>
      <c r="I38" s="2">
        <f>+H38+I37</f>
        <v>20467.259999999998</v>
      </c>
      <c r="J38" s="2">
        <f>+I38+J37</f>
        <v>21221.64</v>
      </c>
      <c r="K38" s="2">
        <f>+J38+K37</f>
        <v>23365.98</v>
      </c>
      <c r="L38" s="2">
        <f>+K38+L37</f>
        <v>24199.56</v>
      </c>
      <c r="M38" s="2">
        <f>+L38+M37</f>
        <v>25936.02</v>
      </c>
      <c r="N38" s="2"/>
    </row>
    <row r="39" spans="1:14" x14ac:dyDescent="0.2">
      <c r="B39" s="2" t="s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89</v>
      </c>
      <c r="B40" s="2">
        <v>1594</v>
      </c>
      <c r="C40" s="2">
        <v>3813</v>
      </c>
      <c r="D40" s="2">
        <v>3586</v>
      </c>
      <c r="E40" s="2">
        <v>420</v>
      </c>
      <c r="F40" s="2">
        <v>879</v>
      </c>
      <c r="G40" s="2">
        <v>255</v>
      </c>
      <c r="H40" s="2">
        <v>362</v>
      </c>
      <c r="I40" s="2">
        <v>838</v>
      </c>
      <c r="J40" s="2">
        <v>4136</v>
      </c>
      <c r="K40" s="2">
        <v>2600</v>
      </c>
      <c r="L40" s="2">
        <v>2020</v>
      </c>
      <c r="M40" s="2">
        <v>1901</v>
      </c>
      <c r="N40" s="2">
        <f>SUM(B40:M40)</f>
        <v>22404</v>
      </c>
    </row>
    <row r="41" spans="1:14" x14ac:dyDescent="0.2">
      <c r="A41">
        <v>90</v>
      </c>
      <c r="B41" s="2">
        <v>3039</v>
      </c>
      <c r="C41" s="2">
        <v>2344</v>
      </c>
      <c r="D41" s="2">
        <v>1679</v>
      </c>
      <c r="E41" s="2">
        <v>1295</v>
      </c>
      <c r="F41" s="2">
        <v>281</v>
      </c>
      <c r="G41" s="2">
        <v>717</v>
      </c>
      <c r="H41" s="2">
        <v>1439</v>
      </c>
      <c r="I41" s="2">
        <v>1228</v>
      </c>
      <c r="J41" s="2">
        <v>2358</v>
      </c>
      <c r="K41" s="2">
        <v>4556</v>
      </c>
      <c r="L41" s="2">
        <v>178</v>
      </c>
      <c r="M41" s="2">
        <v>2608</v>
      </c>
      <c r="N41" s="2">
        <f>SUM(B41:M41)</f>
        <v>21722</v>
      </c>
    </row>
    <row r="42" spans="1:14" x14ac:dyDescent="0.2">
      <c r="A42">
        <v>91</v>
      </c>
      <c r="B42" s="2">
        <v>1566</v>
      </c>
      <c r="C42" s="2">
        <v>1608</v>
      </c>
      <c r="D42" s="2">
        <v>289</v>
      </c>
      <c r="E42" s="2">
        <v>0</v>
      </c>
      <c r="F42" s="2">
        <v>1253</v>
      </c>
      <c r="G42" s="2">
        <v>905</v>
      </c>
      <c r="H42" s="2">
        <v>174</v>
      </c>
      <c r="I42" s="2">
        <v>34</v>
      </c>
      <c r="J42" s="2">
        <v>960</v>
      </c>
      <c r="K42" s="2">
        <v>1857</v>
      </c>
      <c r="L42" s="2">
        <v>1736</v>
      </c>
      <c r="M42" s="2">
        <v>1436</v>
      </c>
      <c r="N42" s="2">
        <f>SUM(B42:M42)</f>
        <v>11818</v>
      </c>
    </row>
    <row r="43" spans="1:14" x14ac:dyDescent="0.2">
      <c r="A43">
        <v>92</v>
      </c>
      <c r="B43" s="2">
        <v>1536</v>
      </c>
      <c r="C43" s="2">
        <v>1279</v>
      </c>
      <c r="D43" s="2">
        <v>507</v>
      </c>
      <c r="E43" s="2">
        <v>0</v>
      </c>
      <c r="F43" s="2">
        <v>784</v>
      </c>
      <c r="G43" s="2">
        <v>248</v>
      </c>
      <c r="H43" s="2">
        <v>18</v>
      </c>
      <c r="I43" s="2">
        <v>16</v>
      </c>
      <c r="J43" s="2">
        <v>3338</v>
      </c>
      <c r="K43" s="2">
        <v>3534</v>
      </c>
      <c r="L43" s="2">
        <v>1536</v>
      </c>
      <c r="M43" s="2">
        <v>1857</v>
      </c>
      <c r="N43" s="2">
        <f>SUM(B43:M43)</f>
        <v>14653</v>
      </c>
    </row>
    <row r="44" spans="1:14" x14ac:dyDescent="0.2">
      <c r="A44">
        <v>93</v>
      </c>
      <c r="B44" s="2">
        <v>1879</v>
      </c>
      <c r="C44" s="2">
        <v>3861</v>
      </c>
      <c r="D44" s="2">
        <v>8928</v>
      </c>
      <c r="E44" s="2">
        <v>2950</v>
      </c>
      <c r="F44" s="2">
        <v>3132</v>
      </c>
      <c r="G44" s="2">
        <v>743</v>
      </c>
      <c r="H44" s="2">
        <v>713</v>
      </c>
      <c r="I44" s="2">
        <v>507</v>
      </c>
      <c r="J44" s="2">
        <v>2192</v>
      </c>
      <c r="K44" s="2">
        <v>1618</v>
      </c>
      <c r="L44" s="2">
        <v>935</v>
      </c>
      <c r="M44" s="2">
        <v>1505</v>
      </c>
      <c r="N44" s="2">
        <f>SUM(B44:M44)</f>
        <v>28963</v>
      </c>
    </row>
    <row r="45" spans="1:14" x14ac:dyDescent="0.2">
      <c r="A45">
        <v>94</v>
      </c>
      <c r="B45" s="2">
        <v>1253</v>
      </c>
      <c r="C45" s="2">
        <v>921</v>
      </c>
      <c r="D45" s="2">
        <v>267</v>
      </c>
      <c r="E45" s="2">
        <v>3113</v>
      </c>
      <c r="F45" s="2">
        <v>3243</v>
      </c>
      <c r="G45" s="2">
        <v>546</v>
      </c>
      <c r="H45" s="2">
        <v>404</v>
      </c>
      <c r="I45" s="2">
        <v>141</v>
      </c>
      <c r="J45" s="2">
        <v>1447</v>
      </c>
      <c r="K45" s="2">
        <v>1984</v>
      </c>
      <c r="L45" s="2">
        <v>1325</v>
      </c>
      <c r="M45" s="2">
        <v>1600</v>
      </c>
      <c r="N45" s="2">
        <f>SUM(B45:M45)</f>
        <v>16244</v>
      </c>
    </row>
    <row r="46" spans="1:14" x14ac:dyDescent="0.2">
      <c r="A46">
        <v>95</v>
      </c>
      <c r="B46" s="2">
        <v>6235</v>
      </c>
      <c r="C46" s="2">
        <v>3572</v>
      </c>
      <c r="D46" s="2">
        <v>2404</v>
      </c>
      <c r="E46" s="2">
        <v>1788</v>
      </c>
      <c r="F46" s="2">
        <v>1893</v>
      </c>
      <c r="G46" s="2">
        <v>616</v>
      </c>
      <c r="H46" s="2">
        <v>600</v>
      </c>
      <c r="I46" s="2">
        <v>158</v>
      </c>
      <c r="J46" s="2">
        <v>1178</v>
      </c>
      <c r="K46" s="2">
        <v>2429</v>
      </c>
      <c r="L46" s="2">
        <v>1093</v>
      </c>
      <c r="M46" s="2">
        <v>3039</v>
      </c>
      <c r="N46" s="2">
        <f>SUM(B46:M46)</f>
        <v>25005</v>
      </c>
    </row>
    <row r="47" spans="1:14" x14ac:dyDescent="0.2">
      <c r="A47">
        <v>96</v>
      </c>
      <c r="B47" s="2">
        <v>3647</v>
      </c>
      <c r="C47" s="2">
        <v>14125</v>
      </c>
      <c r="D47" s="2">
        <v>3051</v>
      </c>
      <c r="E47" s="2">
        <v>2873</v>
      </c>
      <c r="F47" s="2">
        <v>3233</v>
      </c>
      <c r="G47" s="2">
        <v>756</v>
      </c>
      <c r="H47" s="2">
        <v>386</v>
      </c>
      <c r="I47" s="2">
        <v>265</v>
      </c>
      <c r="J47" s="2">
        <v>378</v>
      </c>
      <c r="K47" s="2">
        <v>1867</v>
      </c>
      <c r="L47" s="2">
        <v>1697</v>
      </c>
      <c r="M47" s="2">
        <v>3612</v>
      </c>
      <c r="N47" s="2">
        <f>SUM(B47:M47)</f>
        <v>35890</v>
      </c>
    </row>
    <row r="48" spans="1:14" x14ac:dyDescent="0.2">
      <c r="A48">
        <v>97</v>
      </c>
      <c r="B48" s="3">
        <v>11302</v>
      </c>
      <c r="C48" s="3">
        <v>4360</v>
      </c>
      <c r="D48" s="3">
        <v>1689</v>
      </c>
      <c r="E48" s="3">
        <v>3722</v>
      </c>
      <c r="F48" s="3">
        <v>2740</v>
      </c>
      <c r="G48" s="3">
        <v>432</v>
      </c>
      <c r="H48" s="3">
        <v>774</v>
      </c>
      <c r="I48" s="3">
        <v>107</v>
      </c>
      <c r="J48" s="3">
        <v>2469</v>
      </c>
      <c r="K48" s="3">
        <v>3057</v>
      </c>
      <c r="L48" s="3">
        <v>1818</v>
      </c>
      <c r="M48" s="3">
        <v>1964</v>
      </c>
      <c r="N48" s="2">
        <f>SUM(B48:M48)</f>
        <v>34434</v>
      </c>
    </row>
    <row r="49" spans="1:14" x14ac:dyDescent="0.2">
      <c r="A49">
        <v>98</v>
      </c>
      <c r="B49" s="3">
        <v>5162</v>
      </c>
      <c r="C49" s="3">
        <v>3612</v>
      </c>
      <c r="D49" s="3">
        <v>1675</v>
      </c>
      <c r="E49" s="3">
        <v>1679</v>
      </c>
      <c r="F49" s="3">
        <v>4998</v>
      </c>
      <c r="G49" s="3">
        <v>929</v>
      </c>
      <c r="H49" s="3">
        <v>1667</v>
      </c>
      <c r="I49" s="3">
        <v>257</v>
      </c>
      <c r="J49" s="3">
        <v>1394</v>
      </c>
      <c r="K49" s="3">
        <v>4263</v>
      </c>
      <c r="L49" s="3">
        <v>3091</v>
      </c>
      <c r="M49" s="3">
        <v>4722</v>
      </c>
      <c r="N49" s="2">
        <f>SUM(B49:M49)</f>
        <v>33449</v>
      </c>
    </row>
    <row r="51" spans="1:14" x14ac:dyDescent="0.2">
      <c r="A51" s="7" t="s">
        <v>1</v>
      </c>
      <c r="B51" s="1">
        <f>AVERAGE(B40:B49)</f>
        <v>3721.3</v>
      </c>
      <c r="C51" s="1">
        <f>AVERAGE(C40:C49)</f>
        <v>3949.5</v>
      </c>
      <c r="D51" s="1">
        <f>AVERAGE(D40:D49)</f>
        <v>2407.5</v>
      </c>
      <c r="E51" s="1">
        <f>AVERAGE(E40:E49)</f>
        <v>1784</v>
      </c>
      <c r="F51" s="1">
        <f>AVERAGE(F40:F49)</f>
        <v>2243.6</v>
      </c>
      <c r="G51" s="1">
        <f>AVERAGE(G40:G49)</f>
        <v>614.70000000000005</v>
      </c>
      <c r="H51" s="1">
        <f>AVERAGE(H40:H49)</f>
        <v>653.70000000000005</v>
      </c>
      <c r="I51" s="1">
        <f>AVERAGE(I40:I49)</f>
        <v>355.1</v>
      </c>
      <c r="J51" s="1">
        <f>AVERAGE(J40:J49)</f>
        <v>1985</v>
      </c>
      <c r="K51" s="1">
        <f>AVERAGE(K40:K49)</f>
        <v>2776.5</v>
      </c>
      <c r="L51" s="1">
        <f>AVERAGE(L40:L49)</f>
        <v>1542.9</v>
      </c>
      <c r="M51" s="1">
        <f>AVERAGE(M40:M49)</f>
        <v>2424.4</v>
      </c>
    </row>
    <row r="52" spans="1:14" x14ac:dyDescent="0.2">
      <c r="B52" s="1">
        <f>+B51</f>
        <v>3721.3</v>
      </c>
      <c r="C52" s="1">
        <f>+B52+C51</f>
        <v>7670.8</v>
      </c>
      <c r="D52" s="1">
        <f>+C52+D51</f>
        <v>10078.299999999999</v>
      </c>
      <c r="E52" s="1">
        <f>+D52+E51</f>
        <v>11862.3</v>
      </c>
      <c r="F52" s="1">
        <f>+E52+F51</f>
        <v>14105.9</v>
      </c>
      <c r="G52" s="1">
        <f>+F52+G51</f>
        <v>14720.6</v>
      </c>
      <c r="H52" s="1">
        <f>+G52+H51</f>
        <v>15374.300000000001</v>
      </c>
      <c r="I52" s="1">
        <f>+H52+I51</f>
        <v>15729.400000000001</v>
      </c>
      <c r="J52" s="1">
        <f>+I52+J51</f>
        <v>17714.400000000001</v>
      </c>
      <c r="K52" s="1">
        <f>+J52+K51</f>
        <v>20490.900000000001</v>
      </c>
      <c r="L52" s="1">
        <f>+K52+L51</f>
        <v>22033.800000000003</v>
      </c>
      <c r="M52" s="1">
        <f>+L52+M51</f>
        <v>24458.200000000004</v>
      </c>
      <c r="N52" s="1">
        <f>AVERAGE(N40:N49)</f>
        <v>24458.2</v>
      </c>
    </row>
  </sheetData>
  <sheetProtection sheet="1" objects="1" scenarios="1"/>
  <pageMargins left="0.13" right="0.12" top="1" bottom="1" header="0.5" footer="0.5"/>
  <pageSetup scale="76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xSplit="1" ySplit="3" topLeftCell="B4" activePane="bottomRight" state="frozen"/>
      <selection activeCell="N52" sqref="N52"/>
      <selection pane="topRight" activeCell="N52" sqref="N52"/>
      <selection pane="bottomLeft" activeCell="N52" sqref="N52"/>
      <selection pane="bottomRight" activeCell="N52" sqref="N52"/>
    </sheetView>
  </sheetViews>
  <sheetFormatPr defaultRowHeight="12.75" x14ac:dyDescent="0.2"/>
  <cols>
    <col min="1" max="1" width="11.140625" customWidth="1"/>
    <col min="2" max="14" width="9.7109375" customWidth="1"/>
  </cols>
  <sheetData>
    <row r="1" spans="1:13" x14ac:dyDescent="0.2">
      <c r="A1" s="7" t="s">
        <v>24</v>
      </c>
      <c r="K1" s="7" t="s">
        <v>24</v>
      </c>
    </row>
    <row r="3" spans="1:13" x14ac:dyDescent="0.2">
      <c r="A3" s="11" t="s">
        <v>17</v>
      </c>
      <c r="B3" s="11" t="s">
        <v>16</v>
      </c>
      <c r="C3" s="11" t="s">
        <v>15</v>
      </c>
      <c r="D3" s="11" t="s">
        <v>14</v>
      </c>
      <c r="E3" s="11" t="s">
        <v>13</v>
      </c>
      <c r="F3" s="11" t="s">
        <v>12</v>
      </c>
      <c r="G3" s="11" t="s">
        <v>11</v>
      </c>
      <c r="H3" s="11" t="s">
        <v>10</v>
      </c>
      <c r="I3" s="11" t="s">
        <v>9</v>
      </c>
      <c r="J3" s="11" t="s">
        <v>8</v>
      </c>
      <c r="K3" s="11" t="s">
        <v>7</v>
      </c>
      <c r="L3" s="11" t="s">
        <v>6</v>
      </c>
      <c r="M3" s="11" t="s">
        <v>5</v>
      </c>
    </row>
    <row r="4" spans="1:13" x14ac:dyDescent="0.2">
      <c r="A4" s="5">
        <v>1</v>
      </c>
      <c r="B4" s="15">
        <v>72</v>
      </c>
      <c r="C4" s="15">
        <v>25.6</v>
      </c>
      <c r="D4" s="15">
        <v>96</v>
      </c>
      <c r="E4" s="15">
        <v>0</v>
      </c>
      <c r="F4" s="15">
        <v>24</v>
      </c>
      <c r="G4" s="15">
        <v>47.2</v>
      </c>
      <c r="H4" s="15">
        <v>24</v>
      </c>
      <c r="I4" s="15">
        <v>24</v>
      </c>
      <c r="J4" s="15">
        <v>72</v>
      </c>
      <c r="K4" s="15">
        <v>48</v>
      </c>
      <c r="L4" s="15">
        <v>61.5</v>
      </c>
      <c r="M4" s="15">
        <v>48</v>
      </c>
    </row>
    <row r="5" spans="1:13" x14ac:dyDescent="0.2">
      <c r="A5" s="5">
        <v>2</v>
      </c>
      <c r="B5" s="15">
        <v>72</v>
      </c>
      <c r="C5" s="15">
        <v>48</v>
      </c>
      <c r="D5" s="15">
        <v>96</v>
      </c>
      <c r="E5" s="15">
        <v>0</v>
      </c>
      <c r="F5" s="15">
        <v>24</v>
      </c>
      <c r="G5" s="15">
        <v>48</v>
      </c>
      <c r="H5" s="15">
        <v>24</v>
      </c>
      <c r="I5" s="15">
        <v>24</v>
      </c>
      <c r="J5" s="15">
        <v>72</v>
      </c>
      <c r="K5" s="15">
        <v>48</v>
      </c>
      <c r="L5" s="15">
        <v>72</v>
      </c>
      <c r="M5" s="15">
        <v>45.9</v>
      </c>
    </row>
    <row r="6" spans="1:13" x14ac:dyDescent="0.2">
      <c r="A6" s="5">
        <v>3</v>
      </c>
      <c r="B6" s="15">
        <v>72</v>
      </c>
      <c r="C6" s="15">
        <v>48</v>
      </c>
      <c r="D6" s="15">
        <v>91.6</v>
      </c>
      <c r="E6" s="15">
        <v>0</v>
      </c>
      <c r="F6" s="15">
        <v>24</v>
      </c>
      <c r="G6" s="15">
        <v>48</v>
      </c>
      <c r="H6" s="15">
        <v>24</v>
      </c>
      <c r="I6" s="15">
        <v>24</v>
      </c>
      <c r="J6" s="15">
        <v>72</v>
      </c>
      <c r="K6" s="15">
        <v>48</v>
      </c>
      <c r="L6" s="15">
        <v>72</v>
      </c>
      <c r="M6" s="15">
        <v>26.6</v>
      </c>
    </row>
    <row r="7" spans="1:13" x14ac:dyDescent="0.2">
      <c r="A7" s="5">
        <v>4</v>
      </c>
      <c r="B7" s="15">
        <v>72</v>
      </c>
      <c r="C7" s="15">
        <v>48</v>
      </c>
      <c r="D7" s="15">
        <v>96</v>
      </c>
      <c r="E7" s="15">
        <v>0</v>
      </c>
      <c r="F7" s="15">
        <v>24</v>
      </c>
      <c r="G7" s="15">
        <v>48</v>
      </c>
      <c r="H7" s="15">
        <v>24</v>
      </c>
      <c r="I7" s="15">
        <v>20.9</v>
      </c>
      <c r="J7" s="15">
        <v>57.7</v>
      </c>
      <c r="K7" s="15">
        <v>48</v>
      </c>
      <c r="L7" s="15">
        <v>72</v>
      </c>
      <c r="M7" s="15">
        <v>0</v>
      </c>
    </row>
    <row r="8" spans="1:13" x14ac:dyDescent="0.2">
      <c r="A8" s="5">
        <v>5</v>
      </c>
      <c r="B8" s="15">
        <v>72</v>
      </c>
      <c r="C8" s="15">
        <v>48</v>
      </c>
      <c r="D8" s="15">
        <v>96</v>
      </c>
      <c r="E8" s="15">
        <v>0</v>
      </c>
      <c r="F8" s="15">
        <v>32.700000000000003</v>
      </c>
      <c r="G8" s="15">
        <v>48</v>
      </c>
      <c r="H8" s="15">
        <v>24</v>
      </c>
      <c r="I8" s="15">
        <v>17.8</v>
      </c>
      <c r="J8" s="15">
        <v>72</v>
      </c>
      <c r="K8" s="15">
        <v>48</v>
      </c>
      <c r="L8" s="15">
        <v>72</v>
      </c>
      <c r="M8" s="15">
        <v>0</v>
      </c>
    </row>
    <row r="9" spans="1:13" x14ac:dyDescent="0.2">
      <c r="A9" s="5">
        <v>6</v>
      </c>
      <c r="B9" s="15">
        <v>72</v>
      </c>
      <c r="C9" s="15">
        <v>48</v>
      </c>
      <c r="D9" s="15">
        <v>81.5</v>
      </c>
      <c r="E9" s="15">
        <v>14.7</v>
      </c>
      <c r="F9" s="15">
        <v>48</v>
      </c>
      <c r="G9" s="15">
        <v>47.7</v>
      </c>
      <c r="H9" s="15">
        <v>24</v>
      </c>
      <c r="I9" s="15">
        <v>16.5</v>
      </c>
      <c r="J9" s="15">
        <v>72</v>
      </c>
      <c r="K9" s="15">
        <v>62.9</v>
      </c>
      <c r="L9" s="15">
        <v>72</v>
      </c>
      <c r="M9" s="15">
        <v>0</v>
      </c>
    </row>
    <row r="10" spans="1:13" x14ac:dyDescent="0.2">
      <c r="A10" s="5">
        <v>7</v>
      </c>
      <c r="B10" s="15">
        <v>26.4</v>
      </c>
      <c r="C10" s="15">
        <v>48</v>
      </c>
      <c r="D10" s="15">
        <v>62.2</v>
      </c>
      <c r="E10" s="15">
        <v>24</v>
      </c>
      <c r="F10" s="15">
        <v>48</v>
      </c>
      <c r="G10" s="15">
        <v>48</v>
      </c>
      <c r="H10" s="15">
        <v>24</v>
      </c>
      <c r="I10" s="15">
        <v>26</v>
      </c>
      <c r="J10" s="15">
        <v>72</v>
      </c>
      <c r="K10" s="15">
        <v>72</v>
      </c>
      <c r="L10" s="15">
        <v>68.5</v>
      </c>
      <c r="M10" s="15">
        <v>0</v>
      </c>
    </row>
    <row r="11" spans="1:13" x14ac:dyDescent="0.2">
      <c r="A11" s="5">
        <v>8</v>
      </c>
      <c r="B11" s="15">
        <v>0</v>
      </c>
      <c r="C11" s="15">
        <v>48</v>
      </c>
      <c r="D11" s="15">
        <v>96</v>
      </c>
      <c r="E11" s="15">
        <v>24</v>
      </c>
      <c r="F11" s="15">
        <v>48</v>
      </c>
      <c r="G11" s="15">
        <v>48</v>
      </c>
      <c r="H11" s="15">
        <v>24</v>
      </c>
      <c r="I11" s="15">
        <v>48</v>
      </c>
      <c r="J11" s="15">
        <v>72</v>
      </c>
      <c r="K11" s="15">
        <v>72</v>
      </c>
      <c r="L11" s="15">
        <v>71.7</v>
      </c>
      <c r="M11" s="15">
        <v>0</v>
      </c>
    </row>
    <row r="12" spans="1:13" x14ac:dyDescent="0.2">
      <c r="A12" s="5">
        <v>9</v>
      </c>
      <c r="B12" s="15">
        <v>0</v>
      </c>
      <c r="C12" s="15">
        <v>23.9</v>
      </c>
      <c r="D12" s="15">
        <v>96</v>
      </c>
      <c r="E12" s="15">
        <v>24</v>
      </c>
      <c r="F12" s="15">
        <v>48</v>
      </c>
      <c r="G12" s="15">
        <v>48</v>
      </c>
      <c r="H12" s="15">
        <v>24</v>
      </c>
      <c r="I12" s="15">
        <v>48</v>
      </c>
      <c r="J12" s="15">
        <v>72</v>
      </c>
      <c r="K12" s="15">
        <v>72</v>
      </c>
      <c r="L12" s="15">
        <v>72</v>
      </c>
      <c r="M12" s="15">
        <v>0</v>
      </c>
    </row>
    <row r="13" spans="1:13" x14ac:dyDescent="0.2">
      <c r="A13" s="5">
        <v>10</v>
      </c>
      <c r="B13" s="15">
        <v>0</v>
      </c>
      <c r="C13" s="15">
        <v>62.6</v>
      </c>
      <c r="D13" s="15">
        <v>96</v>
      </c>
      <c r="E13" s="15">
        <v>24</v>
      </c>
      <c r="F13" s="15">
        <v>48</v>
      </c>
      <c r="G13" s="15">
        <v>48</v>
      </c>
      <c r="H13" s="15">
        <v>24</v>
      </c>
      <c r="I13" s="15">
        <v>32.6</v>
      </c>
      <c r="J13" s="15">
        <v>72</v>
      </c>
      <c r="K13" s="15">
        <v>38.700000000000003</v>
      </c>
      <c r="L13" s="15">
        <v>72</v>
      </c>
      <c r="M13" s="15">
        <v>0</v>
      </c>
    </row>
    <row r="14" spans="1:13" x14ac:dyDescent="0.2">
      <c r="A14" s="5">
        <v>11</v>
      </c>
      <c r="B14" s="15">
        <v>0</v>
      </c>
      <c r="C14" s="15">
        <v>72</v>
      </c>
      <c r="D14" s="15">
        <v>96</v>
      </c>
      <c r="E14" s="15">
        <v>24</v>
      </c>
      <c r="F14" s="15">
        <v>48</v>
      </c>
      <c r="G14" s="15">
        <v>48</v>
      </c>
      <c r="H14" s="15">
        <v>24</v>
      </c>
      <c r="I14" s="15">
        <v>44.8</v>
      </c>
      <c r="J14" s="15">
        <v>72</v>
      </c>
      <c r="K14" s="15">
        <v>0</v>
      </c>
      <c r="L14" s="15">
        <v>72</v>
      </c>
      <c r="M14" s="15">
        <v>0</v>
      </c>
    </row>
    <row r="15" spans="1:13" x14ac:dyDescent="0.2">
      <c r="A15" s="5">
        <v>12</v>
      </c>
      <c r="B15" s="15">
        <v>0</v>
      </c>
      <c r="C15" s="15">
        <v>72</v>
      </c>
      <c r="D15" s="15">
        <v>88</v>
      </c>
      <c r="E15" s="15">
        <v>24</v>
      </c>
      <c r="F15" s="15">
        <v>71.2</v>
      </c>
      <c r="G15" s="15">
        <v>48</v>
      </c>
      <c r="H15" s="15">
        <v>24</v>
      </c>
      <c r="I15" s="15">
        <v>72</v>
      </c>
      <c r="J15" s="15">
        <v>72</v>
      </c>
      <c r="K15" s="15">
        <v>0</v>
      </c>
      <c r="L15" s="15">
        <v>72</v>
      </c>
      <c r="M15" s="15">
        <v>0</v>
      </c>
    </row>
    <row r="16" spans="1:13" x14ac:dyDescent="0.2">
      <c r="A16" s="5">
        <v>13</v>
      </c>
      <c r="B16" s="15">
        <v>0</v>
      </c>
      <c r="C16" s="15">
        <v>72</v>
      </c>
      <c r="D16" s="15">
        <v>72</v>
      </c>
      <c r="E16" s="15">
        <v>24</v>
      </c>
      <c r="F16" s="15">
        <v>72</v>
      </c>
      <c r="G16" s="15">
        <v>48</v>
      </c>
      <c r="H16" s="15">
        <v>24</v>
      </c>
      <c r="I16" s="15">
        <v>64</v>
      </c>
      <c r="J16" s="15">
        <v>72</v>
      </c>
      <c r="K16" s="15">
        <v>0</v>
      </c>
      <c r="L16" s="15">
        <v>72</v>
      </c>
      <c r="M16" s="15">
        <v>29.1</v>
      </c>
    </row>
    <row r="17" spans="1:13" x14ac:dyDescent="0.2">
      <c r="A17" s="5">
        <v>14</v>
      </c>
      <c r="B17" s="15">
        <v>0</v>
      </c>
      <c r="C17" s="15">
        <v>72</v>
      </c>
      <c r="D17" s="15">
        <v>72</v>
      </c>
      <c r="E17" s="15">
        <v>39.1</v>
      </c>
      <c r="F17" s="15">
        <v>72</v>
      </c>
      <c r="G17" s="15">
        <v>48</v>
      </c>
      <c r="H17" s="15">
        <v>24</v>
      </c>
      <c r="I17" s="15">
        <v>72</v>
      </c>
      <c r="J17" s="15">
        <v>72</v>
      </c>
      <c r="K17" s="15">
        <v>0</v>
      </c>
      <c r="L17" s="15">
        <v>72</v>
      </c>
      <c r="M17" s="15">
        <v>48</v>
      </c>
    </row>
    <row r="18" spans="1:13" x14ac:dyDescent="0.2">
      <c r="A18" s="5">
        <v>15</v>
      </c>
      <c r="B18" s="15">
        <v>0</v>
      </c>
      <c r="C18" s="15">
        <v>72</v>
      </c>
      <c r="D18" s="15">
        <v>59</v>
      </c>
      <c r="E18" s="15">
        <v>48</v>
      </c>
      <c r="F18" s="15">
        <v>72</v>
      </c>
      <c r="G18" s="15">
        <v>48</v>
      </c>
      <c r="H18" s="15">
        <v>24</v>
      </c>
      <c r="I18" s="15">
        <v>72</v>
      </c>
      <c r="J18" s="15">
        <v>72</v>
      </c>
      <c r="K18" s="15">
        <v>44.7</v>
      </c>
      <c r="L18" s="15">
        <v>71.599999999999994</v>
      </c>
      <c r="M18" s="15">
        <v>47.5</v>
      </c>
    </row>
    <row r="19" spans="1:13" x14ac:dyDescent="0.2">
      <c r="A19" s="5">
        <v>16</v>
      </c>
      <c r="B19" s="15">
        <v>0</v>
      </c>
      <c r="C19" s="15">
        <v>72</v>
      </c>
      <c r="D19" s="15">
        <v>48</v>
      </c>
      <c r="E19" s="15">
        <v>48</v>
      </c>
      <c r="F19" s="15">
        <v>72</v>
      </c>
      <c r="G19" s="15">
        <v>48</v>
      </c>
      <c r="H19" s="15">
        <v>24</v>
      </c>
      <c r="I19" s="15">
        <v>72</v>
      </c>
      <c r="J19" s="15">
        <v>72</v>
      </c>
      <c r="K19" s="15">
        <v>72</v>
      </c>
      <c r="L19" s="15">
        <v>72</v>
      </c>
      <c r="M19" s="15">
        <v>48</v>
      </c>
    </row>
    <row r="20" spans="1:13" x14ac:dyDescent="0.2">
      <c r="A20" s="5">
        <v>17</v>
      </c>
      <c r="B20" s="15">
        <v>0</v>
      </c>
      <c r="C20" s="15">
        <v>72</v>
      </c>
      <c r="D20" s="15">
        <v>48</v>
      </c>
      <c r="E20" s="15">
        <v>48</v>
      </c>
      <c r="F20" s="15">
        <v>72</v>
      </c>
      <c r="G20" s="15">
        <v>48</v>
      </c>
      <c r="H20" s="15">
        <v>24</v>
      </c>
      <c r="I20" s="15">
        <v>72</v>
      </c>
      <c r="J20" s="15">
        <v>72</v>
      </c>
      <c r="K20" s="15">
        <v>72</v>
      </c>
      <c r="L20" s="15">
        <v>72</v>
      </c>
      <c r="M20" s="15">
        <v>19.600000000000001</v>
      </c>
    </row>
    <row r="21" spans="1:13" x14ac:dyDescent="0.2">
      <c r="A21" s="5">
        <v>18</v>
      </c>
      <c r="B21" s="15">
        <v>0</v>
      </c>
      <c r="C21" s="15">
        <v>72</v>
      </c>
      <c r="D21" s="15">
        <v>48</v>
      </c>
      <c r="E21" s="15">
        <v>48</v>
      </c>
      <c r="F21" s="15">
        <v>72</v>
      </c>
      <c r="G21" s="15">
        <v>48</v>
      </c>
      <c r="H21" s="15">
        <v>24</v>
      </c>
      <c r="I21" s="15">
        <v>72</v>
      </c>
      <c r="J21" s="15">
        <v>72</v>
      </c>
      <c r="K21" s="15">
        <v>72</v>
      </c>
      <c r="L21" s="15">
        <v>72</v>
      </c>
      <c r="M21" s="15">
        <v>0</v>
      </c>
    </row>
    <row r="22" spans="1:13" x14ac:dyDescent="0.2">
      <c r="A22" s="5">
        <v>19</v>
      </c>
      <c r="B22" s="15">
        <v>0</v>
      </c>
      <c r="C22" s="15">
        <v>72</v>
      </c>
      <c r="D22" s="15">
        <v>33.299999999999997</v>
      </c>
      <c r="E22" s="15">
        <v>48</v>
      </c>
      <c r="F22" s="15">
        <v>72</v>
      </c>
      <c r="G22" s="15">
        <v>48</v>
      </c>
      <c r="H22" s="15">
        <v>24</v>
      </c>
      <c r="I22" s="15">
        <v>72</v>
      </c>
      <c r="J22" s="15">
        <v>72</v>
      </c>
      <c r="K22" s="15">
        <v>72</v>
      </c>
      <c r="L22" s="15">
        <v>72</v>
      </c>
      <c r="M22" s="15">
        <v>0</v>
      </c>
    </row>
    <row r="23" spans="1:13" x14ac:dyDescent="0.2">
      <c r="A23" s="5">
        <v>20</v>
      </c>
      <c r="B23" s="15">
        <v>0</v>
      </c>
      <c r="C23" s="15">
        <v>72</v>
      </c>
      <c r="D23" s="15">
        <v>23.7</v>
      </c>
      <c r="E23" s="15">
        <v>48</v>
      </c>
      <c r="F23" s="15">
        <v>72</v>
      </c>
      <c r="G23" s="15">
        <v>48</v>
      </c>
      <c r="H23" s="15">
        <v>24</v>
      </c>
      <c r="I23" s="15">
        <v>72</v>
      </c>
      <c r="J23" s="15">
        <v>72</v>
      </c>
      <c r="K23" s="15">
        <v>72</v>
      </c>
      <c r="L23" s="15">
        <v>72</v>
      </c>
      <c r="M23" s="15">
        <v>0</v>
      </c>
    </row>
    <row r="24" spans="1:13" x14ac:dyDescent="0.2">
      <c r="A24" s="5">
        <v>21</v>
      </c>
      <c r="B24" s="15">
        <v>0</v>
      </c>
      <c r="C24" s="15">
        <v>72</v>
      </c>
      <c r="D24" s="15">
        <v>24</v>
      </c>
      <c r="E24" s="15">
        <v>48</v>
      </c>
      <c r="F24" s="15">
        <v>72</v>
      </c>
      <c r="G24" s="15">
        <v>48</v>
      </c>
      <c r="H24" s="15">
        <v>24</v>
      </c>
      <c r="I24" s="15">
        <v>72</v>
      </c>
      <c r="J24" s="15">
        <v>72</v>
      </c>
      <c r="K24" s="15">
        <v>72</v>
      </c>
      <c r="L24" s="15">
        <v>72</v>
      </c>
      <c r="M24" s="15">
        <v>0</v>
      </c>
    </row>
    <row r="25" spans="1:13" x14ac:dyDescent="0.2">
      <c r="A25" s="5">
        <v>22</v>
      </c>
      <c r="B25" s="15">
        <v>0</v>
      </c>
      <c r="C25" s="15">
        <v>72</v>
      </c>
      <c r="D25" s="15">
        <v>24</v>
      </c>
      <c r="E25" s="15">
        <v>33.1</v>
      </c>
      <c r="F25" s="15">
        <v>72</v>
      </c>
      <c r="G25" s="15">
        <v>48</v>
      </c>
      <c r="H25" s="15">
        <v>24</v>
      </c>
      <c r="I25" s="15">
        <v>72</v>
      </c>
      <c r="J25" s="15">
        <v>57.2</v>
      </c>
      <c r="K25" s="15">
        <v>57</v>
      </c>
      <c r="L25" s="15">
        <v>72</v>
      </c>
      <c r="M25" s="15">
        <v>0</v>
      </c>
    </row>
    <row r="26" spans="1:13" x14ac:dyDescent="0.2">
      <c r="A26" s="5">
        <v>23</v>
      </c>
      <c r="B26" s="15">
        <v>0</v>
      </c>
      <c r="C26" s="15">
        <v>72</v>
      </c>
      <c r="D26" s="15">
        <v>9.1999999999999993</v>
      </c>
      <c r="E26" s="15">
        <v>24</v>
      </c>
      <c r="F26" s="15">
        <v>72</v>
      </c>
      <c r="G26" s="15">
        <v>48</v>
      </c>
      <c r="H26" s="15">
        <v>24</v>
      </c>
      <c r="I26" s="15">
        <v>72</v>
      </c>
      <c r="J26" s="15">
        <v>48</v>
      </c>
      <c r="K26" s="15">
        <v>48</v>
      </c>
      <c r="L26" s="15">
        <v>72</v>
      </c>
      <c r="M26" s="15">
        <v>0</v>
      </c>
    </row>
    <row r="27" spans="1:13" x14ac:dyDescent="0.2">
      <c r="A27" s="5">
        <v>24</v>
      </c>
      <c r="B27" s="15">
        <v>0</v>
      </c>
      <c r="C27" s="15">
        <v>72</v>
      </c>
      <c r="D27" s="15">
        <v>0</v>
      </c>
      <c r="E27" s="15">
        <v>24</v>
      </c>
      <c r="F27" s="15">
        <v>72</v>
      </c>
      <c r="G27" s="15">
        <v>33.9</v>
      </c>
      <c r="H27" s="15">
        <v>24</v>
      </c>
      <c r="I27" s="15">
        <v>72</v>
      </c>
      <c r="J27" s="15">
        <v>48</v>
      </c>
      <c r="K27" s="15">
        <v>48</v>
      </c>
      <c r="L27" s="15">
        <v>72</v>
      </c>
      <c r="M27" s="15">
        <v>0</v>
      </c>
    </row>
    <row r="28" spans="1:13" x14ac:dyDescent="0.2">
      <c r="A28" s="5">
        <v>25</v>
      </c>
      <c r="B28" s="15">
        <v>0</v>
      </c>
      <c r="C28" s="15">
        <v>85.1</v>
      </c>
      <c r="D28" s="15">
        <v>0</v>
      </c>
      <c r="E28" s="15">
        <v>24</v>
      </c>
      <c r="F28" s="15">
        <v>72</v>
      </c>
      <c r="G28" s="15">
        <v>24</v>
      </c>
      <c r="H28" s="15">
        <v>24</v>
      </c>
      <c r="I28" s="15">
        <v>72</v>
      </c>
      <c r="J28" s="15">
        <v>47.7</v>
      </c>
      <c r="K28" s="15">
        <v>48</v>
      </c>
      <c r="L28" s="15">
        <v>72</v>
      </c>
      <c r="M28" s="15">
        <v>0</v>
      </c>
    </row>
    <row r="29" spans="1:13" x14ac:dyDescent="0.2">
      <c r="A29" s="5">
        <v>26</v>
      </c>
      <c r="B29" s="15">
        <v>0</v>
      </c>
      <c r="C29" s="15">
        <v>96</v>
      </c>
      <c r="D29" s="15">
        <v>0</v>
      </c>
      <c r="E29" s="15">
        <v>24</v>
      </c>
      <c r="F29" s="15">
        <v>72</v>
      </c>
      <c r="G29" s="15">
        <v>24</v>
      </c>
      <c r="H29" s="15">
        <v>24</v>
      </c>
      <c r="I29" s="15">
        <v>72</v>
      </c>
      <c r="J29" s="15">
        <v>48</v>
      </c>
      <c r="K29" s="15">
        <v>48</v>
      </c>
      <c r="L29" s="15">
        <v>57.3</v>
      </c>
      <c r="M29" s="15">
        <v>0</v>
      </c>
    </row>
    <row r="30" spans="1:13" x14ac:dyDescent="0.2">
      <c r="A30" s="5">
        <v>27</v>
      </c>
      <c r="B30" s="15">
        <v>0</v>
      </c>
      <c r="C30" s="15">
        <v>96</v>
      </c>
      <c r="D30" s="15">
        <v>0</v>
      </c>
      <c r="E30" s="15">
        <v>24</v>
      </c>
      <c r="F30" s="15">
        <v>72</v>
      </c>
      <c r="G30" s="15">
        <v>24</v>
      </c>
      <c r="H30" s="15">
        <v>24</v>
      </c>
      <c r="I30" s="15">
        <v>72</v>
      </c>
      <c r="J30" s="15">
        <v>48</v>
      </c>
      <c r="K30" s="15">
        <v>48</v>
      </c>
      <c r="L30" s="15">
        <v>48</v>
      </c>
      <c r="M30" s="15">
        <v>0</v>
      </c>
    </row>
    <row r="31" spans="1:13" x14ac:dyDescent="0.2">
      <c r="A31" s="5">
        <v>28</v>
      </c>
      <c r="B31" s="15">
        <v>0</v>
      </c>
      <c r="C31" s="15">
        <v>96</v>
      </c>
      <c r="D31" s="15">
        <v>0</v>
      </c>
      <c r="E31" s="15">
        <v>24</v>
      </c>
      <c r="F31" s="15">
        <v>63.6</v>
      </c>
      <c r="G31" s="15">
        <v>24</v>
      </c>
      <c r="H31" s="15">
        <v>23.9</v>
      </c>
      <c r="I31" s="15">
        <v>72</v>
      </c>
      <c r="J31" s="15">
        <v>48</v>
      </c>
      <c r="K31" s="15">
        <v>48</v>
      </c>
      <c r="L31" s="15">
        <v>48</v>
      </c>
      <c r="M31" s="15">
        <v>0</v>
      </c>
    </row>
    <row r="32" spans="1:13" x14ac:dyDescent="0.2">
      <c r="A32" s="5">
        <v>29</v>
      </c>
      <c r="B32" s="15">
        <v>0</v>
      </c>
      <c r="C32" s="7" t="s">
        <v>0</v>
      </c>
      <c r="D32" s="15">
        <v>0</v>
      </c>
      <c r="E32" s="15">
        <v>24</v>
      </c>
      <c r="F32" s="15">
        <v>28.5</v>
      </c>
      <c r="G32" s="15">
        <v>24</v>
      </c>
      <c r="H32" s="15">
        <v>24</v>
      </c>
      <c r="I32" s="15">
        <v>72</v>
      </c>
      <c r="J32" s="15">
        <v>48</v>
      </c>
      <c r="K32" s="15">
        <v>48</v>
      </c>
      <c r="L32" s="15">
        <v>48</v>
      </c>
      <c r="M32" s="15">
        <v>0</v>
      </c>
    </row>
    <row r="33" spans="1:15" x14ac:dyDescent="0.2">
      <c r="A33" s="5">
        <v>30</v>
      </c>
      <c r="B33" s="15">
        <v>0</v>
      </c>
      <c r="C33" s="7" t="s">
        <v>0</v>
      </c>
      <c r="D33" s="15">
        <v>0</v>
      </c>
      <c r="E33" s="15">
        <v>24</v>
      </c>
      <c r="F33" s="15">
        <v>48</v>
      </c>
      <c r="G33" s="15">
        <v>24</v>
      </c>
      <c r="H33" s="15">
        <v>24</v>
      </c>
      <c r="I33" s="15">
        <v>72</v>
      </c>
      <c r="J33" s="15">
        <v>48</v>
      </c>
      <c r="K33" s="15">
        <v>48</v>
      </c>
      <c r="L33" s="15">
        <v>48</v>
      </c>
      <c r="M33" s="15">
        <v>0</v>
      </c>
    </row>
    <row r="34" spans="1:15" x14ac:dyDescent="0.2">
      <c r="A34" s="5">
        <v>31</v>
      </c>
      <c r="B34" s="15">
        <v>0</v>
      </c>
      <c r="C34" s="7" t="s">
        <v>0</v>
      </c>
      <c r="D34" s="15">
        <v>0</v>
      </c>
      <c r="E34" s="7" t="s">
        <v>0</v>
      </c>
      <c r="F34" s="15">
        <v>48</v>
      </c>
      <c r="G34" s="16" t="s">
        <v>0</v>
      </c>
      <c r="H34" s="15">
        <v>24</v>
      </c>
      <c r="I34" s="15">
        <v>72</v>
      </c>
      <c r="J34" s="7" t="s">
        <v>0</v>
      </c>
      <c r="K34" s="15">
        <v>48</v>
      </c>
      <c r="L34" s="7" t="s">
        <v>0</v>
      </c>
      <c r="M34" s="15">
        <v>0</v>
      </c>
    </row>
    <row r="36" spans="1:15" x14ac:dyDescent="0.2">
      <c r="A36" s="13" t="s">
        <v>23</v>
      </c>
      <c r="B36" s="14">
        <f>SUM(B4:B35)</f>
        <v>458.4</v>
      </c>
      <c r="C36" s="14">
        <f>SUM(C4:C35)</f>
        <v>1829.1999999999998</v>
      </c>
      <c r="D36" s="14">
        <f>SUM(D4:D35)</f>
        <v>1552.5000000000002</v>
      </c>
      <c r="E36" s="14">
        <f>SUM(E4:E35)</f>
        <v>782.9</v>
      </c>
      <c r="F36" s="14">
        <f>SUM(F4:F35)</f>
        <v>1756</v>
      </c>
      <c r="G36" s="14">
        <f>SUM(G4:G35)</f>
        <v>1280.8000000000002</v>
      </c>
      <c r="H36" s="14">
        <f>SUM(H4:H35)</f>
        <v>743.9</v>
      </c>
      <c r="I36" s="14">
        <f>SUM(I4:I35)</f>
        <v>1758.6</v>
      </c>
      <c r="J36" s="14">
        <f>SUM(J4:J35)</f>
        <v>1938.6000000000001</v>
      </c>
      <c r="K36" s="14">
        <f>SUM(K4:K35)</f>
        <v>1523.3000000000002</v>
      </c>
      <c r="L36" s="14">
        <f>SUM(L4:L35)</f>
        <v>2034.6</v>
      </c>
      <c r="M36" s="14">
        <f>SUM(M4:M35)</f>
        <v>312.70000000000005</v>
      </c>
      <c r="N36" s="2"/>
    </row>
    <row r="37" spans="1:15" x14ac:dyDescent="0.2">
      <c r="A37" s="13" t="s">
        <v>22</v>
      </c>
      <c r="B37" s="14">
        <f>+B36</f>
        <v>458.4</v>
      </c>
      <c r="C37" s="14">
        <f>+B37+C36</f>
        <v>2287.6</v>
      </c>
      <c r="D37" s="14">
        <f>+C37+D36</f>
        <v>3840.1000000000004</v>
      </c>
      <c r="E37" s="14">
        <f>+D37+E36</f>
        <v>4623</v>
      </c>
      <c r="F37" s="14">
        <f>+E37+F36</f>
        <v>6379</v>
      </c>
      <c r="G37" s="14">
        <f>+F37+G36</f>
        <v>7659.8</v>
      </c>
      <c r="H37" s="14">
        <f>+G37+H36</f>
        <v>8403.7000000000007</v>
      </c>
      <c r="I37" s="14">
        <f>+H37+I36</f>
        <v>10162.300000000001</v>
      </c>
      <c r="J37" s="14">
        <f>+I37+J36</f>
        <v>12100.900000000001</v>
      </c>
      <c r="K37" s="14">
        <f>+J37+K36</f>
        <v>13624.2</v>
      </c>
      <c r="L37" s="14">
        <f>+K37+L36</f>
        <v>15658.800000000001</v>
      </c>
      <c r="M37" s="14">
        <f>+L37+M36</f>
        <v>15971.500000000002</v>
      </c>
      <c r="N37" s="2"/>
    </row>
    <row r="38" spans="1:15" x14ac:dyDescent="0.2">
      <c r="A38" s="13" t="s">
        <v>0</v>
      </c>
      <c r="B38" s="13" t="s">
        <v>0</v>
      </c>
      <c r="C38" s="13" t="s">
        <v>0</v>
      </c>
      <c r="D38" s="13" t="s">
        <v>0</v>
      </c>
      <c r="E38" s="13" t="s">
        <v>0</v>
      </c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  <c r="O38" s="13" t="s">
        <v>0</v>
      </c>
    </row>
    <row r="39" spans="1:15" x14ac:dyDescent="0.2">
      <c r="A39" s="13" t="s">
        <v>0</v>
      </c>
      <c r="B39" s="13" t="s">
        <v>0</v>
      </c>
      <c r="C39" s="13" t="s">
        <v>0</v>
      </c>
      <c r="D39" s="13" t="s">
        <v>0</v>
      </c>
      <c r="E39" s="13" t="s">
        <v>0</v>
      </c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  <c r="O39" s="13" t="s">
        <v>0</v>
      </c>
    </row>
    <row r="40" spans="1:15" x14ac:dyDescent="0.2">
      <c r="A40" s="13" t="s">
        <v>0</v>
      </c>
      <c r="B40" s="13" t="s">
        <v>0</v>
      </c>
      <c r="C40" s="13" t="s">
        <v>0</v>
      </c>
      <c r="D40" s="13" t="s">
        <v>0</v>
      </c>
      <c r="E40" s="13" t="s">
        <v>0</v>
      </c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  <c r="O40" s="13" t="s">
        <v>0</v>
      </c>
    </row>
    <row r="41" spans="1:15" x14ac:dyDescent="0.2">
      <c r="A41" s="13" t="s">
        <v>0</v>
      </c>
      <c r="B41" s="13" t="s">
        <v>0</v>
      </c>
      <c r="C41" s="13" t="s">
        <v>0</v>
      </c>
      <c r="D41" s="13" t="s">
        <v>0</v>
      </c>
      <c r="E41" s="13" t="s">
        <v>0</v>
      </c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  <c r="O41" s="13" t="s">
        <v>0</v>
      </c>
    </row>
    <row r="42" spans="1:15" x14ac:dyDescent="0.2">
      <c r="A42" s="13" t="s">
        <v>0</v>
      </c>
      <c r="B42" s="13" t="s">
        <v>0</v>
      </c>
      <c r="C42" s="13" t="s">
        <v>0</v>
      </c>
      <c r="D42" s="13" t="s">
        <v>0</v>
      </c>
      <c r="E42" s="13" t="s">
        <v>0</v>
      </c>
      <c r="F42" s="13" t="s">
        <v>0</v>
      </c>
      <c r="G42" s="13" t="s">
        <v>0</v>
      </c>
      <c r="H42" s="13" t="s">
        <v>0</v>
      </c>
      <c r="I42" s="13" t="s">
        <v>0</v>
      </c>
      <c r="J42" s="13" t="s">
        <v>0</v>
      </c>
      <c r="K42" s="13" t="s">
        <v>0</v>
      </c>
      <c r="L42" s="13" t="s">
        <v>0</v>
      </c>
      <c r="M42" s="13" t="s">
        <v>0</v>
      </c>
      <c r="N42" s="13" t="s">
        <v>0</v>
      </c>
      <c r="O42" s="13" t="s">
        <v>0</v>
      </c>
    </row>
    <row r="43" spans="1:15" x14ac:dyDescent="0.2">
      <c r="A43" s="13" t="s">
        <v>0</v>
      </c>
      <c r="B43" s="13" t="s">
        <v>0</v>
      </c>
      <c r="C43" s="13" t="s">
        <v>0</v>
      </c>
      <c r="D43" s="13" t="s">
        <v>0</v>
      </c>
      <c r="E43" s="13" t="s">
        <v>0</v>
      </c>
      <c r="F43" s="13" t="s">
        <v>0</v>
      </c>
      <c r="G43" s="13" t="s">
        <v>0</v>
      </c>
      <c r="H43" s="13" t="s">
        <v>0</v>
      </c>
      <c r="I43" s="13" t="s">
        <v>0</v>
      </c>
      <c r="J43" s="13" t="s">
        <v>0</v>
      </c>
      <c r="K43" s="13" t="s">
        <v>0</v>
      </c>
      <c r="L43" s="13" t="s">
        <v>0</v>
      </c>
      <c r="M43" s="13" t="s">
        <v>0</v>
      </c>
      <c r="N43" s="13" t="s">
        <v>0</v>
      </c>
      <c r="O43" s="13" t="s">
        <v>0</v>
      </c>
    </row>
    <row r="44" spans="1:15" x14ac:dyDescent="0.2">
      <c r="A44" s="13" t="s">
        <v>0</v>
      </c>
      <c r="B44" s="13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3" t="s">
        <v>0</v>
      </c>
      <c r="J44" s="13" t="s">
        <v>0</v>
      </c>
      <c r="K44" s="13" t="s">
        <v>0</v>
      </c>
      <c r="L44" s="13" t="s">
        <v>0</v>
      </c>
      <c r="M44" s="13" t="s">
        <v>0</v>
      </c>
      <c r="N44" s="13" t="s">
        <v>0</v>
      </c>
      <c r="O44" s="13" t="s">
        <v>0</v>
      </c>
    </row>
    <row r="45" spans="1:15" x14ac:dyDescent="0.2">
      <c r="A45" s="13" t="s">
        <v>0</v>
      </c>
      <c r="B45" s="13" t="s">
        <v>0</v>
      </c>
      <c r="C45" s="13" t="s">
        <v>0</v>
      </c>
      <c r="D45" s="13" t="s">
        <v>0</v>
      </c>
      <c r="E45" s="13" t="s">
        <v>0</v>
      </c>
      <c r="F45" s="13" t="s">
        <v>0</v>
      </c>
      <c r="G45" s="13" t="s">
        <v>0</v>
      </c>
      <c r="H45" s="13" t="s">
        <v>0</v>
      </c>
      <c r="I45" s="13" t="s">
        <v>0</v>
      </c>
      <c r="J45" s="13" t="s">
        <v>0</v>
      </c>
      <c r="K45" s="13" t="s">
        <v>0</v>
      </c>
      <c r="L45" s="13" t="s">
        <v>0</v>
      </c>
      <c r="M45" s="13" t="s">
        <v>0</v>
      </c>
      <c r="N45" s="13" t="s">
        <v>0</v>
      </c>
      <c r="O45" s="13" t="s">
        <v>0</v>
      </c>
    </row>
    <row r="46" spans="1:15" x14ac:dyDescent="0.2">
      <c r="A46" s="13" t="s">
        <v>0</v>
      </c>
      <c r="B46" s="13" t="s">
        <v>0</v>
      </c>
      <c r="C46" s="13" t="s">
        <v>0</v>
      </c>
      <c r="D46" s="13" t="s">
        <v>0</v>
      </c>
      <c r="E46" s="13" t="s">
        <v>0</v>
      </c>
      <c r="F46" s="13" t="s">
        <v>0</v>
      </c>
      <c r="G46" s="13" t="s">
        <v>0</v>
      </c>
      <c r="H46" s="13" t="s">
        <v>0</v>
      </c>
      <c r="I46" s="13" t="s">
        <v>0</v>
      </c>
      <c r="J46" s="13" t="s">
        <v>0</v>
      </c>
      <c r="K46" s="13" t="s">
        <v>0</v>
      </c>
      <c r="L46" s="13" t="s">
        <v>0</v>
      </c>
      <c r="M46" s="13" t="s">
        <v>0</v>
      </c>
      <c r="N46" s="13" t="s">
        <v>0</v>
      </c>
      <c r="O46" s="13" t="s">
        <v>0</v>
      </c>
    </row>
    <row r="47" spans="1:15" x14ac:dyDescent="0.2">
      <c r="A47" s="13" t="s">
        <v>0</v>
      </c>
      <c r="B47" s="13" t="s">
        <v>0</v>
      </c>
      <c r="C47" s="13" t="s">
        <v>0</v>
      </c>
      <c r="D47" s="13" t="s">
        <v>0</v>
      </c>
      <c r="E47" s="13" t="s">
        <v>0</v>
      </c>
      <c r="F47" s="13" t="s">
        <v>0</v>
      </c>
      <c r="G47" s="13" t="s">
        <v>0</v>
      </c>
      <c r="H47" s="13" t="s">
        <v>0</v>
      </c>
      <c r="I47" s="13" t="s">
        <v>0</v>
      </c>
      <c r="J47" s="13" t="s">
        <v>0</v>
      </c>
      <c r="K47" s="13" t="s">
        <v>0</v>
      </c>
      <c r="L47" s="13" t="s">
        <v>0</v>
      </c>
      <c r="M47" s="13" t="s">
        <v>0</v>
      </c>
      <c r="N47" s="13" t="s">
        <v>0</v>
      </c>
      <c r="O47" s="13" t="s">
        <v>0</v>
      </c>
    </row>
    <row r="48" spans="1:15" x14ac:dyDescent="0.2">
      <c r="A48" s="13" t="s">
        <v>0</v>
      </c>
      <c r="B48" s="13" t="s">
        <v>0</v>
      </c>
      <c r="C48" s="13" t="s">
        <v>0</v>
      </c>
      <c r="D48" s="13" t="s">
        <v>0</v>
      </c>
      <c r="E48" s="13" t="s">
        <v>0</v>
      </c>
      <c r="F48" s="13" t="s">
        <v>0</v>
      </c>
      <c r="G48" s="13" t="s">
        <v>0</v>
      </c>
      <c r="H48" s="13" t="s">
        <v>0</v>
      </c>
      <c r="I48" s="13" t="s">
        <v>0</v>
      </c>
      <c r="J48" s="13" t="s">
        <v>0</v>
      </c>
      <c r="K48" s="13" t="s">
        <v>0</v>
      </c>
      <c r="L48" s="13" t="s">
        <v>0</v>
      </c>
      <c r="M48" s="13" t="s">
        <v>0</v>
      </c>
      <c r="N48" s="13" t="s">
        <v>0</v>
      </c>
      <c r="O48" s="13" t="s">
        <v>0</v>
      </c>
    </row>
    <row r="49" spans="1:15" x14ac:dyDescent="0.2">
      <c r="A49" s="13" t="s">
        <v>0</v>
      </c>
      <c r="B49" s="13" t="s">
        <v>0</v>
      </c>
      <c r="C49" s="13" t="s">
        <v>0</v>
      </c>
      <c r="D49" s="13" t="s">
        <v>0</v>
      </c>
      <c r="E49" s="13" t="s">
        <v>0</v>
      </c>
      <c r="F49" s="13" t="s">
        <v>0</v>
      </c>
      <c r="G49" s="13" t="s">
        <v>0</v>
      </c>
      <c r="H49" s="13" t="s">
        <v>0</v>
      </c>
      <c r="I49" s="13" t="s">
        <v>0</v>
      </c>
      <c r="J49" s="13" t="s">
        <v>0</v>
      </c>
      <c r="K49" s="13" t="s">
        <v>0</v>
      </c>
      <c r="L49" s="13" t="s">
        <v>0</v>
      </c>
      <c r="M49" s="13" t="s">
        <v>0</v>
      </c>
      <c r="N49" s="13" t="s">
        <v>0</v>
      </c>
      <c r="O49" s="13" t="s">
        <v>0</v>
      </c>
    </row>
    <row r="50" spans="1:15" x14ac:dyDescent="0.2">
      <c r="A50" s="13" t="s">
        <v>0</v>
      </c>
      <c r="B50" s="13" t="s">
        <v>0</v>
      </c>
      <c r="C50" s="13" t="s">
        <v>0</v>
      </c>
      <c r="D50" s="13" t="s">
        <v>0</v>
      </c>
      <c r="E50" s="13" t="s">
        <v>0</v>
      </c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  <c r="O50" s="13" t="s">
        <v>0</v>
      </c>
    </row>
    <row r="51" spans="1:15" x14ac:dyDescent="0.2">
      <c r="A51" s="13" t="s">
        <v>0</v>
      </c>
      <c r="B51" s="13" t="s">
        <v>0</v>
      </c>
      <c r="C51" s="13" t="s">
        <v>0</v>
      </c>
      <c r="D51" s="13" t="s">
        <v>0</v>
      </c>
      <c r="E51" s="13" t="s">
        <v>0</v>
      </c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  <c r="O51" s="13" t="s">
        <v>0</v>
      </c>
    </row>
    <row r="52" spans="1:15" x14ac:dyDescent="0.2">
      <c r="A52" s="13" t="s">
        <v>0</v>
      </c>
      <c r="B52" s="13" t="s">
        <v>0</v>
      </c>
      <c r="C52" s="13" t="s">
        <v>0</v>
      </c>
      <c r="D52" s="13" t="s">
        <v>0</v>
      </c>
      <c r="E52" s="13" t="s">
        <v>0</v>
      </c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  <c r="O52" s="13" t="s">
        <v>0</v>
      </c>
    </row>
    <row r="53" spans="1:15" x14ac:dyDescent="0.2">
      <c r="A53" s="13" t="s">
        <v>0</v>
      </c>
      <c r="B53" s="13" t="s">
        <v>0</v>
      </c>
      <c r="C53" s="13" t="s">
        <v>0</v>
      </c>
      <c r="D53" s="13" t="s">
        <v>0</v>
      </c>
      <c r="E53" s="13" t="s">
        <v>0</v>
      </c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  <c r="O53" s="13" t="s">
        <v>0</v>
      </c>
    </row>
  </sheetData>
  <sheetProtection sheet="1" objects="1" scenarios="1"/>
  <pageMargins left="0.11" right="0.12" top="1" bottom="1" header="0.5" footer="0.5"/>
  <pageSetup scale="78" orientation="portrait" r:id="rId1"/>
  <headerFooter alignWithMargins="0">
    <oddHeader>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1" ySplit="3" topLeftCell="B4" activePane="bottomRight" state="frozen"/>
      <selection activeCell="N52" sqref="N52"/>
      <selection pane="topRight" activeCell="N52" sqref="N52"/>
      <selection pane="bottomLeft" activeCell="N52" sqref="N52"/>
      <selection pane="bottomRight" activeCell="N52" sqref="N52"/>
    </sheetView>
  </sheetViews>
  <sheetFormatPr defaultRowHeight="12.75" x14ac:dyDescent="0.2"/>
  <cols>
    <col min="1" max="14" width="9.7109375" customWidth="1"/>
  </cols>
  <sheetData>
    <row r="1" spans="1:13" x14ac:dyDescent="0.2">
      <c r="A1" s="7" t="s">
        <v>25</v>
      </c>
      <c r="K1" s="7" t="s">
        <v>25</v>
      </c>
    </row>
    <row r="3" spans="1:13" x14ac:dyDescent="0.2">
      <c r="A3" s="11" t="s">
        <v>17</v>
      </c>
      <c r="B3" s="11" t="s">
        <v>16</v>
      </c>
      <c r="C3" s="11" t="s">
        <v>15</v>
      </c>
      <c r="D3" s="11" t="s">
        <v>14</v>
      </c>
      <c r="E3" s="11" t="s">
        <v>13</v>
      </c>
      <c r="F3" s="11" t="s">
        <v>12</v>
      </c>
      <c r="G3" s="11" t="s">
        <v>11</v>
      </c>
      <c r="H3" s="11" t="s">
        <v>10</v>
      </c>
      <c r="I3" s="11" t="s">
        <v>9</v>
      </c>
      <c r="J3" s="11" t="s">
        <v>8</v>
      </c>
      <c r="K3" s="11" t="s">
        <v>7</v>
      </c>
      <c r="L3" s="11" t="s">
        <v>6</v>
      </c>
      <c r="M3" s="11" t="s">
        <v>5</v>
      </c>
    </row>
    <row r="4" spans="1:13" x14ac:dyDescent="0.2">
      <c r="A4" s="5">
        <v>1</v>
      </c>
      <c r="B4" s="4">
        <v>449</v>
      </c>
      <c r="C4" s="4">
        <v>170</v>
      </c>
      <c r="D4" s="4">
        <v>571</v>
      </c>
      <c r="E4" s="4">
        <v>0</v>
      </c>
      <c r="F4" s="4">
        <v>160</v>
      </c>
      <c r="G4" s="4">
        <v>296</v>
      </c>
      <c r="H4" s="4">
        <v>142</v>
      </c>
      <c r="I4" s="4">
        <v>159</v>
      </c>
      <c r="J4" s="4">
        <v>450</v>
      </c>
      <c r="K4" s="4">
        <v>301</v>
      </c>
      <c r="L4" s="4">
        <v>375</v>
      </c>
      <c r="M4" s="4">
        <v>282</v>
      </c>
    </row>
    <row r="5" spans="1:13" x14ac:dyDescent="0.2">
      <c r="A5" s="5">
        <v>2</v>
      </c>
      <c r="B5" s="4">
        <v>449</v>
      </c>
      <c r="C5" s="4">
        <v>319</v>
      </c>
      <c r="D5" s="4">
        <v>571</v>
      </c>
      <c r="E5" s="4">
        <v>0</v>
      </c>
      <c r="F5" s="4">
        <v>160</v>
      </c>
      <c r="G5" s="4">
        <v>301</v>
      </c>
      <c r="H5" s="4">
        <v>142</v>
      </c>
      <c r="I5" s="4">
        <v>160</v>
      </c>
      <c r="J5" s="4">
        <v>450</v>
      </c>
      <c r="K5" s="4">
        <v>301</v>
      </c>
      <c r="L5" s="4">
        <v>436</v>
      </c>
      <c r="M5" s="4">
        <v>280</v>
      </c>
    </row>
    <row r="6" spans="1:13" x14ac:dyDescent="0.2">
      <c r="A6" s="5">
        <v>3</v>
      </c>
      <c r="B6" s="4">
        <v>449</v>
      </c>
      <c r="C6" s="4">
        <v>319</v>
      </c>
      <c r="D6" s="4">
        <v>544</v>
      </c>
      <c r="E6" s="4">
        <v>0</v>
      </c>
      <c r="F6" s="4">
        <v>160</v>
      </c>
      <c r="G6" s="4">
        <v>301</v>
      </c>
      <c r="H6" s="4">
        <v>142</v>
      </c>
      <c r="I6" s="4">
        <v>160</v>
      </c>
      <c r="J6" s="4">
        <v>450</v>
      </c>
      <c r="K6" s="4">
        <v>301</v>
      </c>
      <c r="L6" s="4">
        <v>435</v>
      </c>
      <c r="M6" s="4">
        <v>166</v>
      </c>
    </row>
    <row r="7" spans="1:13" x14ac:dyDescent="0.2">
      <c r="A7" s="5">
        <v>4</v>
      </c>
      <c r="B7" s="4">
        <v>451</v>
      </c>
      <c r="C7" s="4">
        <v>319</v>
      </c>
      <c r="D7" s="4">
        <v>572</v>
      </c>
      <c r="E7" s="4">
        <v>0</v>
      </c>
      <c r="F7" s="4">
        <v>160</v>
      </c>
      <c r="G7" s="4">
        <v>301</v>
      </c>
      <c r="H7" s="4">
        <v>142</v>
      </c>
      <c r="I7" s="4">
        <v>139</v>
      </c>
      <c r="J7" s="4">
        <v>447</v>
      </c>
      <c r="K7" s="4">
        <v>301</v>
      </c>
      <c r="L7" s="4">
        <v>435</v>
      </c>
      <c r="M7" s="4">
        <v>0</v>
      </c>
    </row>
    <row r="8" spans="1:13" x14ac:dyDescent="0.2">
      <c r="A8" s="5">
        <v>5</v>
      </c>
      <c r="B8" s="4">
        <v>451</v>
      </c>
      <c r="C8" s="4">
        <v>319</v>
      </c>
      <c r="D8" s="4">
        <v>571</v>
      </c>
      <c r="E8" s="4">
        <v>0</v>
      </c>
      <c r="F8" s="4">
        <v>212</v>
      </c>
      <c r="G8" s="4">
        <v>301</v>
      </c>
      <c r="H8" s="4">
        <v>142</v>
      </c>
      <c r="I8" s="4">
        <v>119</v>
      </c>
      <c r="J8" s="4">
        <v>450</v>
      </c>
      <c r="K8" s="4">
        <v>301</v>
      </c>
      <c r="L8" s="4">
        <v>435</v>
      </c>
      <c r="M8" s="4">
        <v>0</v>
      </c>
    </row>
    <row r="9" spans="1:13" x14ac:dyDescent="0.2">
      <c r="A9" s="5">
        <v>6</v>
      </c>
      <c r="B9" s="4">
        <v>451</v>
      </c>
      <c r="C9" s="4">
        <v>319</v>
      </c>
      <c r="D9" s="4">
        <v>485</v>
      </c>
      <c r="E9" s="4">
        <v>98</v>
      </c>
      <c r="F9" s="4">
        <v>301</v>
      </c>
      <c r="G9" s="4">
        <v>299</v>
      </c>
      <c r="H9" s="4">
        <v>142</v>
      </c>
      <c r="I9" s="4">
        <v>154</v>
      </c>
      <c r="J9" s="4">
        <v>452</v>
      </c>
      <c r="K9" s="4">
        <v>393</v>
      </c>
      <c r="L9" s="4">
        <v>435</v>
      </c>
      <c r="M9" s="4">
        <v>0</v>
      </c>
    </row>
    <row r="10" spans="1:13" x14ac:dyDescent="0.2">
      <c r="A10" s="5">
        <v>7</v>
      </c>
      <c r="B10" s="4">
        <v>166</v>
      </c>
      <c r="C10" s="4">
        <v>319</v>
      </c>
      <c r="D10" s="4">
        <v>370</v>
      </c>
      <c r="E10" s="4">
        <v>160</v>
      </c>
      <c r="F10" s="4">
        <v>301</v>
      </c>
      <c r="G10" s="4">
        <v>301</v>
      </c>
      <c r="H10" s="4">
        <v>142</v>
      </c>
      <c r="I10" s="4">
        <v>173</v>
      </c>
      <c r="J10" s="4">
        <v>452</v>
      </c>
      <c r="K10" s="4">
        <v>452</v>
      </c>
      <c r="L10" s="4">
        <v>415</v>
      </c>
      <c r="M10" s="4">
        <v>0</v>
      </c>
    </row>
    <row r="11" spans="1:13" x14ac:dyDescent="0.2">
      <c r="A11" s="5">
        <v>8</v>
      </c>
      <c r="B11" s="4">
        <v>0</v>
      </c>
      <c r="C11" s="4">
        <v>319</v>
      </c>
      <c r="D11" s="4">
        <v>571</v>
      </c>
      <c r="E11" s="4">
        <v>160</v>
      </c>
      <c r="F11" s="4">
        <v>301</v>
      </c>
      <c r="G11" s="4">
        <v>301</v>
      </c>
      <c r="H11" s="4">
        <v>142</v>
      </c>
      <c r="I11" s="4">
        <v>319</v>
      </c>
      <c r="J11" s="4">
        <v>452</v>
      </c>
      <c r="K11" s="4">
        <v>452</v>
      </c>
      <c r="L11" s="4">
        <v>433</v>
      </c>
      <c r="M11" s="4">
        <v>0</v>
      </c>
    </row>
    <row r="12" spans="1:13" x14ac:dyDescent="0.2">
      <c r="A12" s="5">
        <v>9</v>
      </c>
      <c r="B12" s="4">
        <v>0</v>
      </c>
      <c r="C12" s="4">
        <v>159</v>
      </c>
      <c r="D12" s="4">
        <v>571</v>
      </c>
      <c r="E12" s="4">
        <v>160</v>
      </c>
      <c r="F12" s="4">
        <v>301</v>
      </c>
      <c r="G12" s="4">
        <v>301</v>
      </c>
      <c r="H12" s="4">
        <v>142</v>
      </c>
      <c r="I12" s="4">
        <v>319</v>
      </c>
      <c r="J12" s="4">
        <v>452</v>
      </c>
      <c r="K12" s="4">
        <v>452</v>
      </c>
      <c r="L12" s="4">
        <v>435</v>
      </c>
      <c r="M12" s="4">
        <v>0</v>
      </c>
    </row>
    <row r="13" spans="1:13" x14ac:dyDescent="0.2">
      <c r="A13" s="5">
        <v>10</v>
      </c>
      <c r="B13" s="4">
        <v>0</v>
      </c>
      <c r="C13" s="4">
        <v>398</v>
      </c>
      <c r="D13" s="4">
        <v>571</v>
      </c>
      <c r="E13" s="4">
        <v>160</v>
      </c>
      <c r="F13" s="4">
        <v>301</v>
      </c>
      <c r="G13" s="4">
        <v>301</v>
      </c>
      <c r="H13" s="4">
        <v>142</v>
      </c>
      <c r="I13" s="4">
        <v>217</v>
      </c>
      <c r="J13" s="4">
        <v>452</v>
      </c>
      <c r="K13" s="4">
        <v>243</v>
      </c>
      <c r="L13" s="4">
        <v>435</v>
      </c>
      <c r="M13" s="4">
        <v>0</v>
      </c>
    </row>
    <row r="14" spans="1:13" x14ac:dyDescent="0.2">
      <c r="A14" s="5">
        <v>11</v>
      </c>
      <c r="B14" s="4">
        <v>0</v>
      </c>
      <c r="C14" s="4">
        <v>453</v>
      </c>
      <c r="D14" s="4">
        <v>571</v>
      </c>
      <c r="E14" s="4">
        <v>160</v>
      </c>
      <c r="F14" s="4">
        <v>301</v>
      </c>
      <c r="G14" s="4">
        <v>301</v>
      </c>
      <c r="H14" s="4">
        <v>142</v>
      </c>
      <c r="I14" s="4">
        <v>282</v>
      </c>
      <c r="J14" s="4">
        <v>452</v>
      </c>
      <c r="K14" s="4">
        <v>0</v>
      </c>
      <c r="L14" s="4">
        <v>435</v>
      </c>
      <c r="M14" s="4">
        <v>0</v>
      </c>
    </row>
    <row r="15" spans="1:13" x14ac:dyDescent="0.2">
      <c r="A15" s="5">
        <v>12</v>
      </c>
      <c r="B15" s="4">
        <v>0</v>
      </c>
      <c r="C15" s="4">
        <v>453</v>
      </c>
      <c r="D15" s="4">
        <v>523</v>
      </c>
      <c r="E15" s="4">
        <v>160</v>
      </c>
      <c r="F15" s="4">
        <v>446</v>
      </c>
      <c r="G15" s="4">
        <v>301</v>
      </c>
      <c r="H15" s="4">
        <v>142</v>
      </c>
      <c r="I15" s="4">
        <v>453</v>
      </c>
      <c r="J15" s="4">
        <v>452</v>
      </c>
      <c r="K15" s="4">
        <v>0</v>
      </c>
      <c r="L15" s="4">
        <v>435</v>
      </c>
      <c r="M15" s="4">
        <v>0</v>
      </c>
    </row>
    <row r="16" spans="1:13" x14ac:dyDescent="0.2">
      <c r="A16" s="5">
        <v>13</v>
      </c>
      <c r="B16" s="4">
        <v>0</v>
      </c>
      <c r="C16" s="4">
        <v>453</v>
      </c>
      <c r="D16" s="4">
        <v>453</v>
      </c>
      <c r="E16" s="4">
        <v>160</v>
      </c>
      <c r="F16" s="4">
        <v>456</v>
      </c>
      <c r="G16" s="4">
        <v>301</v>
      </c>
      <c r="H16" s="4">
        <v>142</v>
      </c>
      <c r="I16" s="4">
        <v>403</v>
      </c>
      <c r="J16" s="4">
        <v>450</v>
      </c>
      <c r="K16" s="4">
        <v>0</v>
      </c>
      <c r="L16" s="4">
        <v>435</v>
      </c>
      <c r="M16" s="4">
        <v>182</v>
      </c>
    </row>
    <row r="17" spans="1:13" x14ac:dyDescent="0.2">
      <c r="A17" s="5">
        <v>14</v>
      </c>
      <c r="B17" s="4">
        <v>0</v>
      </c>
      <c r="C17" s="4">
        <v>453</v>
      </c>
      <c r="D17" s="4">
        <v>453</v>
      </c>
      <c r="E17" s="4">
        <v>248</v>
      </c>
      <c r="F17" s="4">
        <v>451</v>
      </c>
      <c r="G17" s="4">
        <v>301</v>
      </c>
      <c r="H17" s="4">
        <v>142</v>
      </c>
      <c r="I17" s="4">
        <v>453</v>
      </c>
      <c r="J17" s="4">
        <v>450</v>
      </c>
      <c r="K17" s="4">
        <v>0</v>
      </c>
      <c r="L17" s="4">
        <v>435</v>
      </c>
      <c r="M17" s="4">
        <v>300</v>
      </c>
    </row>
    <row r="18" spans="1:13" x14ac:dyDescent="0.2">
      <c r="A18" s="5">
        <v>15</v>
      </c>
      <c r="B18" s="4">
        <v>0</v>
      </c>
      <c r="C18" s="4">
        <v>452</v>
      </c>
      <c r="D18" s="4">
        <v>374</v>
      </c>
      <c r="E18" s="4">
        <v>301</v>
      </c>
      <c r="F18" s="4">
        <v>451</v>
      </c>
      <c r="G18" s="4">
        <v>301</v>
      </c>
      <c r="H18" s="4">
        <v>142</v>
      </c>
      <c r="I18" s="4">
        <v>453</v>
      </c>
      <c r="J18" s="4">
        <v>450</v>
      </c>
      <c r="K18" s="4">
        <v>282</v>
      </c>
      <c r="L18" s="4">
        <v>432</v>
      </c>
      <c r="M18" s="4">
        <v>297</v>
      </c>
    </row>
    <row r="19" spans="1:13" x14ac:dyDescent="0.2">
      <c r="A19" s="5">
        <v>16</v>
      </c>
      <c r="B19" s="4">
        <v>0</v>
      </c>
      <c r="C19" s="4">
        <v>453</v>
      </c>
      <c r="D19" s="4">
        <v>301</v>
      </c>
      <c r="E19" s="4">
        <v>301</v>
      </c>
      <c r="F19" s="4">
        <v>451</v>
      </c>
      <c r="G19" s="4">
        <v>301</v>
      </c>
      <c r="H19" s="4">
        <v>142</v>
      </c>
      <c r="I19" s="4">
        <v>450</v>
      </c>
      <c r="J19" s="4">
        <v>450</v>
      </c>
      <c r="K19" s="4">
        <v>453</v>
      </c>
      <c r="L19" s="4">
        <v>435</v>
      </c>
      <c r="M19" s="4">
        <v>300</v>
      </c>
    </row>
    <row r="20" spans="1:13" x14ac:dyDescent="0.2">
      <c r="A20" s="5">
        <v>17</v>
      </c>
      <c r="B20" s="4">
        <v>0</v>
      </c>
      <c r="C20" s="4">
        <v>452</v>
      </c>
      <c r="D20" s="4">
        <v>301</v>
      </c>
      <c r="E20" s="4">
        <v>301</v>
      </c>
      <c r="F20" s="4">
        <v>453</v>
      </c>
      <c r="G20" s="4">
        <v>301</v>
      </c>
      <c r="H20" s="4">
        <v>142</v>
      </c>
      <c r="I20" s="4">
        <v>450</v>
      </c>
      <c r="J20" s="4">
        <v>450</v>
      </c>
      <c r="K20" s="4">
        <v>453</v>
      </c>
      <c r="L20" s="4">
        <v>435</v>
      </c>
      <c r="M20" s="4">
        <v>122</v>
      </c>
    </row>
    <row r="21" spans="1:13" x14ac:dyDescent="0.2">
      <c r="A21" s="5">
        <v>18</v>
      </c>
      <c r="B21" s="4">
        <v>0</v>
      </c>
      <c r="C21" s="4">
        <v>453</v>
      </c>
      <c r="D21" s="4">
        <v>301</v>
      </c>
      <c r="E21" s="4">
        <v>301</v>
      </c>
      <c r="F21" s="4">
        <v>453</v>
      </c>
      <c r="G21" s="4">
        <v>301</v>
      </c>
      <c r="H21" s="4">
        <v>142</v>
      </c>
      <c r="I21" s="4">
        <v>450</v>
      </c>
      <c r="J21" s="4">
        <v>450</v>
      </c>
      <c r="K21" s="4">
        <v>453</v>
      </c>
      <c r="L21" s="4">
        <v>435</v>
      </c>
      <c r="M21" s="4">
        <v>0</v>
      </c>
    </row>
    <row r="22" spans="1:13" x14ac:dyDescent="0.2">
      <c r="A22" s="5">
        <v>19</v>
      </c>
      <c r="B22" s="4">
        <v>0</v>
      </c>
      <c r="C22" s="4">
        <v>452</v>
      </c>
      <c r="D22" s="4">
        <v>204</v>
      </c>
      <c r="E22" s="4">
        <v>301</v>
      </c>
      <c r="F22" s="4">
        <v>453</v>
      </c>
      <c r="G22" s="4">
        <v>301</v>
      </c>
      <c r="H22" s="4">
        <v>142</v>
      </c>
      <c r="I22" s="4">
        <v>450</v>
      </c>
      <c r="J22" s="4">
        <v>450</v>
      </c>
      <c r="K22" s="4">
        <v>453</v>
      </c>
      <c r="L22" s="4">
        <v>434</v>
      </c>
      <c r="M22" s="4">
        <v>0</v>
      </c>
    </row>
    <row r="23" spans="1:13" x14ac:dyDescent="0.2">
      <c r="A23" s="5">
        <v>20</v>
      </c>
      <c r="B23" s="4">
        <v>0</v>
      </c>
      <c r="C23" s="4">
        <v>452</v>
      </c>
      <c r="D23" s="4">
        <v>140</v>
      </c>
      <c r="E23" s="4">
        <v>301</v>
      </c>
      <c r="F23" s="4">
        <v>453</v>
      </c>
      <c r="G23" s="4">
        <v>301</v>
      </c>
      <c r="H23" s="4">
        <v>142</v>
      </c>
      <c r="I23" s="4">
        <v>451</v>
      </c>
      <c r="J23" s="4">
        <v>452</v>
      </c>
      <c r="K23" s="4">
        <v>453</v>
      </c>
      <c r="L23" s="4">
        <v>434</v>
      </c>
      <c r="M23" s="4">
        <v>0</v>
      </c>
    </row>
    <row r="24" spans="1:13" x14ac:dyDescent="0.2">
      <c r="A24" s="5">
        <v>21</v>
      </c>
      <c r="B24" s="4">
        <v>0</v>
      </c>
      <c r="C24" s="4">
        <v>452</v>
      </c>
      <c r="D24" s="4">
        <v>142</v>
      </c>
      <c r="E24" s="4">
        <v>301</v>
      </c>
      <c r="F24" s="4">
        <v>453</v>
      </c>
      <c r="G24" s="4">
        <v>301</v>
      </c>
      <c r="H24" s="4">
        <v>142</v>
      </c>
      <c r="I24" s="4">
        <v>450</v>
      </c>
      <c r="J24" s="4">
        <v>452</v>
      </c>
      <c r="K24" s="4">
        <v>453</v>
      </c>
      <c r="L24" s="4">
        <v>434</v>
      </c>
      <c r="M24" s="4">
        <v>0</v>
      </c>
    </row>
    <row r="25" spans="1:13" x14ac:dyDescent="0.2">
      <c r="A25" s="5">
        <v>22</v>
      </c>
      <c r="B25" s="4">
        <v>0</v>
      </c>
      <c r="C25" s="4">
        <v>452</v>
      </c>
      <c r="D25" s="4">
        <v>142</v>
      </c>
      <c r="E25" s="4">
        <v>214</v>
      </c>
      <c r="F25" s="4">
        <v>453</v>
      </c>
      <c r="G25" s="4">
        <v>301</v>
      </c>
      <c r="H25" s="4">
        <v>142</v>
      </c>
      <c r="I25" s="4">
        <v>450</v>
      </c>
      <c r="J25" s="4">
        <v>361</v>
      </c>
      <c r="K25" s="4">
        <v>360</v>
      </c>
      <c r="L25" s="4">
        <v>432</v>
      </c>
      <c r="M25" s="4">
        <v>0</v>
      </c>
    </row>
    <row r="26" spans="1:13" x14ac:dyDescent="0.2">
      <c r="A26" s="5">
        <v>23</v>
      </c>
      <c r="B26" s="4">
        <v>0</v>
      </c>
      <c r="C26" s="4">
        <v>452</v>
      </c>
      <c r="D26" s="4">
        <v>54</v>
      </c>
      <c r="E26" s="4">
        <v>160</v>
      </c>
      <c r="F26" s="4">
        <v>453</v>
      </c>
      <c r="G26" s="4">
        <v>301</v>
      </c>
      <c r="H26" s="4">
        <v>142</v>
      </c>
      <c r="I26" s="4">
        <v>452</v>
      </c>
      <c r="J26" s="4">
        <v>300</v>
      </c>
      <c r="K26" s="4">
        <v>301</v>
      </c>
      <c r="L26" s="4">
        <v>432</v>
      </c>
      <c r="M26" s="4">
        <v>0</v>
      </c>
    </row>
    <row r="27" spans="1:13" x14ac:dyDescent="0.2">
      <c r="A27" s="5">
        <v>24</v>
      </c>
      <c r="B27" s="4">
        <v>0</v>
      </c>
      <c r="C27" s="4">
        <v>452</v>
      </c>
      <c r="D27" s="4">
        <v>0</v>
      </c>
      <c r="E27" s="4">
        <v>160</v>
      </c>
      <c r="F27" s="4">
        <v>451</v>
      </c>
      <c r="G27" s="4">
        <v>208</v>
      </c>
      <c r="H27" s="4">
        <v>142</v>
      </c>
      <c r="I27" s="4">
        <v>452</v>
      </c>
      <c r="J27" s="4">
        <v>300</v>
      </c>
      <c r="K27" s="4">
        <v>301</v>
      </c>
      <c r="L27" s="4">
        <v>432</v>
      </c>
      <c r="M27" s="4">
        <v>0</v>
      </c>
    </row>
    <row r="28" spans="1:13" x14ac:dyDescent="0.2">
      <c r="A28" s="5">
        <v>25</v>
      </c>
      <c r="B28" s="4">
        <v>0</v>
      </c>
      <c r="C28" s="4">
        <v>504</v>
      </c>
      <c r="D28" s="4">
        <v>0</v>
      </c>
      <c r="E28" s="4">
        <v>160</v>
      </c>
      <c r="F28" s="4">
        <v>451</v>
      </c>
      <c r="G28" s="4">
        <v>142</v>
      </c>
      <c r="H28" s="4">
        <v>142</v>
      </c>
      <c r="I28" s="4">
        <v>452</v>
      </c>
      <c r="J28" s="4">
        <v>298</v>
      </c>
      <c r="K28" s="4">
        <v>301</v>
      </c>
      <c r="L28" s="4">
        <v>432</v>
      </c>
      <c r="M28" s="4">
        <v>0</v>
      </c>
    </row>
    <row r="29" spans="1:13" x14ac:dyDescent="0.2">
      <c r="A29" s="5">
        <v>26</v>
      </c>
      <c r="B29" s="4">
        <v>0</v>
      </c>
      <c r="C29" s="4">
        <v>570</v>
      </c>
      <c r="D29" s="4">
        <v>0</v>
      </c>
      <c r="E29" s="4">
        <v>160</v>
      </c>
      <c r="F29" s="4">
        <v>451</v>
      </c>
      <c r="G29" s="4">
        <v>142</v>
      </c>
      <c r="H29" s="4">
        <v>142</v>
      </c>
      <c r="I29" s="4">
        <v>452</v>
      </c>
      <c r="J29" s="4">
        <v>300</v>
      </c>
      <c r="K29" s="4">
        <v>301</v>
      </c>
      <c r="L29" s="4">
        <v>337</v>
      </c>
      <c r="M29" s="4">
        <v>0</v>
      </c>
    </row>
    <row r="30" spans="1:13" x14ac:dyDescent="0.2">
      <c r="A30" s="5">
        <v>27</v>
      </c>
      <c r="B30" s="4">
        <v>0</v>
      </c>
      <c r="C30" s="4">
        <v>570</v>
      </c>
      <c r="D30" s="4">
        <v>0</v>
      </c>
      <c r="E30" s="4">
        <v>160</v>
      </c>
      <c r="F30" s="4">
        <v>451</v>
      </c>
      <c r="G30" s="4">
        <v>142</v>
      </c>
      <c r="H30" s="4">
        <v>142</v>
      </c>
      <c r="I30" s="4">
        <v>452</v>
      </c>
      <c r="J30" s="4">
        <v>300</v>
      </c>
      <c r="K30" s="4">
        <v>301</v>
      </c>
      <c r="L30" s="4">
        <v>282</v>
      </c>
      <c r="M30" s="4">
        <v>0</v>
      </c>
    </row>
    <row r="31" spans="1:13" x14ac:dyDescent="0.2">
      <c r="A31" s="5">
        <v>28</v>
      </c>
      <c r="B31" s="4">
        <v>0</v>
      </c>
      <c r="C31" s="4">
        <v>571</v>
      </c>
      <c r="D31" s="4">
        <v>0</v>
      </c>
      <c r="E31" s="4">
        <v>160</v>
      </c>
      <c r="F31" s="4">
        <v>399</v>
      </c>
      <c r="G31" s="4">
        <v>142</v>
      </c>
      <c r="H31" s="4">
        <v>149</v>
      </c>
      <c r="I31" s="4">
        <v>452</v>
      </c>
      <c r="J31" s="4">
        <v>301</v>
      </c>
      <c r="K31" s="4">
        <v>301</v>
      </c>
      <c r="L31" s="4">
        <v>282</v>
      </c>
      <c r="M31" s="4">
        <v>0</v>
      </c>
    </row>
    <row r="32" spans="1:13" x14ac:dyDescent="0.2">
      <c r="A32" s="5">
        <v>29</v>
      </c>
      <c r="B32" s="4">
        <v>0</v>
      </c>
      <c r="C32" s="7" t="s">
        <v>0</v>
      </c>
      <c r="D32" s="4">
        <v>0</v>
      </c>
      <c r="E32" s="4">
        <v>160</v>
      </c>
      <c r="F32" s="4">
        <v>216</v>
      </c>
      <c r="G32" s="4">
        <v>142</v>
      </c>
      <c r="H32" s="4">
        <v>160</v>
      </c>
      <c r="I32" s="4">
        <v>452</v>
      </c>
      <c r="J32" s="4">
        <v>301</v>
      </c>
      <c r="K32" s="4">
        <v>301</v>
      </c>
      <c r="L32" s="4">
        <v>282</v>
      </c>
      <c r="M32" s="4">
        <v>0</v>
      </c>
    </row>
    <row r="33" spans="1:14" x14ac:dyDescent="0.2">
      <c r="A33" s="5">
        <v>30</v>
      </c>
      <c r="B33" s="4">
        <v>0</v>
      </c>
      <c r="C33" s="7" t="s">
        <v>0</v>
      </c>
      <c r="D33" s="4">
        <v>0</v>
      </c>
      <c r="E33" s="4">
        <v>160</v>
      </c>
      <c r="F33" s="4">
        <v>301</v>
      </c>
      <c r="G33" s="4">
        <v>142</v>
      </c>
      <c r="H33" s="4">
        <v>160</v>
      </c>
      <c r="I33" s="4">
        <v>450</v>
      </c>
      <c r="J33" s="4">
        <v>301</v>
      </c>
      <c r="K33" s="4">
        <v>301</v>
      </c>
      <c r="L33" s="4">
        <v>282</v>
      </c>
      <c r="M33" s="4">
        <v>0</v>
      </c>
    </row>
    <row r="34" spans="1:14" x14ac:dyDescent="0.2">
      <c r="A34" s="5">
        <v>31</v>
      </c>
      <c r="B34" s="4">
        <v>0</v>
      </c>
      <c r="C34" s="7" t="s">
        <v>0</v>
      </c>
      <c r="D34" s="4">
        <v>0</v>
      </c>
      <c r="E34" s="13" t="s">
        <v>0</v>
      </c>
      <c r="F34" s="4">
        <v>301</v>
      </c>
      <c r="G34" s="7" t="s">
        <v>0</v>
      </c>
      <c r="H34" s="4">
        <v>159</v>
      </c>
      <c r="I34" s="4">
        <v>449</v>
      </c>
      <c r="J34" s="7"/>
      <c r="K34" s="4">
        <v>301</v>
      </c>
      <c r="L34" s="7" t="s">
        <v>0</v>
      </c>
      <c r="M34" s="4">
        <v>0</v>
      </c>
    </row>
    <row r="36" spans="1:14" hidden="1" x14ac:dyDescent="0.2"/>
    <row r="37" spans="1:14" hidden="1" x14ac:dyDescent="0.2">
      <c r="A37" s="7" t="s">
        <v>4</v>
      </c>
      <c r="B37" s="2">
        <f>SUM(B4:B35)</f>
        <v>2866</v>
      </c>
      <c r="C37" s="2">
        <f>SUM(C4:C35)</f>
        <v>11509</v>
      </c>
      <c r="D37" s="2">
        <f>SUM(D4:D35)</f>
        <v>9356</v>
      </c>
      <c r="E37" s="2">
        <f>SUM(E4:E35)</f>
        <v>5067</v>
      </c>
      <c r="F37" s="2">
        <f>SUM(F4:F35)</f>
        <v>11105</v>
      </c>
      <c r="G37" s="2">
        <f>SUM(G4:G35)</f>
        <v>7976</v>
      </c>
      <c r="H37" s="2">
        <f>SUM(H4:H35)</f>
        <v>4462</v>
      </c>
      <c r="I37" s="2">
        <f>SUM(I4:I35)</f>
        <v>11177</v>
      </c>
      <c r="J37" s="2">
        <f>SUM(J4:J35)</f>
        <v>12227</v>
      </c>
      <c r="K37" s="2">
        <f>SUM(K4:K35)</f>
        <v>9566</v>
      </c>
      <c r="L37" s="2">
        <f>SUM(L4:L35)</f>
        <v>12241</v>
      </c>
      <c r="M37" s="2">
        <f>SUM(M4:M35)</f>
        <v>1929</v>
      </c>
      <c r="N37" s="2"/>
    </row>
    <row r="38" spans="1:14" x14ac:dyDescent="0.2">
      <c r="A38" s="7" t="s">
        <v>3</v>
      </c>
      <c r="B38" s="2">
        <f>SUM(B4:B34)</f>
        <v>2866</v>
      </c>
      <c r="C38" s="2">
        <f>SUM(C4:C34)</f>
        <v>11509</v>
      </c>
      <c r="D38" s="2">
        <f>SUM(D4:D34)</f>
        <v>9356</v>
      </c>
      <c r="E38" s="2">
        <f>SUM(E4:E34)</f>
        <v>5067</v>
      </c>
      <c r="F38" s="2">
        <f>SUM(F4:F34)</f>
        <v>11105</v>
      </c>
      <c r="G38" s="2">
        <f>SUM(G4:G34)</f>
        <v>7976</v>
      </c>
      <c r="H38" s="2">
        <f>SUM(H4:H34)</f>
        <v>4462</v>
      </c>
      <c r="I38" s="2">
        <f>SUM(I4:I34)</f>
        <v>11177</v>
      </c>
      <c r="J38" s="2">
        <f>SUM(J4:J34)</f>
        <v>12227</v>
      </c>
      <c r="K38" s="2">
        <f>SUM(K4:K34)</f>
        <v>9566</v>
      </c>
      <c r="L38" s="2">
        <f>SUM(L4:L34)</f>
        <v>12241</v>
      </c>
      <c r="M38" s="2">
        <f>SUM(M4:M34)</f>
        <v>1929</v>
      </c>
      <c r="N38" s="2"/>
    </row>
    <row r="39" spans="1:14" x14ac:dyDescent="0.2">
      <c r="A39" s="7" t="s">
        <v>2</v>
      </c>
      <c r="B39" s="2">
        <f>+B38</f>
        <v>2866</v>
      </c>
      <c r="C39" s="2">
        <f>+B39+C38</f>
        <v>14375</v>
      </c>
      <c r="D39" s="2">
        <f>+C39+D38</f>
        <v>23731</v>
      </c>
      <c r="E39" s="2">
        <f>+D39+E38</f>
        <v>28798</v>
      </c>
      <c r="F39" s="2">
        <f>+E39+F38</f>
        <v>39903</v>
      </c>
      <c r="G39" s="2">
        <f>+F39+G38</f>
        <v>47879</v>
      </c>
      <c r="H39" s="2">
        <f>+G39+H38</f>
        <v>52341</v>
      </c>
      <c r="I39" s="2">
        <f>+H39+I38</f>
        <v>63518</v>
      </c>
      <c r="J39" s="2">
        <f>+I39+J38</f>
        <v>75745</v>
      </c>
      <c r="K39" s="2">
        <f>+J39+K38</f>
        <v>85311</v>
      </c>
      <c r="L39" s="2">
        <f>+K39+L38</f>
        <v>97552</v>
      </c>
      <c r="M39" s="2">
        <f>+L39+M38</f>
        <v>99481</v>
      </c>
      <c r="N39" s="2"/>
    </row>
    <row r="40" spans="1:14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>
        <v>89</v>
      </c>
      <c r="B41" s="2">
        <v>0</v>
      </c>
      <c r="C41" s="2">
        <v>0</v>
      </c>
      <c r="D41" s="2">
        <v>11628</v>
      </c>
      <c r="E41" s="2">
        <v>4094</v>
      </c>
      <c r="F41" s="2">
        <v>11864</v>
      </c>
      <c r="G41" s="2">
        <v>5560</v>
      </c>
      <c r="H41" s="2">
        <v>4284</v>
      </c>
      <c r="I41" s="2">
        <v>9819</v>
      </c>
      <c r="J41" s="2">
        <v>15963</v>
      </c>
      <c r="K41" s="2">
        <v>12960</v>
      </c>
      <c r="L41" s="2">
        <v>16459</v>
      </c>
      <c r="M41" s="2">
        <v>6514</v>
      </c>
      <c r="N41" s="2">
        <f>SUM(B41:M41)</f>
        <v>99145</v>
      </c>
    </row>
    <row r="42" spans="1:14" x14ac:dyDescent="0.2">
      <c r="A42">
        <v>90</v>
      </c>
      <c r="B42" s="2">
        <v>74</v>
      </c>
      <c r="C42" s="2">
        <v>963</v>
      </c>
      <c r="D42" s="2">
        <v>3683</v>
      </c>
      <c r="E42" s="2">
        <v>2032</v>
      </c>
      <c r="F42" s="2">
        <v>10142</v>
      </c>
      <c r="G42" s="2">
        <v>11536</v>
      </c>
      <c r="H42" s="2">
        <v>6100</v>
      </c>
      <c r="I42" s="2">
        <v>11432</v>
      </c>
      <c r="J42" s="2">
        <v>13729</v>
      </c>
      <c r="K42" s="2">
        <v>13461</v>
      </c>
      <c r="L42" s="2">
        <v>16134</v>
      </c>
      <c r="M42" s="2">
        <v>6058</v>
      </c>
      <c r="N42" s="2">
        <f>SUM(B42:M42)</f>
        <v>95344</v>
      </c>
    </row>
    <row r="43" spans="1:14" x14ac:dyDescent="0.2">
      <c r="A43">
        <v>91</v>
      </c>
      <c r="B43" s="2">
        <v>0</v>
      </c>
      <c r="C43" s="2">
        <v>0</v>
      </c>
      <c r="D43" s="2">
        <v>0</v>
      </c>
      <c r="E43" s="2">
        <v>0</v>
      </c>
      <c r="F43" s="2">
        <v>12092</v>
      </c>
      <c r="G43" s="2">
        <v>5474</v>
      </c>
      <c r="H43" s="2">
        <v>5316</v>
      </c>
      <c r="I43" s="2">
        <v>6304</v>
      </c>
      <c r="J43" s="2">
        <v>11556</v>
      </c>
      <c r="K43" s="2">
        <v>8649</v>
      </c>
      <c r="L43" s="2">
        <v>15767</v>
      </c>
      <c r="M43" s="2">
        <v>8853</v>
      </c>
      <c r="N43" s="2">
        <f>SUM(B43:M43)</f>
        <v>74011</v>
      </c>
    </row>
    <row r="44" spans="1:14" x14ac:dyDescent="0.2">
      <c r="A44">
        <v>92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252</v>
      </c>
      <c r="I44" s="2">
        <v>274</v>
      </c>
      <c r="J44" s="2">
        <v>8100</v>
      </c>
      <c r="K44" s="2">
        <v>5786</v>
      </c>
      <c r="L44" s="2">
        <v>8579</v>
      </c>
      <c r="M44" s="2">
        <v>5370</v>
      </c>
      <c r="N44" s="2">
        <f>SUM(B44:M44)</f>
        <v>28361</v>
      </c>
    </row>
    <row r="45" spans="1:14" x14ac:dyDescent="0.2">
      <c r="A45">
        <v>93</v>
      </c>
      <c r="B45" s="2">
        <v>4362</v>
      </c>
      <c r="C45" s="2">
        <v>2767</v>
      </c>
      <c r="D45" s="2">
        <v>14753</v>
      </c>
      <c r="E45" s="2">
        <v>6679</v>
      </c>
      <c r="F45" s="2">
        <v>8112</v>
      </c>
      <c r="G45" s="2">
        <v>10358</v>
      </c>
      <c r="H45" s="2">
        <v>5273</v>
      </c>
      <c r="I45" s="2">
        <v>7589</v>
      </c>
      <c r="J45" s="2">
        <v>9152</v>
      </c>
      <c r="K45" s="2">
        <v>13998</v>
      </c>
      <c r="L45" s="2">
        <v>9344</v>
      </c>
      <c r="M45" s="2">
        <v>4028</v>
      </c>
      <c r="N45" s="2">
        <f>SUM(B45:M45)</f>
        <v>96415</v>
      </c>
    </row>
    <row r="46" spans="1:14" x14ac:dyDescent="0.2">
      <c r="A46">
        <v>94</v>
      </c>
      <c r="B46" s="2">
        <v>4</v>
      </c>
      <c r="C46" s="2">
        <v>0</v>
      </c>
      <c r="D46" s="2">
        <v>0</v>
      </c>
      <c r="E46" s="2">
        <v>485</v>
      </c>
      <c r="F46" s="2">
        <v>13256</v>
      </c>
      <c r="G46" s="2">
        <v>4255</v>
      </c>
      <c r="H46" s="2">
        <v>655</v>
      </c>
      <c r="I46" s="2">
        <v>983</v>
      </c>
      <c r="J46" s="2">
        <v>2827</v>
      </c>
      <c r="K46" s="2">
        <v>2102</v>
      </c>
      <c r="L46" s="2">
        <v>12499</v>
      </c>
      <c r="M46" s="2">
        <v>0</v>
      </c>
      <c r="N46" s="2">
        <f>SUM(B46:M46)</f>
        <v>37066</v>
      </c>
    </row>
    <row r="47" spans="1:14" x14ac:dyDescent="0.2">
      <c r="A47">
        <v>95</v>
      </c>
      <c r="B47" s="2">
        <v>7946</v>
      </c>
      <c r="C47" s="2">
        <v>3660</v>
      </c>
      <c r="D47" s="2">
        <v>14380</v>
      </c>
      <c r="E47" s="2">
        <v>7466</v>
      </c>
      <c r="F47" s="2">
        <v>10629</v>
      </c>
      <c r="G47" s="2">
        <v>9403</v>
      </c>
      <c r="H47" s="2">
        <v>4352</v>
      </c>
      <c r="I47" s="2">
        <v>4361</v>
      </c>
      <c r="J47" s="2">
        <v>9333</v>
      </c>
      <c r="K47" s="2">
        <v>8225</v>
      </c>
      <c r="L47" s="2">
        <v>11987</v>
      </c>
      <c r="M47" s="2">
        <v>5342</v>
      </c>
      <c r="N47" s="2">
        <f>SUM(B47:M47)</f>
        <v>97084</v>
      </c>
    </row>
    <row r="48" spans="1:14" x14ac:dyDescent="0.2">
      <c r="A48">
        <v>96</v>
      </c>
      <c r="B48" s="2">
        <v>12080</v>
      </c>
      <c r="C48" s="2">
        <v>17029</v>
      </c>
      <c r="D48" s="2">
        <v>12517</v>
      </c>
      <c r="E48" s="2">
        <v>7884</v>
      </c>
      <c r="F48" s="2">
        <v>15665</v>
      </c>
      <c r="G48" s="2">
        <v>4510</v>
      </c>
      <c r="H48" s="2">
        <v>6564</v>
      </c>
      <c r="I48" s="2">
        <v>4683</v>
      </c>
      <c r="J48" s="2">
        <v>9080</v>
      </c>
      <c r="K48" s="2">
        <v>9222</v>
      </c>
      <c r="L48" s="2">
        <v>13002</v>
      </c>
      <c r="M48" s="2">
        <v>3961</v>
      </c>
      <c r="N48" s="2">
        <f>SUM(B48:M48)</f>
        <v>116197</v>
      </c>
    </row>
    <row r="49" spans="1:14" x14ac:dyDescent="0.2">
      <c r="A49">
        <v>97</v>
      </c>
      <c r="B49" s="3">
        <v>15167</v>
      </c>
      <c r="C49" s="3">
        <v>10146</v>
      </c>
      <c r="D49" s="2">
        <v>0</v>
      </c>
      <c r="E49" s="3">
        <v>2420</v>
      </c>
      <c r="F49" s="3">
        <v>7019</v>
      </c>
      <c r="G49" s="3">
        <v>7980</v>
      </c>
      <c r="H49" s="3">
        <v>5726</v>
      </c>
      <c r="I49" s="3">
        <v>4911</v>
      </c>
      <c r="J49" s="3">
        <v>10519</v>
      </c>
      <c r="K49" s="3">
        <v>10440</v>
      </c>
      <c r="L49" s="3">
        <v>10983</v>
      </c>
      <c r="M49" s="3">
        <v>4758</v>
      </c>
      <c r="N49" s="2">
        <f>SUM(B49:M49)</f>
        <v>90069</v>
      </c>
    </row>
    <row r="50" spans="1:14" x14ac:dyDescent="0.2">
      <c r="A50">
        <v>98</v>
      </c>
      <c r="B50" s="2">
        <v>6034</v>
      </c>
      <c r="C50" s="2">
        <v>6935</v>
      </c>
      <c r="D50" s="2">
        <v>434</v>
      </c>
      <c r="E50" s="2">
        <v>10379</v>
      </c>
      <c r="F50" s="2">
        <v>16284</v>
      </c>
      <c r="G50" s="2">
        <v>12360</v>
      </c>
      <c r="H50" s="2">
        <v>4871</v>
      </c>
      <c r="I50" s="2">
        <v>4835</v>
      </c>
      <c r="J50" s="2">
        <v>8628</v>
      </c>
      <c r="K50" s="2">
        <v>12954</v>
      </c>
      <c r="L50" s="2">
        <v>12832</v>
      </c>
      <c r="M50" s="2">
        <v>11617</v>
      </c>
      <c r="N50" s="2">
        <f>SUM(B50:M50)</f>
        <v>108163</v>
      </c>
    </row>
    <row r="52" spans="1:14" x14ac:dyDescent="0.2">
      <c r="A52" s="7" t="s">
        <v>1</v>
      </c>
      <c r="B52" s="1">
        <f>AVERAGE(B41:B50)</f>
        <v>4566.7</v>
      </c>
      <c r="C52" s="1">
        <f>AVERAGE(C41:C50)</f>
        <v>4150</v>
      </c>
      <c r="D52" s="1">
        <f>AVERAGE(D41:D50)</f>
        <v>5739.5</v>
      </c>
      <c r="E52" s="1">
        <f>AVERAGE(E41:E50)</f>
        <v>4143.8999999999996</v>
      </c>
      <c r="F52" s="1">
        <f>AVERAGE(F41:F50)</f>
        <v>10506.3</v>
      </c>
      <c r="G52" s="1">
        <f>AVERAGE(G41:G50)</f>
        <v>7143.6</v>
      </c>
      <c r="H52" s="1">
        <f>AVERAGE(H41:H50)</f>
        <v>4339.3</v>
      </c>
      <c r="I52" s="1">
        <f>AVERAGE(I41:I50)</f>
        <v>5519.1</v>
      </c>
      <c r="J52" s="1">
        <f>AVERAGE(J41:J50)</f>
        <v>9888.7000000000007</v>
      </c>
      <c r="K52" s="1">
        <f>AVERAGE(K41:K50)</f>
        <v>9779.7000000000007</v>
      </c>
      <c r="L52" s="1">
        <f>AVERAGE(L41:L50)</f>
        <v>12758.6</v>
      </c>
      <c r="M52" s="1">
        <f>AVERAGE(M41:M50)</f>
        <v>5650.1</v>
      </c>
      <c r="N52" s="2" t="s">
        <v>0</v>
      </c>
    </row>
    <row r="53" spans="1:14" x14ac:dyDescent="0.2">
      <c r="B53" s="1">
        <f>+B52</f>
        <v>4566.7</v>
      </c>
      <c r="C53" s="1">
        <f>+B53+C52</f>
        <v>8716.7000000000007</v>
      </c>
      <c r="D53" s="1">
        <f>+C53+D52</f>
        <v>14456.2</v>
      </c>
      <c r="E53" s="1">
        <f>+D53+E52</f>
        <v>18600.099999999999</v>
      </c>
      <c r="F53" s="1">
        <f>+E53+F52</f>
        <v>29106.399999999998</v>
      </c>
      <c r="G53" s="1">
        <f>+F53+G52</f>
        <v>36250</v>
      </c>
      <c r="H53" s="1">
        <f>+G53+H52</f>
        <v>40589.300000000003</v>
      </c>
      <c r="I53" s="1">
        <f>+H53+I52</f>
        <v>46108.4</v>
      </c>
      <c r="J53" s="1">
        <f>+I53+J52</f>
        <v>55997.100000000006</v>
      </c>
      <c r="K53" s="1">
        <f>+J53+K52</f>
        <v>65776.800000000003</v>
      </c>
      <c r="L53" s="1">
        <f>+K53+L52</f>
        <v>78535.400000000009</v>
      </c>
      <c r="M53" s="1">
        <f>+L53+M52</f>
        <v>84185.500000000015</v>
      </c>
      <c r="N53" s="1">
        <f>AVERAGE(N41:N50)</f>
        <v>84185.5</v>
      </c>
    </row>
  </sheetData>
  <sheetProtection sheet="1" objects="1" scenarios="1"/>
  <pageMargins left="0.11" right="0.12" top="1" bottom="1" header="0.5" footer="0.5"/>
  <pageSetup scale="76"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10"/>
  <sheetViews>
    <sheetView topLeftCell="A2" workbookViewId="0">
      <pane xSplit="1" ySplit="2" topLeftCell="B4" activePane="bottomRight" state="frozen"/>
      <selection activeCell="N52" sqref="N52"/>
      <selection pane="topRight" activeCell="N52" sqref="N52"/>
      <selection pane="bottomLeft" activeCell="N52" sqref="N52"/>
      <selection pane="bottomRight" activeCell="N52" sqref="N52"/>
    </sheetView>
  </sheetViews>
  <sheetFormatPr defaultRowHeight="12.75" x14ac:dyDescent="0.2"/>
  <sheetData>
    <row r="1" spans="1:11" x14ac:dyDescent="0.2">
      <c r="D1" s="7" t="s">
        <v>89</v>
      </c>
    </row>
    <row r="2" spans="1:11" x14ac:dyDescent="0.2">
      <c r="I2" s="20"/>
      <c r="J2" s="20"/>
      <c r="K2" s="20"/>
    </row>
    <row r="3" spans="1:11" ht="25.5" x14ac:dyDescent="0.2">
      <c r="B3" s="19" t="s">
        <v>88</v>
      </c>
      <c r="C3" s="19" t="s">
        <v>87</v>
      </c>
      <c r="D3" s="19" t="s">
        <v>86</v>
      </c>
      <c r="E3" s="19" t="s">
        <v>85</v>
      </c>
      <c r="F3" s="19" t="s">
        <v>84</v>
      </c>
      <c r="G3" s="19" t="s">
        <v>83</v>
      </c>
      <c r="H3" s="19" t="s">
        <v>82</v>
      </c>
      <c r="I3" s="18" t="s">
        <v>81</v>
      </c>
      <c r="J3" s="18" t="s">
        <v>80</v>
      </c>
      <c r="K3" s="18" t="s">
        <v>79</v>
      </c>
    </row>
    <row r="4" spans="1:11" x14ac:dyDescent="0.2">
      <c r="A4" t="s">
        <v>78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224</v>
      </c>
      <c r="H4" s="4">
        <v>215</v>
      </c>
      <c r="I4">
        <f>SUM(B4:H4)</f>
        <v>439</v>
      </c>
      <c r="J4">
        <f>+I4</f>
        <v>439</v>
      </c>
      <c r="K4" s="17">
        <f>+J4*1.98</f>
        <v>869.22</v>
      </c>
    </row>
    <row r="5" spans="1:11" x14ac:dyDescent="0.2">
      <c r="A5" s="7" t="s">
        <v>77</v>
      </c>
      <c r="B5" s="4">
        <v>217</v>
      </c>
      <c r="C5" s="4">
        <v>178</v>
      </c>
      <c r="D5" s="4">
        <v>112</v>
      </c>
      <c r="E5" s="4">
        <v>94</v>
      </c>
      <c r="F5" s="4">
        <v>98</v>
      </c>
      <c r="G5" s="4">
        <v>61</v>
      </c>
      <c r="H5" s="4">
        <v>101</v>
      </c>
      <c r="I5">
        <f>SUM(B5:H5)</f>
        <v>861</v>
      </c>
      <c r="J5">
        <f>+I5+J4</f>
        <v>1300</v>
      </c>
      <c r="K5" s="17">
        <f>+J5*1.98</f>
        <v>2574</v>
      </c>
    </row>
    <row r="6" spans="1:11" x14ac:dyDescent="0.2">
      <c r="A6" s="7" t="s">
        <v>76</v>
      </c>
      <c r="B6" s="4">
        <v>113</v>
      </c>
      <c r="C6" s="4">
        <v>113</v>
      </c>
      <c r="D6" s="4">
        <v>78</v>
      </c>
      <c r="E6" s="4">
        <v>0</v>
      </c>
      <c r="F6" s="4">
        <v>0</v>
      </c>
      <c r="G6" s="4">
        <v>0</v>
      </c>
      <c r="H6" s="4">
        <v>5</v>
      </c>
      <c r="I6">
        <f>SUM(B6:H6)</f>
        <v>309</v>
      </c>
      <c r="J6">
        <f>+I6+J5</f>
        <v>1609</v>
      </c>
      <c r="K6" s="17">
        <f>+J6*1.98</f>
        <v>3185.82</v>
      </c>
    </row>
    <row r="7" spans="1:11" x14ac:dyDescent="0.2">
      <c r="A7" t="s">
        <v>75</v>
      </c>
      <c r="B7" s="4">
        <v>2</v>
      </c>
      <c r="C7" s="4">
        <v>1</v>
      </c>
      <c r="D7" s="4">
        <v>1</v>
      </c>
      <c r="E7" s="4">
        <v>1</v>
      </c>
      <c r="F7" s="4">
        <v>1</v>
      </c>
      <c r="G7" s="4">
        <v>0</v>
      </c>
      <c r="H7" s="4">
        <v>1</v>
      </c>
      <c r="I7">
        <f>SUM(B7:H7)</f>
        <v>7</v>
      </c>
      <c r="J7">
        <f>+I7+J6</f>
        <v>1616</v>
      </c>
      <c r="K7" s="17">
        <f>+J7*1.98</f>
        <v>3199.68</v>
      </c>
    </row>
    <row r="8" spans="1:11" x14ac:dyDescent="0.2">
      <c r="A8" s="7" t="s">
        <v>74</v>
      </c>
      <c r="B8" s="4">
        <v>2</v>
      </c>
      <c r="C8" s="4">
        <v>2</v>
      </c>
      <c r="D8" s="4">
        <v>1</v>
      </c>
      <c r="E8" s="4">
        <v>2</v>
      </c>
      <c r="F8" s="4">
        <v>1</v>
      </c>
      <c r="G8" s="4">
        <v>1</v>
      </c>
      <c r="H8" s="4">
        <v>1</v>
      </c>
      <c r="I8">
        <f>SUM(B8:H8)</f>
        <v>10</v>
      </c>
      <c r="J8">
        <f>+I8+J7</f>
        <v>1626</v>
      </c>
      <c r="K8" s="17">
        <f>+J8*1.98</f>
        <v>3219.48</v>
      </c>
    </row>
    <row r="9" spans="1:11" x14ac:dyDescent="0.2">
      <c r="A9" s="7" t="s">
        <v>73</v>
      </c>
      <c r="B9" s="4">
        <v>1</v>
      </c>
      <c r="C9" s="4">
        <v>1</v>
      </c>
      <c r="D9" s="4">
        <v>1</v>
      </c>
      <c r="E9" s="4">
        <v>1</v>
      </c>
      <c r="F9" s="4">
        <v>4</v>
      </c>
      <c r="G9" s="4">
        <v>6</v>
      </c>
      <c r="H9" s="4">
        <v>5</v>
      </c>
      <c r="I9">
        <f>SUM(B9:H9)</f>
        <v>19</v>
      </c>
      <c r="J9">
        <f>+I9+J8</f>
        <v>1645</v>
      </c>
      <c r="K9" s="17">
        <f>+J9*1.98</f>
        <v>3257.1</v>
      </c>
    </row>
    <row r="10" spans="1:11" x14ac:dyDescent="0.2">
      <c r="A10" t="s">
        <v>72</v>
      </c>
      <c r="B10" s="4">
        <v>1</v>
      </c>
      <c r="C10" s="4">
        <v>43</v>
      </c>
      <c r="D10" s="4">
        <v>125</v>
      </c>
      <c r="E10" s="4">
        <v>303</v>
      </c>
      <c r="F10" s="4">
        <v>367</v>
      </c>
      <c r="G10" s="4">
        <v>341</v>
      </c>
      <c r="H10" s="4">
        <v>334</v>
      </c>
      <c r="I10">
        <f>SUM(B10:H10)</f>
        <v>1514</v>
      </c>
      <c r="J10">
        <f>+I10+J9</f>
        <v>3159</v>
      </c>
      <c r="K10" s="17">
        <f>+J10*1.98</f>
        <v>6254.82</v>
      </c>
    </row>
    <row r="11" spans="1:11" x14ac:dyDescent="0.2">
      <c r="A11" s="7" t="s">
        <v>71</v>
      </c>
      <c r="B11" s="4">
        <v>319</v>
      </c>
      <c r="C11" s="4">
        <v>312</v>
      </c>
      <c r="D11" s="4">
        <v>328</v>
      </c>
      <c r="E11" s="4">
        <v>335</v>
      </c>
      <c r="F11" s="4">
        <v>362</v>
      </c>
      <c r="G11" s="4">
        <v>375</v>
      </c>
      <c r="H11" s="4">
        <v>617</v>
      </c>
      <c r="I11">
        <f>SUM(B11:H11)</f>
        <v>2648</v>
      </c>
      <c r="J11">
        <f>+I11+J10</f>
        <v>5807</v>
      </c>
      <c r="K11" s="17">
        <f>+J11*1.98</f>
        <v>11497.86</v>
      </c>
    </row>
    <row r="12" spans="1:11" x14ac:dyDescent="0.2">
      <c r="A12" t="s">
        <v>70</v>
      </c>
      <c r="B12" s="4">
        <v>377</v>
      </c>
      <c r="C12" s="4">
        <v>394</v>
      </c>
      <c r="D12" s="4">
        <v>370</v>
      </c>
      <c r="E12" s="4">
        <v>379</v>
      </c>
      <c r="F12" s="4">
        <v>341</v>
      </c>
      <c r="G12" s="4">
        <v>318</v>
      </c>
      <c r="H12" s="4">
        <v>330</v>
      </c>
      <c r="I12">
        <f>SUM(B12:H12)</f>
        <v>2509</v>
      </c>
      <c r="J12">
        <f>+I12+J11</f>
        <v>8316</v>
      </c>
      <c r="K12" s="17">
        <f>+J12*1.98</f>
        <v>16465.68</v>
      </c>
    </row>
    <row r="13" spans="1:11" x14ac:dyDescent="0.2">
      <c r="A13" s="7" t="s">
        <v>69</v>
      </c>
      <c r="B13" s="4">
        <v>339</v>
      </c>
      <c r="C13" s="4">
        <v>336</v>
      </c>
      <c r="D13" s="4">
        <v>336</v>
      </c>
      <c r="E13" s="4">
        <v>336</v>
      </c>
      <c r="F13" s="4">
        <v>330</v>
      </c>
      <c r="G13" s="4">
        <v>316</v>
      </c>
      <c r="H13" s="4">
        <v>306</v>
      </c>
      <c r="I13">
        <f>SUM(B13:H13)</f>
        <v>2299</v>
      </c>
      <c r="J13">
        <f>+I13+J12</f>
        <v>10615</v>
      </c>
      <c r="K13" s="17">
        <f>+J13*1.98</f>
        <v>21017.7</v>
      </c>
    </row>
    <row r="14" spans="1:11" x14ac:dyDescent="0.2">
      <c r="A14" s="7" t="s">
        <v>68</v>
      </c>
      <c r="B14" s="4">
        <v>310</v>
      </c>
      <c r="C14" s="4">
        <v>309</v>
      </c>
      <c r="D14" s="4">
        <v>302</v>
      </c>
      <c r="E14" s="4">
        <v>291</v>
      </c>
      <c r="F14" s="4">
        <v>293</v>
      </c>
      <c r="G14" s="4">
        <v>319</v>
      </c>
      <c r="H14" s="4">
        <v>343</v>
      </c>
      <c r="I14">
        <f>SUM(B14:H14)</f>
        <v>2167</v>
      </c>
      <c r="J14">
        <f>+I14+J13</f>
        <v>12782</v>
      </c>
      <c r="K14" s="17">
        <f>+J14*1.98</f>
        <v>25308.36</v>
      </c>
    </row>
    <row r="15" spans="1:11" x14ac:dyDescent="0.2">
      <c r="A15" t="s">
        <v>67</v>
      </c>
      <c r="B15" s="4">
        <v>334</v>
      </c>
      <c r="C15" s="4">
        <v>312</v>
      </c>
      <c r="D15" s="4">
        <v>308</v>
      </c>
      <c r="E15" s="4">
        <v>330</v>
      </c>
      <c r="F15" s="4">
        <v>336</v>
      </c>
      <c r="G15" s="4">
        <v>279</v>
      </c>
      <c r="H15" s="4">
        <v>211</v>
      </c>
      <c r="I15">
        <f>SUM(B15:H15)</f>
        <v>2110</v>
      </c>
      <c r="J15">
        <f>+I15+J14</f>
        <v>14892</v>
      </c>
      <c r="K15" s="17">
        <f>+J15*1.98</f>
        <v>29486.16</v>
      </c>
    </row>
    <row r="16" spans="1:11" x14ac:dyDescent="0.2">
      <c r="A16" s="7" t="s">
        <v>66</v>
      </c>
      <c r="B16" s="4">
        <v>206</v>
      </c>
      <c r="C16" s="4">
        <v>90</v>
      </c>
      <c r="D16" s="4">
        <v>90</v>
      </c>
      <c r="E16" s="4">
        <v>73</v>
      </c>
      <c r="F16" s="4">
        <v>63</v>
      </c>
      <c r="G16" s="4">
        <v>81</v>
      </c>
      <c r="H16" s="4">
        <v>82</v>
      </c>
      <c r="I16">
        <f>SUM(B16:H16)</f>
        <v>685</v>
      </c>
      <c r="J16">
        <f>+I16+J15</f>
        <v>15577</v>
      </c>
      <c r="K16" s="17">
        <f>+J16*1.98</f>
        <v>30842.46</v>
      </c>
    </row>
    <row r="17" spans="1:11" x14ac:dyDescent="0.2">
      <c r="A17" s="7" t="s">
        <v>65</v>
      </c>
      <c r="B17" s="4">
        <v>82</v>
      </c>
      <c r="C17" s="4">
        <v>80</v>
      </c>
      <c r="D17" s="4">
        <v>80</v>
      </c>
      <c r="E17" s="4">
        <v>133</v>
      </c>
      <c r="F17" s="4">
        <v>129</v>
      </c>
      <c r="G17" s="4">
        <v>202</v>
      </c>
      <c r="H17" s="4">
        <v>163</v>
      </c>
      <c r="I17">
        <f>SUM(B17:H17)</f>
        <v>869</v>
      </c>
      <c r="J17">
        <f>+I17+J16</f>
        <v>16446</v>
      </c>
      <c r="K17" s="17">
        <f>+J17*1.98</f>
        <v>32563.079999999998</v>
      </c>
    </row>
    <row r="18" spans="1:11" x14ac:dyDescent="0.2">
      <c r="A18" t="s">
        <v>64</v>
      </c>
      <c r="B18" s="4">
        <v>124</v>
      </c>
      <c r="C18" s="4">
        <v>123</v>
      </c>
      <c r="D18" s="4">
        <v>108</v>
      </c>
      <c r="E18" s="4">
        <v>69</v>
      </c>
      <c r="F18" s="4">
        <v>118</v>
      </c>
      <c r="G18" s="4">
        <v>65</v>
      </c>
      <c r="H18" s="4">
        <v>65</v>
      </c>
      <c r="I18">
        <f>SUM(B18:H18)</f>
        <v>672</v>
      </c>
      <c r="J18">
        <f>+I18+J17</f>
        <v>17118</v>
      </c>
      <c r="K18" s="17">
        <f>+J18*1.98</f>
        <v>33893.64</v>
      </c>
    </row>
    <row r="19" spans="1:11" x14ac:dyDescent="0.2">
      <c r="A19" s="7" t="s">
        <v>63</v>
      </c>
      <c r="B19" s="4">
        <v>73</v>
      </c>
      <c r="C19" s="4">
        <v>88</v>
      </c>
      <c r="D19" s="4">
        <v>89</v>
      </c>
      <c r="E19" s="4">
        <v>117</v>
      </c>
      <c r="F19" s="4">
        <v>154</v>
      </c>
      <c r="G19" s="4">
        <v>233</v>
      </c>
      <c r="H19" s="4">
        <v>246</v>
      </c>
      <c r="I19">
        <f>SUM(B19:H19)</f>
        <v>1000</v>
      </c>
      <c r="J19">
        <f>+I19+J18</f>
        <v>18118</v>
      </c>
      <c r="K19" s="17">
        <f>+J19*1.98</f>
        <v>35873.64</v>
      </c>
    </row>
    <row r="20" spans="1:11" x14ac:dyDescent="0.2">
      <c r="A20" t="s">
        <v>62</v>
      </c>
      <c r="B20" s="4">
        <v>245</v>
      </c>
      <c r="C20" s="4">
        <v>269</v>
      </c>
      <c r="D20" s="4">
        <v>244</v>
      </c>
      <c r="E20" s="4">
        <v>240</v>
      </c>
      <c r="F20" s="4">
        <v>226</v>
      </c>
      <c r="G20" s="4">
        <v>195</v>
      </c>
      <c r="H20" s="4">
        <v>141</v>
      </c>
      <c r="I20">
        <f>SUM(B20:H20)</f>
        <v>1560</v>
      </c>
      <c r="J20">
        <f>+I20+J19</f>
        <v>19678</v>
      </c>
      <c r="K20" s="17">
        <f>+J20*1.98</f>
        <v>38962.44</v>
      </c>
    </row>
    <row r="21" spans="1:11" x14ac:dyDescent="0.2">
      <c r="A21" s="7" t="s">
        <v>61</v>
      </c>
      <c r="B21" s="4">
        <v>138</v>
      </c>
      <c r="C21" s="4">
        <v>140</v>
      </c>
      <c r="D21" s="4">
        <v>130</v>
      </c>
      <c r="E21" s="4">
        <v>73</v>
      </c>
      <c r="F21" s="4">
        <v>81</v>
      </c>
      <c r="G21" s="4">
        <v>139</v>
      </c>
      <c r="H21" s="4">
        <v>185</v>
      </c>
      <c r="I21">
        <f>SUM(B21:H21)</f>
        <v>886</v>
      </c>
      <c r="J21">
        <f>+I21+J20</f>
        <v>20564</v>
      </c>
      <c r="K21" s="17">
        <f>+J21*1.98</f>
        <v>40716.720000000001</v>
      </c>
    </row>
    <row r="22" spans="1:11" x14ac:dyDescent="0.2">
      <c r="A22" s="7" t="s">
        <v>60</v>
      </c>
      <c r="B22" s="4">
        <v>150</v>
      </c>
      <c r="C22" s="4">
        <v>120</v>
      </c>
      <c r="D22" s="4">
        <v>99</v>
      </c>
      <c r="E22" s="4">
        <v>72</v>
      </c>
      <c r="F22" s="4">
        <v>130</v>
      </c>
      <c r="G22" s="4">
        <v>166</v>
      </c>
      <c r="H22" s="4">
        <v>164</v>
      </c>
      <c r="I22">
        <f>SUM(B22:H22)</f>
        <v>901</v>
      </c>
      <c r="J22">
        <f>+I22+J21</f>
        <v>21465</v>
      </c>
      <c r="K22" s="17">
        <f>+J22*1.98</f>
        <v>42500.7</v>
      </c>
    </row>
    <row r="23" spans="1:11" x14ac:dyDescent="0.2">
      <c r="A23" t="s">
        <v>59</v>
      </c>
      <c r="B23" s="4">
        <v>165</v>
      </c>
      <c r="C23" s="4">
        <v>165</v>
      </c>
      <c r="D23" s="4">
        <v>164</v>
      </c>
      <c r="E23" s="4">
        <v>157</v>
      </c>
      <c r="F23" s="4">
        <v>199</v>
      </c>
      <c r="G23" s="4">
        <v>141</v>
      </c>
      <c r="H23" s="4">
        <v>140</v>
      </c>
      <c r="I23">
        <f>SUM(B23:H23)</f>
        <v>1131</v>
      </c>
      <c r="J23">
        <f>+I23+J22</f>
        <v>22596</v>
      </c>
      <c r="K23" s="17">
        <f>+J23*1.98</f>
        <v>44740.08</v>
      </c>
    </row>
    <row r="24" spans="1:11" x14ac:dyDescent="0.2">
      <c r="A24" s="7" t="s">
        <v>58</v>
      </c>
      <c r="B24" s="4">
        <v>150</v>
      </c>
      <c r="C24" s="4">
        <v>153</v>
      </c>
      <c r="D24" s="4">
        <v>166</v>
      </c>
      <c r="E24" s="4">
        <v>157</v>
      </c>
      <c r="F24" s="4">
        <v>190</v>
      </c>
      <c r="G24" s="4">
        <v>185</v>
      </c>
      <c r="H24" s="4">
        <v>187</v>
      </c>
      <c r="I24">
        <f>SUM(B24:H24)</f>
        <v>1188</v>
      </c>
      <c r="J24">
        <f>+I24+J23</f>
        <v>23784</v>
      </c>
      <c r="K24" s="17">
        <f>+J24*1.98</f>
        <v>47092.32</v>
      </c>
    </row>
    <row r="25" spans="1:11" x14ac:dyDescent="0.2">
      <c r="A25" s="7" t="s">
        <v>57</v>
      </c>
      <c r="B25" s="4">
        <v>185</v>
      </c>
      <c r="C25" s="4">
        <v>183</v>
      </c>
      <c r="D25" s="4">
        <v>179</v>
      </c>
      <c r="E25" s="4">
        <v>161</v>
      </c>
      <c r="F25" s="4">
        <v>126</v>
      </c>
      <c r="G25" s="4">
        <v>109</v>
      </c>
      <c r="H25" s="4">
        <v>117</v>
      </c>
      <c r="I25">
        <f>SUM(B25:H25)</f>
        <v>1060</v>
      </c>
      <c r="J25">
        <f>+I25+J24</f>
        <v>24844</v>
      </c>
      <c r="K25" s="17">
        <f>+J25*1.98</f>
        <v>49191.12</v>
      </c>
    </row>
    <row r="26" spans="1:11" x14ac:dyDescent="0.2">
      <c r="A26" t="s">
        <v>56</v>
      </c>
      <c r="B26" s="4">
        <v>124</v>
      </c>
      <c r="C26" s="4">
        <v>122</v>
      </c>
      <c r="D26" s="4">
        <v>160</v>
      </c>
      <c r="E26" s="4">
        <v>84</v>
      </c>
      <c r="F26" s="4">
        <v>88</v>
      </c>
      <c r="G26" s="4">
        <v>103</v>
      </c>
      <c r="H26" s="4">
        <v>162</v>
      </c>
      <c r="I26">
        <f>SUM(B26:H26)</f>
        <v>843</v>
      </c>
      <c r="J26">
        <f>+I26+J25</f>
        <v>25687</v>
      </c>
      <c r="K26" s="17">
        <f>+J26*1.98</f>
        <v>50860.26</v>
      </c>
    </row>
    <row r="27" spans="1:11" x14ac:dyDescent="0.2">
      <c r="A27" s="7" t="s">
        <v>55</v>
      </c>
      <c r="B27" s="4">
        <v>109</v>
      </c>
      <c r="C27" s="4">
        <v>103</v>
      </c>
      <c r="D27" s="4">
        <v>99</v>
      </c>
      <c r="E27" s="4">
        <v>100</v>
      </c>
      <c r="F27" s="4">
        <v>154</v>
      </c>
      <c r="G27" s="4">
        <v>182</v>
      </c>
      <c r="H27" s="4">
        <v>165</v>
      </c>
      <c r="I27">
        <f>SUM(B27:H27)</f>
        <v>912</v>
      </c>
      <c r="J27">
        <f>+I27+J26</f>
        <v>26599</v>
      </c>
      <c r="K27" s="17">
        <f>+J27*1.98</f>
        <v>52666.02</v>
      </c>
    </row>
    <row r="28" spans="1:11" x14ac:dyDescent="0.2">
      <c r="A28" t="s">
        <v>54</v>
      </c>
      <c r="B28" s="4">
        <v>155</v>
      </c>
      <c r="C28" s="4">
        <v>145</v>
      </c>
      <c r="D28" s="4">
        <v>143</v>
      </c>
      <c r="E28" s="4">
        <v>150</v>
      </c>
      <c r="F28" s="4">
        <v>145</v>
      </c>
      <c r="G28" s="4">
        <v>145</v>
      </c>
      <c r="H28" s="4">
        <v>184</v>
      </c>
      <c r="I28">
        <f>SUM(B28:H28)</f>
        <v>1067</v>
      </c>
      <c r="J28">
        <f>+I28+J27</f>
        <v>27666</v>
      </c>
      <c r="K28" s="17">
        <f>+J28*1.98</f>
        <v>54778.68</v>
      </c>
    </row>
    <row r="29" spans="1:11" x14ac:dyDescent="0.2">
      <c r="A29" s="7" t="s">
        <v>53</v>
      </c>
      <c r="B29" s="4">
        <v>109</v>
      </c>
      <c r="C29" s="4">
        <v>86</v>
      </c>
      <c r="D29" s="4">
        <v>58</v>
      </c>
      <c r="E29" s="4">
        <v>69</v>
      </c>
      <c r="F29" s="4">
        <v>57</v>
      </c>
      <c r="G29" s="4">
        <v>50</v>
      </c>
      <c r="H29" s="4">
        <v>18</v>
      </c>
      <c r="I29">
        <f>SUM(B29:H29)</f>
        <v>447</v>
      </c>
      <c r="J29">
        <f>+I29+J28</f>
        <v>28113</v>
      </c>
      <c r="K29" s="17">
        <f>+J29*1.98</f>
        <v>55663.74</v>
      </c>
    </row>
    <row r="30" spans="1:11" x14ac:dyDescent="0.2">
      <c r="A30" s="7" t="s">
        <v>52</v>
      </c>
      <c r="B30" s="4">
        <v>8</v>
      </c>
      <c r="C30" s="4">
        <v>0</v>
      </c>
      <c r="D30" s="4">
        <v>0</v>
      </c>
      <c r="E30" s="4">
        <v>0</v>
      </c>
      <c r="F30" s="4">
        <v>7</v>
      </c>
      <c r="G30" s="4">
        <v>3</v>
      </c>
      <c r="H30" s="4">
        <v>9</v>
      </c>
      <c r="I30">
        <f>SUM(B30:H30)</f>
        <v>27</v>
      </c>
      <c r="J30">
        <f>+I30+J29</f>
        <v>28140</v>
      </c>
      <c r="K30" s="17">
        <f>+J30*1.98</f>
        <v>55717.2</v>
      </c>
    </row>
    <row r="31" spans="1:11" x14ac:dyDescent="0.2">
      <c r="A31" t="s">
        <v>51</v>
      </c>
      <c r="B31" s="4">
        <v>11</v>
      </c>
      <c r="C31" s="4">
        <v>50</v>
      </c>
      <c r="D31" s="4">
        <v>26</v>
      </c>
      <c r="E31" s="4">
        <v>0</v>
      </c>
      <c r="F31" s="4">
        <v>0</v>
      </c>
      <c r="G31" s="4">
        <v>16</v>
      </c>
      <c r="H31" s="4">
        <v>12</v>
      </c>
      <c r="I31">
        <f>SUM(B31:H31)</f>
        <v>115</v>
      </c>
      <c r="J31">
        <f>+I31+J30</f>
        <v>28255</v>
      </c>
      <c r="K31" s="17">
        <f>+J31*1.98</f>
        <v>55944.9</v>
      </c>
    </row>
    <row r="32" spans="1:11" x14ac:dyDescent="0.2">
      <c r="A32" s="7" t="s">
        <v>50</v>
      </c>
      <c r="B32" s="4">
        <v>16</v>
      </c>
      <c r="C32" s="4">
        <v>14</v>
      </c>
      <c r="D32" s="4">
        <v>23</v>
      </c>
      <c r="E32" s="4">
        <v>29</v>
      </c>
      <c r="F32" s="4">
        <v>19</v>
      </c>
      <c r="G32" s="4">
        <v>32</v>
      </c>
      <c r="H32" s="4">
        <v>34</v>
      </c>
      <c r="I32">
        <f>SUM(B32:H32)</f>
        <v>167</v>
      </c>
      <c r="J32">
        <f>+I32+J31</f>
        <v>28422</v>
      </c>
      <c r="K32" s="17">
        <f>+J32*1.98</f>
        <v>56275.56</v>
      </c>
    </row>
    <row r="33" spans="1:11" x14ac:dyDescent="0.2">
      <c r="A33" s="7" t="s">
        <v>49</v>
      </c>
      <c r="B33" s="4">
        <v>65</v>
      </c>
      <c r="C33" s="4">
        <v>69</v>
      </c>
      <c r="D33" s="4">
        <v>75</v>
      </c>
      <c r="E33" s="4">
        <v>48</v>
      </c>
      <c r="F33" s="4">
        <v>46</v>
      </c>
      <c r="G33" s="4">
        <v>43</v>
      </c>
      <c r="H33" s="4">
        <v>47</v>
      </c>
      <c r="I33">
        <f>SUM(B33:H33)</f>
        <v>393</v>
      </c>
      <c r="J33">
        <f>+I33+J32</f>
        <v>28815</v>
      </c>
      <c r="K33" s="17">
        <f>+J33*1.98</f>
        <v>57053.7</v>
      </c>
    </row>
    <row r="34" spans="1:11" x14ac:dyDescent="0.2">
      <c r="A34" t="s">
        <v>48</v>
      </c>
      <c r="B34" s="4">
        <v>44</v>
      </c>
      <c r="C34" s="4">
        <v>44</v>
      </c>
      <c r="D34" s="4">
        <v>50</v>
      </c>
      <c r="E34" s="4">
        <v>54</v>
      </c>
      <c r="F34" s="4">
        <v>84</v>
      </c>
      <c r="G34" s="4">
        <v>82</v>
      </c>
      <c r="H34" s="4">
        <v>83</v>
      </c>
      <c r="I34">
        <f>SUM(B34:H34)</f>
        <v>441</v>
      </c>
      <c r="J34">
        <f>+I34+J33</f>
        <v>29256</v>
      </c>
      <c r="K34" s="17">
        <f>+J34*1.98</f>
        <v>57926.879999999997</v>
      </c>
    </row>
    <row r="35" spans="1:11" x14ac:dyDescent="0.2">
      <c r="A35" s="7" t="s">
        <v>47</v>
      </c>
      <c r="B35" s="4">
        <v>83</v>
      </c>
      <c r="C35" s="4">
        <v>88</v>
      </c>
      <c r="D35" s="4">
        <v>98</v>
      </c>
      <c r="E35" s="4">
        <v>51</v>
      </c>
      <c r="F35" s="4">
        <v>44</v>
      </c>
      <c r="G35" s="4">
        <v>54</v>
      </c>
      <c r="H35" s="4">
        <v>97</v>
      </c>
      <c r="I35">
        <f>SUM(B35:H35)</f>
        <v>515</v>
      </c>
      <c r="J35">
        <f>+I35+J34</f>
        <v>29771</v>
      </c>
      <c r="K35" s="17">
        <f>+J35*1.98</f>
        <v>58946.58</v>
      </c>
    </row>
    <row r="36" spans="1:11" x14ac:dyDescent="0.2">
      <c r="A36" t="s">
        <v>46</v>
      </c>
      <c r="B36" s="4">
        <v>86</v>
      </c>
      <c r="C36" s="4">
        <v>77</v>
      </c>
      <c r="D36" s="4">
        <v>120</v>
      </c>
      <c r="E36" s="4">
        <v>195</v>
      </c>
      <c r="F36" s="4">
        <v>247</v>
      </c>
      <c r="G36" s="4">
        <v>211</v>
      </c>
      <c r="H36" s="4">
        <v>194</v>
      </c>
      <c r="I36">
        <f>SUM(B36:H36)</f>
        <v>1130</v>
      </c>
      <c r="J36">
        <f>+I36+J35</f>
        <v>30901</v>
      </c>
      <c r="K36" s="17">
        <f>+J36*1.98</f>
        <v>61183.979999999996</v>
      </c>
    </row>
    <row r="37" spans="1:11" x14ac:dyDescent="0.2">
      <c r="A37" s="7" t="s">
        <v>45</v>
      </c>
      <c r="B37" s="4">
        <v>196</v>
      </c>
      <c r="C37" s="4">
        <v>212</v>
      </c>
      <c r="D37" s="4">
        <v>209</v>
      </c>
      <c r="E37" s="4">
        <v>203</v>
      </c>
      <c r="F37" s="4">
        <v>202</v>
      </c>
      <c r="G37" s="4">
        <v>205</v>
      </c>
      <c r="H37" s="4">
        <v>199</v>
      </c>
      <c r="I37">
        <f>SUM(B37:H37)</f>
        <v>1426</v>
      </c>
      <c r="J37">
        <f>+I37+J36</f>
        <v>32327</v>
      </c>
      <c r="K37" s="17">
        <f>+J37*1.98</f>
        <v>64007.46</v>
      </c>
    </row>
    <row r="38" spans="1:11" x14ac:dyDescent="0.2">
      <c r="A38" s="7" t="s">
        <v>44</v>
      </c>
      <c r="B38" s="4">
        <v>195</v>
      </c>
      <c r="C38" s="4">
        <v>190</v>
      </c>
      <c r="D38" s="4">
        <v>125</v>
      </c>
      <c r="E38" s="4">
        <v>196</v>
      </c>
      <c r="F38" s="4">
        <v>319</v>
      </c>
      <c r="G38" s="4">
        <v>180</v>
      </c>
      <c r="H38" s="4">
        <v>179</v>
      </c>
      <c r="I38">
        <f>SUM(B38:H38)</f>
        <v>1384</v>
      </c>
      <c r="J38">
        <f>+I38+J37</f>
        <v>33711</v>
      </c>
      <c r="K38" s="17">
        <f>+J38*1.98</f>
        <v>66747.78</v>
      </c>
    </row>
    <row r="39" spans="1:11" x14ac:dyDescent="0.2">
      <c r="A39" t="s">
        <v>43</v>
      </c>
      <c r="B39" s="4">
        <v>174</v>
      </c>
      <c r="C39" s="4">
        <v>170</v>
      </c>
      <c r="D39" s="4">
        <v>169</v>
      </c>
      <c r="E39" s="4">
        <v>122</v>
      </c>
      <c r="F39" s="4">
        <v>16</v>
      </c>
      <c r="G39" s="4">
        <v>12</v>
      </c>
      <c r="H39" s="4">
        <v>12</v>
      </c>
      <c r="I39">
        <f>SUM(B39:H39)</f>
        <v>675</v>
      </c>
      <c r="J39">
        <f>+I39+J38</f>
        <v>34386</v>
      </c>
      <c r="K39" s="17">
        <f>+J39*1.98</f>
        <v>68084.28</v>
      </c>
    </row>
    <row r="40" spans="1:11" x14ac:dyDescent="0.2">
      <c r="A40" s="7" t="s">
        <v>42</v>
      </c>
      <c r="B40" s="4">
        <v>13</v>
      </c>
      <c r="C40" s="4">
        <v>12</v>
      </c>
      <c r="D40" s="4">
        <v>7</v>
      </c>
      <c r="E40" s="4">
        <v>11</v>
      </c>
      <c r="F40" s="4">
        <v>16</v>
      </c>
      <c r="G40" s="4">
        <v>9</v>
      </c>
      <c r="H40" s="4">
        <v>10</v>
      </c>
      <c r="I40">
        <f>SUM(B40:H40)</f>
        <v>78</v>
      </c>
      <c r="J40">
        <f>+I40+J39</f>
        <v>34464</v>
      </c>
      <c r="K40" s="17">
        <f>+J40*1.98</f>
        <v>68238.720000000001</v>
      </c>
    </row>
    <row r="41" spans="1:11" x14ac:dyDescent="0.2">
      <c r="A41" s="7" t="s">
        <v>41</v>
      </c>
      <c r="B41" s="4">
        <v>12</v>
      </c>
      <c r="C41" s="4">
        <v>12</v>
      </c>
      <c r="D41" s="4">
        <v>11</v>
      </c>
      <c r="E41" s="4">
        <v>13</v>
      </c>
      <c r="F41" s="4">
        <v>11</v>
      </c>
      <c r="G41" s="4">
        <v>8</v>
      </c>
      <c r="H41" s="4">
        <v>10</v>
      </c>
      <c r="I41">
        <f>SUM(B41:H41)</f>
        <v>77</v>
      </c>
      <c r="J41">
        <f>+I41+J40</f>
        <v>34541</v>
      </c>
      <c r="K41" s="17">
        <f>+J41*1.98</f>
        <v>68391.179999999993</v>
      </c>
    </row>
    <row r="42" spans="1:11" x14ac:dyDescent="0.2">
      <c r="A42" t="s">
        <v>40</v>
      </c>
      <c r="B42" s="4">
        <v>9</v>
      </c>
      <c r="C42" s="4">
        <v>5</v>
      </c>
      <c r="D42" s="4">
        <v>6</v>
      </c>
      <c r="E42" s="4">
        <v>7</v>
      </c>
      <c r="F42" s="4">
        <v>8</v>
      </c>
      <c r="G42" s="4">
        <v>22</v>
      </c>
      <c r="H42" s="4">
        <v>20</v>
      </c>
      <c r="I42">
        <f>SUM(B42:H42)</f>
        <v>77</v>
      </c>
      <c r="J42">
        <f>+I42+J41</f>
        <v>34618</v>
      </c>
      <c r="K42" s="17">
        <f>+J42*1.98</f>
        <v>68543.64</v>
      </c>
    </row>
    <row r="43" spans="1:11" x14ac:dyDescent="0.2">
      <c r="A43" s="7" t="s">
        <v>39</v>
      </c>
      <c r="B43" s="4">
        <v>4</v>
      </c>
      <c r="C43" s="4">
        <v>1</v>
      </c>
      <c r="D43" s="4">
        <v>0</v>
      </c>
      <c r="E43" s="4">
        <v>5</v>
      </c>
      <c r="F43" s="4">
        <v>3</v>
      </c>
      <c r="G43" s="4">
        <v>0</v>
      </c>
      <c r="H43" s="4">
        <v>0</v>
      </c>
      <c r="I43">
        <f>SUM(B43:H43)</f>
        <v>13</v>
      </c>
      <c r="J43">
        <f>+I43+J42</f>
        <v>34631</v>
      </c>
      <c r="K43" s="17">
        <f>+J43*1.98</f>
        <v>68569.38</v>
      </c>
    </row>
    <row r="44" spans="1:11" x14ac:dyDescent="0.2">
      <c r="A44" t="s">
        <v>38</v>
      </c>
      <c r="B44" s="4">
        <v>14</v>
      </c>
      <c r="C44" s="4">
        <v>9</v>
      </c>
      <c r="D44" s="4">
        <v>7</v>
      </c>
      <c r="E44" s="4">
        <v>5</v>
      </c>
      <c r="F44" s="4">
        <v>5</v>
      </c>
      <c r="G44" s="4">
        <v>5</v>
      </c>
      <c r="H44" s="4">
        <v>4</v>
      </c>
      <c r="I44">
        <f>SUM(B44:H44)</f>
        <v>49</v>
      </c>
      <c r="J44">
        <f>+I44+J43</f>
        <v>34680</v>
      </c>
      <c r="K44" s="17">
        <f>+J44*1.98</f>
        <v>68666.399999999994</v>
      </c>
    </row>
    <row r="45" spans="1:11" x14ac:dyDescent="0.2">
      <c r="A45" s="7" t="s">
        <v>37</v>
      </c>
      <c r="B45" s="4">
        <v>2</v>
      </c>
      <c r="C45" s="4">
        <v>1</v>
      </c>
      <c r="D45" s="4">
        <v>9</v>
      </c>
      <c r="E45" s="4">
        <v>9</v>
      </c>
      <c r="F45" s="4">
        <v>8</v>
      </c>
      <c r="G45" s="4">
        <v>7</v>
      </c>
      <c r="H45" s="4">
        <v>6</v>
      </c>
      <c r="I45">
        <f>SUM(B45:H45)</f>
        <v>42</v>
      </c>
      <c r="J45">
        <f>+I45+J44</f>
        <v>34722</v>
      </c>
      <c r="K45" s="17">
        <f>+J45*1.98</f>
        <v>68749.56</v>
      </c>
    </row>
    <row r="46" spans="1:11" x14ac:dyDescent="0.2">
      <c r="A46" s="7" t="s">
        <v>36</v>
      </c>
      <c r="B46" s="4">
        <v>2</v>
      </c>
      <c r="C46" s="4">
        <v>2</v>
      </c>
      <c r="D46" s="4">
        <v>5</v>
      </c>
      <c r="E46" s="4">
        <v>1</v>
      </c>
      <c r="F46" s="4">
        <v>20</v>
      </c>
      <c r="G46" s="4">
        <v>10</v>
      </c>
      <c r="H46" s="4">
        <v>1</v>
      </c>
      <c r="I46">
        <f>SUM(B46:H46)</f>
        <v>41</v>
      </c>
      <c r="J46">
        <f>+I46+J45</f>
        <v>34763</v>
      </c>
      <c r="K46" s="17">
        <f>+J46*1.98</f>
        <v>68830.740000000005</v>
      </c>
    </row>
    <row r="47" spans="1:11" x14ac:dyDescent="0.2">
      <c r="A47" t="s">
        <v>35</v>
      </c>
      <c r="B47" s="4">
        <v>1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0</v>
      </c>
      <c r="I47">
        <f>SUM(B47:H47)</f>
        <v>6</v>
      </c>
      <c r="J47">
        <f>+I47+J46</f>
        <v>34769</v>
      </c>
      <c r="K47" s="17">
        <f>+J47*1.98</f>
        <v>68842.62</v>
      </c>
    </row>
    <row r="48" spans="1:11" x14ac:dyDescent="0.2">
      <c r="A48" s="7" t="s">
        <v>34</v>
      </c>
      <c r="B48" s="4">
        <v>0</v>
      </c>
      <c r="C48" s="4">
        <v>0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>
        <f>SUM(B48:H48)</f>
        <v>5</v>
      </c>
      <c r="J48">
        <f>+I48+J47</f>
        <v>34774</v>
      </c>
      <c r="K48" s="17">
        <f>+J48*1.98</f>
        <v>68852.52</v>
      </c>
    </row>
    <row r="49" spans="1:11" x14ac:dyDescent="0.2">
      <c r="A49" s="7" t="s">
        <v>33</v>
      </c>
      <c r="B49" s="4">
        <v>1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H49" s="4">
        <v>0</v>
      </c>
      <c r="I49">
        <f>SUM(B49:H49)</f>
        <v>2</v>
      </c>
      <c r="J49">
        <f>+I49+J48</f>
        <v>34776</v>
      </c>
      <c r="K49" s="17">
        <f>+J49*1.98</f>
        <v>68856.479999999996</v>
      </c>
    </row>
    <row r="50" spans="1:11" x14ac:dyDescent="0.2">
      <c r="A50" t="s">
        <v>32</v>
      </c>
      <c r="B50" s="4">
        <v>0</v>
      </c>
      <c r="C50" s="4">
        <v>0</v>
      </c>
      <c r="D50" s="4">
        <v>0</v>
      </c>
      <c r="E50" s="4">
        <v>0</v>
      </c>
      <c r="F50" s="4">
        <v>1</v>
      </c>
      <c r="G50" s="4">
        <v>1</v>
      </c>
      <c r="H50" s="4">
        <v>1</v>
      </c>
      <c r="I50">
        <f>SUM(B50:H50)</f>
        <v>3</v>
      </c>
      <c r="J50">
        <f>+I50+J49</f>
        <v>34779</v>
      </c>
      <c r="K50" s="17">
        <f>+J50*1.98</f>
        <v>68862.42</v>
      </c>
    </row>
    <row r="51" spans="1:11" x14ac:dyDescent="0.2">
      <c r="A51" s="7" t="s">
        <v>31</v>
      </c>
      <c r="B51" s="4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5</v>
      </c>
      <c r="I51">
        <f>SUM(B51:H51)</f>
        <v>11</v>
      </c>
      <c r="J51">
        <f>+I51+J50</f>
        <v>34790</v>
      </c>
      <c r="K51" s="17">
        <f>+J51*1.98</f>
        <v>68884.2</v>
      </c>
    </row>
    <row r="52" spans="1:11" x14ac:dyDescent="0.2">
      <c r="A52" t="s">
        <v>30</v>
      </c>
      <c r="B52" s="4">
        <v>7</v>
      </c>
      <c r="C52" s="4">
        <v>6</v>
      </c>
      <c r="D52" s="4">
        <v>5</v>
      </c>
      <c r="E52" s="4">
        <v>3</v>
      </c>
      <c r="F52" s="4">
        <v>1</v>
      </c>
      <c r="G52" s="4">
        <v>1</v>
      </c>
      <c r="H52" s="4">
        <v>1</v>
      </c>
      <c r="I52">
        <f>SUM(B52:H52)</f>
        <v>24</v>
      </c>
      <c r="J52">
        <f>+I52+J51</f>
        <v>34814</v>
      </c>
      <c r="K52" s="17">
        <f>+J52*1.98</f>
        <v>68931.72</v>
      </c>
    </row>
    <row r="53" spans="1:11" x14ac:dyDescent="0.2">
      <c r="A53" s="7" t="s">
        <v>29</v>
      </c>
      <c r="B53" s="4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>
        <f>SUM(B53:H53)</f>
        <v>7</v>
      </c>
      <c r="J53">
        <f>+I53+J52</f>
        <v>34821</v>
      </c>
      <c r="K53" s="17">
        <f>+J53*1.98</f>
        <v>68945.58</v>
      </c>
    </row>
    <row r="54" spans="1:11" x14ac:dyDescent="0.2">
      <c r="A54" s="7" t="s">
        <v>28</v>
      </c>
      <c r="B54" s="4">
        <v>1</v>
      </c>
      <c r="C54" s="4">
        <v>9</v>
      </c>
      <c r="D54" s="4">
        <v>21</v>
      </c>
      <c r="E54" s="4">
        <v>91</v>
      </c>
      <c r="F54" s="4">
        <v>130</v>
      </c>
      <c r="G54" s="4">
        <v>96</v>
      </c>
      <c r="H54" s="4">
        <v>46</v>
      </c>
      <c r="I54">
        <f>SUM(B54:H54)</f>
        <v>394</v>
      </c>
      <c r="J54">
        <f>+I54+J53</f>
        <v>35215</v>
      </c>
      <c r="K54" s="17">
        <f>+J54*1.98</f>
        <v>69725.7</v>
      </c>
    </row>
    <row r="55" spans="1:11" x14ac:dyDescent="0.2">
      <c r="A55" t="s">
        <v>27</v>
      </c>
      <c r="B55" s="4">
        <v>26</v>
      </c>
      <c r="C55" s="4">
        <v>30</v>
      </c>
      <c r="D55" s="4">
        <v>32</v>
      </c>
      <c r="E55" s="4">
        <v>34</v>
      </c>
      <c r="F55" s="4">
        <v>34</v>
      </c>
      <c r="G55" s="4">
        <v>34</v>
      </c>
      <c r="H55" s="4">
        <v>32</v>
      </c>
      <c r="I55">
        <f>SUM(B55:H55)</f>
        <v>222</v>
      </c>
      <c r="J55">
        <f>+I55+J54</f>
        <v>35437</v>
      </c>
      <c r="K55" s="17">
        <f>+J55*1.98</f>
        <v>70165.259999999995</v>
      </c>
    </row>
    <row r="56" spans="1:11" x14ac:dyDescent="0.2">
      <c r="A56" s="7" t="s">
        <v>26</v>
      </c>
      <c r="B56" s="4">
        <v>32</v>
      </c>
      <c r="C56" s="4">
        <v>30</v>
      </c>
      <c r="D56" s="4">
        <v>27</v>
      </c>
      <c r="E56" s="4">
        <v>27</v>
      </c>
      <c r="F56" s="4">
        <v>27</v>
      </c>
      <c r="G56" s="4">
        <v>25</v>
      </c>
      <c r="H56" s="4">
        <v>21</v>
      </c>
      <c r="I56">
        <f>SUM(B56:H56)</f>
        <v>189</v>
      </c>
      <c r="J56">
        <f>+I56+J55</f>
        <v>35626</v>
      </c>
      <c r="K56" s="17">
        <f>+J56*1.98</f>
        <v>70539.48</v>
      </c>
    </row>
    <row r="57" spans="1:11" x14ac:dyDescent="0.2">
      <c r="A57" s="7"/>
    </row>
    <row r="59" spans="1:11" x14ac:dyDescent="0.2">
      <c r="A59" s="7"/>
    </row>
    <row r="61" spans="1:11" x14ac:dyDescent="0.2">
      <c r="A61" s="7"/>
    </row>
    <row r="62" spans="1:11" x14ac:dyDescent="0.2">
      <c r="A62" s="7"/>
    </row>
    <row r="64" spans="1:11" x14ac:dyDescent="0.2">
      <c r="A64" s="7"/>
    </row>
    <row r="65" spans="1:1" x14ac:dyDescent="0.2">
      <c r="A65" s="7"/>
    </row>
    <row r="67" spans="1:1" x14ac:dyDescent="0.2">
      <c r="A67" s="7"/>
    </row>
    <row r="69" spans="1:1" x14ac:dyDescent="0.2">
      <c r="A69" s="7"/>
    </row>
    <row r="70" spans="1:1" x14ac:dyDescent="0.2">
      <c r="A70" s="7"/>
    </row>
    <row r="72" spans="1:1" x14ac:dyDescent="0.2">
      <c r="A72" s="7"/>
    </row>
    <row r="73" spans="1:1" x14ac:dyDescent="0.2">
      <c r="A73" s="7"/>
    </row>
    <row r="75" spans="1:1" x14ac:dyDescent="0.2">
      <c r="A75" s="7"/>
    </row>
    <row r="77" spans="1:1" x14ac:dyDescent="0.2">
      <c r="A77" s="7"/>
    </row>
    <row r="78" spans="1:1" x14ac:dyDescent="0.2">
      <c r="A78" s="7"/>
    </row>
    <row r="80" spans="1:1" x14ac:dyDescent="0.2">
      <c r="A80" s="7"/>
    </row>
    <row r="81" spans="1:1" x14ac:dyDescent="0.2">
      <c r="A81" s="7"/>
    </row>
    <row r="83" spans="1:1" x14ac:dyDescent="0.2">
      <c r="A83" s="7"/>
    </row>
    <row r="85" spans="1:1" x14ac:dyDescent="0.2">
      <c r="A85" s="7"/>
    </row>
    <row r="86" spans="1:1" x14ac:dyDescent="0.2">
      <c r="A86" s="7"/>
    </row>
    <row r="88" spans="1:1" x14ac:dyDescent="0.2">
      <c r="A88" s="7"/>
    </row>
    <row r="89" spans="1:1" x14ac:dyDescent="0.2">
      <c r="A89" s="7"/>
    </row>
    <row r="91" spans="1:1" x14ac:dyDescent="0.2">
      <c r="A91" s="7"/>
    </row>
    <row r="93" spans="1:1" x14ac:dyDescent="0.2">
      <c r="A93" s="7"/>
    </row>
    <row r="94" spans="1:1" x14ac:dyDescent="0.2">
      <c r="A94" s="7"/>
    </row>
    <row r="96" spans="1:1" x14ac:dyDescent="0.2">
      <c r="A96" s="7"/>
    </row>
    <row r="97" spans="1:1" x14ac:dyDescent="0.2">
      <c r="A97" s="7"/>
    </row>
    <row r="99" spans="1:1" x14ac:dyDescent="0.2">
      <c r="A99" s="7"/>
    </row>
    <row r="101" spans="1:1" x14ac:dyDescent="0.2">
      <c r="A101" s="7"/>
    </row>
    <row r="102" spans="1:1" x14ac:dyDescent="0.2">
      <c r="A102" s="7"/>
    </row>
    <row r="104" spans="1:1" x14ac:dyDescent="0.2">
      <c r="A104" s="7"/>
    </row>
    <row r="105" spans="1:1" x14ac:dyDescent="0.2">
      <c r="A105" s="7"/>
    </row>
    <row r="107" spans="1:1" x14ac:dyDescent="0.2">
      <c r="A107" s="7"/>
    </row>
    <row r="109" spans="1:1" x14ac:dyDescent="0.2">
      <c r="A109" s="7"/>
    </row>
    <row r="110" spans="1:1" x14ac:dyDescent="0.2">
      <c r="A110" s="7"/>
    </row>
  </sheetData>
  <sheetProtection sheet="1" objects="1" scenarios="1"/>
  <pageMargins left="0.75" right="0.75" top="1" bottom="1" header="0.5" footer="0.5"/>
  <pageSetup scale="86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J-CAN</vt:lpstr>
      <vt:lpstr>ST-48</vt:lpstr>
      <vt:lpstr>SPILL</vt:lpstr>
      <vt:lpstr>D-PLNT HRS</vt:lpstr>
      <vt:lpstr>D-PLNT A.F.</vt:lpstr>
      <vt:lpstr>STRAITS</vt:lpstr>
      <vt:lpstr>STRAITS!Print_Area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Kirby</dc:creator>
  <cp:lastModifiedBy>Brad Kirby</cp:lastModifiedBy>
  <dcterms:created xsi:type="dcterms:W3CDTF">2011-09-30T15:43:13Z</dcterms:created>
  <dcterms:modified xsi:type="dcterms:W3CDTF">2011-09-30T15:43:32Z</dcterms:modified>
</cp:coreProperties>
</file>