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22836" windowHeight="9480" tabRatio="868"/>
  </bookViews>
  <sheets>
    <sheet name="Sep 2017" sheetId="12" r:id="rId1"/>
    <sheet name="Aug 2017" sheetId="11" r:id="rId2"/>
    <sheet name="Jul 2017" sheetId="10" r:id="rId3"/>
    <sheet name="Jun 2017" sheetId="9" r:id="rId4"/>
    <sheet name="May 2017" sheetId="8" r:id="rId5"/>
    <sheet name="Apr 2017" sheetId="7" r:id="rId6"/>
    <sheet name="Mar 2017" sheetId="6" r:id="rId7"/>
    <sheet name="Feb 2017" sheetId="5" r:id="rId8"/>
    <sheet name="Jan 2017" sheetId="4" r:id="rId9"/>
    <sheet name="Dec 2016" sheetId="3" r:id="rId10"/>
    <sheet name="Nov 2016" sheetId="2" r:id="rId11"/>
    <sheet name="Oct 2016" sheetId="1" r:id="rId12"/>
    <sheet name="Sheet1" sheetId="13" r:id="rId13"/>
  </sheets>
  <definedNames>
    <definedName name="_xlnm.Print_Area" localSheetId="5">'Apr 2017'!$A$1:$H$34</definedName>
    <definedName name="_xlnm.Print_Area" localSheetId="1">'Aug 2017'!$A$1:$H$39</definedName>
    <definedName name="_xlnm.Print_Area" localSheetId="7">'Feb 2017'!$A$1:$H$32</definedName>
    <definedName name="_xlnm.Print_Area" localSheetId="8">'Jan 2017'!$A$1:$H$35</definedName>
    <definedName name="_xlnm.Print_Area" localSheetId="2">'Jul 2017'!$A$1:$H$39</definedName>
    <definedName name="_xlnm.Print_Area" localSheetId="3">'Jun 2017'!$A$1:$H$38</definedName>
    <definedName name="_xlnm.Print_Area" localSheetId="6">'Mar 2017'!$A$1:$H$35</definedName>
    <definedName name="_xlnm.Print_Area" localSheetId="10">'Nov 2016'!$A$1:$H$38</definedName>
    <definedName name="_xlnm.Print_Area" localSheetId="11">'Oct 2016'!$A$1:$H$40</definedName>
    <definedName name="_xlnm.Print_Area" localSheetId="0">'Sep 2017'!$A$1:$H$38</definedName>
  </definedNames>
  <calcPr calcId="145621" iterate="1" iterateCount="1"/>
</workbook>
</file>

<file path=xl/calcChain.xml><?xml version="1.0" encoding="utf-8"?>
<calcChain xmlns="http://schemas.openxmlformats.org/spreadsheetml/2006/main"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1" i="5" l="1"/>
  <c r="B33" i="7"/>
  <c r="B36" i="7" s="1"/>
  <c r="C33" i="7"/>
  <c r="C36" i="7" s="1"/>
  <c r="D33" i="7"/>
  <c r="D36" i="7" s="1"/>
  <c r="E33" i="7"/>
  <c r="F33" i="7"/>
  <c r="G33" i="7"/>
  <c r="F44" i="7"/>
  <c r="G44" i="7"/>
  <c r="H44" i="7"/>
  <c r="F45" i="7"/>
  <c r="G45" i="7"/>
  <c r="H45" i="7" s="1"/>
  <c r="F46" i="7"/>
  <c r="G46" i="7"/>
  <c r="F47" i="7"/>
  <c r="G47" i="7"/>
  <c r="H47" i="7" s="1"/>
  <c r="F48" i="7"/>
  <c r="G48" i="7"/>
  <c r="H48" i="7" s="1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G45" i="3"/>
  <c r="F46" i="3"/>
  <c r="G46" i="3"/>
  <c r="H46" i="3" s="1"/>
  <c r="F47" i="3"/>
  <c r="G47" i="3"/>
  <c r="H47" i="3" s="1"/>
  <c r="F48" i="3"/>
  <c r="G48" i="3"/>
  <c r="F49" i="3"/>
  <c r="H49" i="3" s="1"/>
  <c r="G49" i="3"/>
  <c r="D58" i="3"/>
  <c r="F58" i="3"/>
  <c r="B31" i="5"/>
  <c r="C31" i="5"/>
  <c r="D31" i="5"/>
  <c r="E31" i="5"/>
  <c r="F31" i="5"/>
  <c r="B34" i="5"/>
  <c r="C34" i="5"/>
  <c r="D34" i="5"/>
  <c r="F42" i="5"/>
  <c r="G42" i="5"/>
  <c r="F43" i="5"/>
  <c r="G43" i="5"/>
  <c r="F44" i="5"/>
  <c r="G44" i="5"/>
  <c r="F45" i="5"/>
  <c r="G45" i="5"/>
  <c r="H45" i="5" s="1"/>
  <c r="F46" i="5"/>
  <c r="G46" i="5"/>
  <c r="H46" i="5" s="1"/>
  <c r="F50" i="5"/>
  <c r="F51" i="5"/>
  <c r="F52" i="5"/>
  <c r="F53" i="5"/>
  <c r="F54" i="5"/>
  <c r="D55" i="5"/>
  <c r="B34" i="4"/>
  <c r="C34" i="4"/>
  <c r="D34" i="4"/>
  <c r="E34" i="4"/>
  <c r="F34" i="4"/>
  <c r="G34" i="4"/>
  <c r="B37" i="4"/>
  <c r="C37" i="4"/>
  <c r="D37" i="4"/>
  <c r="F45" i="4"/>
  <c r="G45" i="4"/>
  <c r="F46" i="4"/>
  <c r="G46" i="4"/>
  <c r="H46" i="4" s="1"/>
  <c r="F47" i="4"/>
  <c r="G47" i="4"/>
  <c r="H47" i="4" s="1"/>
  <c r="F48" i="4"/>
  <c r="G48" i="4"/>
  <c r="F49" i="4"/>
  <c r="H49" i="4" s="1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H45" i="10" s="1"/>
  <c r="F46" i="10"/>
  <c r="G46" i="10"/>
  <c r="H46" i="10" s="1"/>
  <c r="F47" i="10"/>
  <c r="G47" i="10"/>
  <c r="F48" i="10"/>
  <c r="H48" i="10" s="1"/>
  <c r="G48" i="10"/>
  <c r="F49" i="10"/>
  <c r="G49" i="10"/>
  <c r="F53" i="10"/>
  <c r="F58" i="10" s="1"/>
  <c r="F54" i="10"/>
  <c r="F55" i="10"/>
  <c r="F56" i="10"/>
  <c r="F57" i="10"/>
  <c r="D58" i="10"/>
  <c r="B33" i="9"/>
  <c r="B36" i="9"/>
  <c r="C36" i="9"/>
  <c r="D36" i="9"/>
  <c r="F44" i="9"/>
  <c r="G44" i="9"/>
  <c r="H44" i="9" s="1"/>
  <c r="F45" i="9"/>
  <c r="G45" i="9"/>
  <c r="F46" i="9"/>
  <c r="H46" i="9" s="1"/>
  <c r="G46" i="9"/>
  <c r="F47" i="9"/>
  <c r="G47" i="9"/>
  <c r="F48" i="9"/>
  <c r="H48" i="9" s="1"/>
  <c r="G48" i="9"/>
  <c r="F52" i="9"/>
  <c r="F53" i="9"/>
  <c r="F57" i="9" s="1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F46" i="6"/>
  <c r="H46" i="6" s="1"/>
  <c r="G46" i="6"/>
  <c r="F47" i="6"/>
  <c r="G47" i="6"/>
  <c r="F48" i="6"/>
  <c r="H48" i="6" s="1"/>
  <c r="G48" i="6"/>
  <c r="F49" i="6"/>
  <c r="G49" i="6"/>
  <c r="H49" i="6" s="1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H45" i="8" s="1"/>
  <c r="G45" i="8"/>
  <c r="F46" i="8"/>
  <c r="G46" i="8"/>
  <c r="F47" i="8"/>
  <c r="H47" i="8" s="1"/>
  <c r="G47" i="8"/>
  <c r="F48" i="8"/>
  <c r="G48" i="8"/>
  <c r="H48" i="8" s="1"/>
  <c r="F49" i="8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H45" i="2" s="1"/>
  <c r="G45" i="2"/>
  <c r="F46" i="2"/>
  <c r="G46" i="2"/>
  <c r="F47" i="2"/>
  <c r="H47" i="2" s="1"/>
  <c r="G47" i="2"/>
  <c r="F48" i="2"/>
  <c r="G48" i="2"/>
  <c r="H48" i="2" s="1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H45" i="1" s="1"/>
  <c r="F46" i="1"/>
  <c r="G46" i="1"/>
  <c r="H46" i="1" s="1"/>
  <c r="F47" i="1"/>
  <c r="G47" i="1"/>
  <c r="F48" i="1"/>
  <c r="H48" i="1" s="1"/>
  <c r="G48" i="1"/>
  <c r="F49" i="1"/>
  <c r="G49" i="1"/>
  <c r="D58" i="1"/>
  <c r="F58" i="1"/>
  <c r="F59" i="1" s="1"/>
  <c r="D59" i="1"/>
  <c r="B36" i="12"/>
  <c r="C36" i="12"/>
  <c r="D36" i="12"/>
  <c r="F44" i="12"/>
  <c r="G44" i="12"/>
  <c r="F45" i="12"/>
  <c r="G45" i="12"/>
  <c r="H45" i="12"/>
  <c r="F46" i="12"/>
  <c r="G46" i="12"/>
  <c r="H46" i="12" s="1"/>
  <c r="F47" i="12"/>
  <c r="G47" i="12"/>
  <c r="F48" i="12"/>
  <c r="G48" i="12"/>
  <c r="H48" i="12" s="1"/>
  <c r="F52" i="12"/>
  <c r="F53" i="12"/>
  <c r="F54" i="12"/>
  <c r="F55" i="12"/>
  <c r="F56" i="12"/>
  <c r="D57" i="12"/>
  <c r="H43" i="5" l="1"/>
  <c r="F55" i="5"/>
  <c r="H47" i="12"/>
  <c r="H46" i="2"/>
  <c r="H44" i="2"/>
  <c r="F58" i="8"/>
  <c r="H46" i="8"/>
  <c r="H47" i="6"/>
  <c r="H45" i="6"/>
  <c r="H47" i="9"/>
  <c r="H45" i="9"/>
  <c r="H49" i="10"/>
  <c r="H47" i="10"/>
  <c r="H48" i="4"/>
  <c r="H45" i="4"/>
  <c r="H48" i="3"/>
  <c r="H45" i="3"/>
  <c r="F57" i="7"/>
  <c r="H46" i="7"/>
  <c r="F58" i="4"/>
  <c r="F57" i="12"/>
  <c r="H44" i="12"/>
  <c r="H49" i="1"/>
  <c r="H47" i="1"/>
  <c r="D39" i="3"/>
  <c r="D39" i="4" s="1"/>
  <c r="D36" i="5" s="1"/>
  <c r="D39" i="6" s="1"/>
  <c r="D38" i="7" s="1"/>
  <c r="D39" i="8" s="1"/>
  <c r="D38" i="9" s="1"/>
  <c r="D39" i="10" s="1"/>
  <c r="D39" i="11" s="1"/>
  <c r="D38" i="12" s="1"/>
  <c r="H49" i="8"/>
  <c r="F58" i="6"/>
  <c r="H44" i="5"/>
  <c r="H42" i="5"/>
  <c r="H46" i="11"/>
  <c r="H49" i="11"/>
  <c r="H47" i="11"/>
  <c r="H45" i="11"/>
  <c r="H48" i="11"/>
  <c r="F58" i="11"/>
  <c r="B34" i="2"/>
  <c r="B35" i="3" s="1"/>
  <c r="B35" i="4" s="1"/>
  <c r="B32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6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6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2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2" i="5" s="1"/>
  <c r="F35" i="6" s="1"/>
  <c r="F34" i="7" s="1"/>
  <c r="F35" i="8" s="1"/>
  <c r="F34" i="9" s="1"/>
  <c r="F35" i="10" s="1"/>
  <c r="F35" i="11" s="1"/>
  <c r="F34" i="12" s="1"/>
  <c r="G35" i="3"/>
  <c r="G35" i="4" s="1"/>
  <c r="G32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2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2" i="5" s="1"/>
  <c r="D35" i="6" s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<sst xmlns="http://schemas.openxmlformats.org/spreadsheetml/2006/main" count="497" uniqueCount="147">
  <si>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</si>
  <si>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</si>
  <si>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</si>
  <si>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</si>
  <si>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</si>
  <si>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</si>
  <si>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</si>
  <si>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</si>
  <si>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</si>
  <si>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</si>
  <si>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</si>
  <si>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</si>
  <si>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</si>
  <si>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</si>
  <si>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</si>
  <si>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</si>
  <si>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</si>
  <si>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</si>
  <si>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</si>
  <si>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</si>
  <si>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</si>
  <si>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</si>
  <si>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</si>
  <si>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</si>
  <si>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</si>
  <si>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</si>
  <si>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</si>
  <si>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</si>
  <si>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Start 2 Units D-Plant apprx. 9:00 AM</t>
  </si>
  <si>
    <t>* 13:00 0/50</t>
  </si>
  <si>
    <t>Started 2nd unit at D Plant 8:45 AM</t>
  </si>
  <si>
    <t>T</t>
  </si>
  <si>
    <t xml:space="preserve"> Approx. 10:00 AM started 1 unit at D Plant</t>
  </si>
  <si>
    <t xml:space="preserve"> Approx. 10:00 AM started 2nd unit at D Plant</t>
  </si>
  <si>
    <t>*260</t>
  </si>
  <si>
    <t>*Shut 1 D-Plant unit off at 3:19 PM</t>
  </si>
  <si>
    <t>* Started 2nd unit at D- Plant 8:43 AM</t>
  </si>
  <si>
    <t>* Starting 3rd unit at D-Plant apprx. 10:30 AM</t>
  </si>
  <si>
    <t>* Apprx 3:00 PM Shutting one unit OFF at D-Plant</t>
  </si>
  <si>
    <t>* Shut one unit D-Plant off @ apprx. 8:30 AM</t>
  </si>
  <si>
    <t>* shut D-Plant off @ 8:05 AM</t>
  </si>
  <si>
    <t>* 2PM 0/50</t>
  </si>
  <si>
    <t>* 11AM 50/100</t>
  </si>
  <si>
    <t>* 08:30 100/50 * 01:30 50/100 *16:00 100/150</t>
  </si>
  <si>
    <t>* 16:30 150/200</t>
  </si>
  <si>
    <t>* 08:00 200/100 *23:30 100/150</t>
  </si>
  <si>
    <t>* 08:00 150/98 * 14:00 98/146</t>
  </si>
  <si>
    <t>* 08:00 145/191 * 1400 191/238 * 1600 238/285</t>
  </si>
  <si>
    <t>* 15:00 281/327</t>
  </si>
  <si>
    <t>* 14:00 327/377</t>
  </si>
  <si>
    <t>* 12:00 370/276 *16:00 276/231</t>
  </si>
  <si>
    <t>* 09:00 222/309</t>
  </si>
  <si>
    <t>* 07:00 324/278</t>
  </si>
  <si>
    <t>* 12:00 283/237 *14:00 237/189</t>
  </si>
  <si>
    <t>* 0700 184/275</t>
  </si>
  <si>
    <t>* 08:00 277/322</t>
  </si>
  <si>
    <t>* 13:30 319/273</t>
  </si>
  <si>
    <t>* 13:30 300/250 *17:00 250/200</t>
  </si>
  <si>
    <t>* 15:30 200/250</t>
  </si>
  <si>
    <t>* 13:30 248/297</t>
  </si>
  <si>
    <t>* 1600 294/246</t>
  </si>
  <si>
    <t>* 1400 246/197</t>
  </si>
  <si>
    <t>* 1300 200/150</t>
  </si>
  <si>
    <t>* 0900 150/200 * 1600 200/150</t>
  </si>
  <si>
    <t>* 1400 150/200</t>
  </si>
  <si>
    <t>* 14:30 200/250</t>
  </si>
  <si>
    <t>* 16:00 250/350</t>
  </si>
  <si>
    <t>* 07:00 350/400 *13:30 400/500</t>
  </si>
  <si>
    <t>* 08:30 500/350 * 11:00 350/300</t>
  </si>
  <si>
    <t>* 08:30 300/200</t>
  </si>
  <si>
    <t>* 21:30 200/250</t>
  </si>
  <si>
    <t>* 02:30 AM 250/350 * 0700 350/300 * 1500 300/250 * 1700 250/200</t>
  </si>
  <si>
    <t>* 1300 200/100</t>
  </si>
  <si>
    <t>* 0800 100/200 * 1400 200/100</t>
  </si>
  <si>
    <t>* 0800 100/200 * 1630 200/150</t>
  </si>
  <si>
    <t>* 10:30 150/100</t>
  </si>
  <si>
    <t>*07:00 100/150</t>
  </si>
  <si>
    <t>* 09:00 150/200 * 11:00 200/235</t>
  </si>
  <si>
    <t>* 11:00 235/250 * 15:00 250/350</t>
  </si>
  <si>
    <t>* 15:00 350/300</t>
  </si>
  <si>
    <t>* 0700 300/350 * 1600 350/300</t>
  </si>
  <si>
    <t>* 1700 300/250</t>
  </si>
  <si>
    <t>* 0800 250/300</t>
  </si>
  <si>
    <t>* 1500 300/350</t>
  </si>
  <si>
    <t>* 15:00 350/450</t>
  </si>
  <si>
    <t>* 15:00 450/550</t>
  </si>
  <si>
    <t>* 16:30 550/500</t>
  </si>
  <si>
    <t>* 07:00 500/550</t>
  </si>
  <si>
    <t>* 07:00 550/500 *09:00 500/450 * 15:30 450/400</t>
  </si>
  <si>
    <t>* 15:00 400/450 * 16:30 450/500</t>
  </si>
  <si>
    <t>* 08:00 500/450</t>
  </si>
  <si>
    <t>* 0700 450/350</t>
  </si>
  <si>
    <t>* 1200 350/300 * 22:30 300/350</t>
  </si>
  <si>
    <t>* 21:30 350/400</t>
  </si>
  <si>
    <t>* 18:00 400/350</t>
  </si>
  <si>
    <t>* 07:00 350/450</t>
  </si>
  <si>
    <t>* 07:00 450/350 * 15:00 350/300</t>
  </si>
  <si>
    <t>* 15:00 300/350 * 18:00 350/300</t>
  </si>
  <si>
    <t>* 17:00 300/350</t>
  </si>
  <si>
    <t>*07:00 350/400</t>
  </si>
  <si>
    <t>* 0800 400/500 * 1600 500/400</t>
  </si>
  <si>
    <t>* 1700 400/350</t>
  </si>
  <si>
    <t>* 1500 350/300</t>
  </si>
  <si>
    <t>* 1800 300/400</t>
  </si>
  <si>
    <t>* 0630 400/300 * 2100 300/400</t>
  </si>
  <si>
    <t>* 07:00 400/300</t>
  </si>
  <si>
    <t>* 11:00 300/200</t>
  </si>
  <si>
    <t>* 08:00 200/300</t>
  </si>
  <si>
    <t>*10:00 300/400 *17:30 400/500</t>
  </si>
  <si>
    <t>*7:00 500/400  *15:00 400/300</t>
  </si>
  <si>
    <t>* 15:00 300/400 * 18:00 400/350</t>
  </si>
  <si>
    <t>*15:00 350/250 * 17:00 250/300</t>
  </si>
  <si>
    <t>* noon 300/400 * 1800 400/350</t>
  </si>
  <si>
    <t>* 1130 350/300 * 1530 300/350</t>
  </si>
  <si>
    <t>* 14:00 350/250</t>
  </si>
  <si>
    <t>* 20:30 250/200</t>
  </si>
  <si>
    <t>* 1600 250/200</t>
  </si>
  <si>
    <t>* 1800 200/250 * 23:30 250/200</t>
  </si>
  <si>
    <t>* 08:00 200/150</t>
  </si>
  <si>
    <t>* 14:00 150/50 * 18:00 50/100</t>
  </si>
  <si>
    <t>* 1500 100/150</t>
  </si>
  <si>
    <t>* 7:00 150/250</t>
  </si>
  <si>
    <t>* 16:00 250/150</t>
  </si>
  <si>
    <t>* 8:00 150/250</t>
  </si>
  <si>
    <t>* 14:00 250/300</t>
  </si>
  <si>
    <t xml:space="preserve">* 7:00 300/250 </t>
  </si>
  <si>
    <t>* 0800 250/200</t>
  </si>
  <si>
    <t>* 0700 200/150</t>
  </si>
  <si>
    <t>* 1800 150/200</t>
  </si>
  <si>
    <t>* 1800 200/250</t>
  </si>
  <si>
    <t>* 1300 250/350 * 18:00 350/300</t>
  </si>
  <si>
    <t>* 14:00 300/250</t>
  </si>
  <si>
    <t>* 07:00 250/200</t>
  </si>
  <si>
    <t>* 14:00 200/150</t>
  </si>
  <si>
    <t>* 10:00 150/100 * 16:00 100/150</t>
  </si>
  <si>
    <t>* 18:00 150/200</t>
  </si>
  <si>
    <t>* 1700 200/150</t>
  </si>
  <si>
    <t>* 0900 150/100</t>
  </si>
  <si>
    <t>* 0800 100/150 * 1600 150/100</t>
  </si>
  <si>
    <t>* 1100 100/50</t>
  </si>
  <si>
    <t>* 0830 50/150 * 1600 150/100 * 22:30 100/50</t>
  </si>
  <si>
    <t>* 13:00 50/20</t>
  </si>
  <si>
    <t>* 10:00 20/50</t>
  </si>
  <si>
    <t>* 09:00 50/20</t>
  </si>
  <si>
    <t>* 14:00 20/0</t>
  </si>
  <si>
    <t>* 1600 0/25</t>
  </si>
  <si>
    <t>* 09:00 25/0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</si>
</sst>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2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0" fontId="22" fillId="0" borderId="0" xfId="0" applyFont="1"/>
    <xf numFmtId="4" fontId="21" fillId="0" borderId="1" xfId="3" applyNumberFormat="1" applyFont="1" applyFill="1" applyBorder="1" applyAlignment="1">
      <alignment horizontal="right" wrapText="1"/>
    </xf>
    <xf numFmtId="14" fontId="23" fillId="2" borderId="20" xfId="1" applyNumberFormat="1" applyFont="1" applyFill="1" applyBorder="1" applyAlignment="1">
      <alignment horizontal="center" wrapText="1"/>
    </xf>
    <xf numFmtId="3" fontId="23" fillId="2" borderId="1" xfId="1" applyNumberFormat="1" applyFont="1" applyFill="1" applyBorder="1" applyAlignment="1">
      <alignment horizontal="center" wrapText="1"/>
    </xf>
    <xf numFmtId="2" fontId="23" fillId="2" borderId="1" xfId="1" applyNumberFormat="1" applyFont="1" applyFill="1" applyBorder="1" applyAlignment="1">
      <alignment horizontal="center" wrapText="1"/>
    </xf>
    <xf numFmtId="4" fontId="23" fillId="2" borderId="1" xfId="1" applyNumberFormat="1" applyFont="1" applyFill="1" applyBorder="1" applyAlignment="1">
      <alignment horizontal="center" wrapText="1"/>
    </xf>
    <xf numFmtId="14" fontId="23" fillId="2" borderId="19" xfId="1" applyNumberFormat="1" applyFont="1" applyFill="1" applyBorder="1" applyAlignment="1">
      <alignment wrapText="1"/>
    </xf>
    <xf numFmtId="3" fontId="24" fillId="0" borderId="1" xfId="3" applyNumberFormat="1" applyFont="1" applyFill="1" applyBorder="1" applyAlignment="1">
      <alignment horizontal="right" wrapText="1"/>
    </xf>
    <xf numFmtId="2" fontId="24" fillId="0" borderId="1" xfId="3" applyNumberFormat="1" applyFont="1" applyFill="1" applyBorder="1" applyAlignment="1">
      <alignment horizontal="right" wrapText="1"/>
    </xf>
    <xf numFmtId="14" fontId="23" fillId="0" borderId="2" xfId="0" applyNumberFormat="1" applyFont="1" applyBorder="1"/>
    <xf numFmtId="14" fontId="23" fillId="0" borderId="1" xfId="0" applyNumberFormat="1" applyFont="1" applyBorder="1"/>
    <xf numFmtId="3" fontId="23" fillId="0" borderId="1" xfId="0" applyNumberFormat="1" applyFont="1" applyBorder="1"/>
    <xf numFmtId="4" fontId="23" fillId="0" borderId="1" xfId="0" applyNumberFormat="1" applyFont="1" applyBorder="1"/>
    <xf numFmtId="14" fontId="24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5" fillId="0" borderId="0" xfId="0" applyFont="1"/>
    <xf numFmtId="1" fontId="26" fillId="0" borderId="1" xfId="3" applyNumberFormat="1" applyFont="1" applyFill="1" applyBorder="1" applyAlignment="1">
      <alignment horizontal="right" wrapText="1"/>
    </xf>
    <xf numFmtId="0" fontId="27" fillId="0" borderId="0" xfId="0" applyFont="1"/>
    <xf numFmtId="20" fontId="25" fillId="0" borderId="0" xfId="0" applyNumberFormat="1" applyFont="1"/>
    <xf numFmtId="18" fontId="25" fillId="0" borderId="0" xfId="0" applyNumberFormat="1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G32" sqref="G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6.3320312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42979</v>
      </c>
      <c r="B3" s="25">
        <v>215</v>
      </c>
      <c r="C3" s="25">
        <v>75</v>
      </c>
      <c r="D3" s="25">
        <v>391</v>
      </c>
      <c r="E3" s="26">
        <v>0</v>
      </c>
      <c r="F3" s="26">
        <v>0</v>
      </c>
      <c r="G3" s="25">
        <v>0</v>
      </c>
      <c r="H3" s="27">
        <v>4034.9</v>
      </c>
      <c r="I3" s="108" t="s">
        <v>132</v>
      </c>
    </row>
    <row r="4" spans="1:9" x14ac:dyDescent="0.3">
      <c r="A4" s="28">
        <v>42980</v>
      </c>
      <c r="B4" s="25">
        <v>179</v>
      </c>
      <c r="C4" s="25">
        <v>30</v>
      </c>
      <c r="D4" s="25">
        <v>373</v>
      </c>
      <c r="E4" s="26">
        <v>0</v>
      </c>
      <c r="F4" s="26">
        <v>0</v>
      </c>
      <c r="G4" s="25">
        <v>0</v>
      </c>
      <c r="H4" s="27">
        <v>4034.95</v>
      </c>
      <c r="I4" s="108" t="s">
        <v>133</v>
      </c>
    </row>
    <row r="5" spans="1:9" x14ac:dyDescent="0.3">
      <c r="A5" s="28">
        <v>42981</v>
      </c>
      <c r="B5" s="25">
        <v>150</v>
      </c>
      <c r="C5" s="25">
        <v>27</v>
      </c>
      <c r="D5" s="25">
        <v>358</v>
      </c>
      <c r="E5" s="26">
        <v>0</v>
      </c>
      <c r="F5" s="26">
        <v>0</v>
      </c>
      <c r="G5" s="25">
        <v>0</v>
      </c>
      <c r="H5" s="27">
        <v>4034.95</v>
      </c>
      <c r="I5" s="108"/>
    </row>
    <row r="6" spans="1:9" x14ac:dyDescent="0.3">
      <c r="A6" s="28">
        <v>42982</v>
      </c>
      <c r="B6" s="25">
        <v>133</v>
      </c>
      <c r="C6" s="25">
        <v>5</v>
      </c>
      <c r="D6" s="25">
        <v>370</v>
      </c>
      <c r="E6" s="26">
        <v>0</v>
      </c>
      <c r="F6" s="26">
        <v>0</v>
      </c>
      <c r="G6" s="25">
        <v>0</v>
      </c>
      <c r="H6" s="27">
        <v>4034.95</v>
      </c>
      <c r="I6" s="108" t="s">
        <v>134</v>
      </c>
    </row>
    <row r="7" spans="1:9" x14ac:dyDescent="0.3">
      <c r="A7" s="28">
        <v>42983</v>
      </c>
      <c r="B7" s="25">
        <v>163</v>
      </c>
      <c r="C7" s="25">
        <v>0</v>
      </c>
      <c r="D7" s="25">
        <v>376</v>
      </c>
      <c r="E7" s="26">
        <v>0</v>
      </c>
      <c r="F7" s="26">
        <v>0</v>
      </c>
      <c r="G7" s="25">
        <v>0</v>
      </c>
      <c r="H7" s="27">
        <v>4034.96</v>
      </c>
      <c r="I7" s="108" t="s">
        <v>135</v>
      </c>
    </row>
    <row r="8" spans="1:9" x14ac:dyDescent="0.3">
      <c r="A8" s="28">
        <v>42984</v>
      </c>
      <c r="B8" s="25">
        <v>200</v>
      </c>
      <c r="C8" s="25">
        <v>0</v>
      </c>
      <c r="D8" s="25">
        <v>376</v>
      </c>
      <c r="E8" s="26">
        <v>0</v>
      </c>
      <c r="F8" s="26">
        <v>0</v>
      </c>
      <c r="G8" s="25">
        <v>0</v>
      </c>
      <c r="H8" s="27">
        <v>4034.96</v>
      </c>
      <c r="I8" s="108"/>
    </row>
    <row r="9" spans="1:9" x14ac:dyDescent="0.3">
      <c r="A9" s="28">
        <v>42985</v>
      </c>
      <c r="B9" s="25">
        <v>185</v>
      </c>
      <c r="C9" s="25">
        <v>0</v>
      </c>
      <c r="D9" s="25">
        <v>353</v>
      </c>
      <c r="E9" s="26">
        <v>7.0000000000000007E-2</v>
      </c>
      <c r="F9" s="26">
        <v>0</v>
      </c>
      <c r="G9" s="25">
        <v>0</v>
      </c>
      <c r="H9" s="27">
        <v>4034.96</v>
      </c>
      <c r="I9" s="108" t="s">
        <v>136</v>
      </c>
    </row>
    <row r="10" spans="1:9" x14ac:dyDescent="0.3">
      <c r="A10" s="28">
        <v>42986</v>
      </c>
      <c r="B10" s="25">
        <v>119</v>
      </c>
      <c r="C10" s="25">
        <v>0</v>
      </c>
      <c r="D10" s="25">
        <v>331</v>
      </c>
      <c r="E10" s="26">
        <v>0</v>
      </c>
      <c r="F10" s="26">
        <v>0</v>
      </c>
      <c r="G10" s="25">
        <v>0</v>
      </c>
      <c r="H10" s="27">
        <v>4034.97</v>
      </c>
      <c r="I10" s="108" t="s">
        <v>137</v>
      </c>
    </row>
    <row r="11" spans="1:9" x14ac:dyDescent="0.3">
      <c r="A11" s="28">
        <v>42987</v>
      </c>
      <c r="B11" s="25">
        <v>117</v>
      </c>
      <c r="C11" s="25">
        <v>0</v>
      </c>
      <c r="D11" s="25">
        <v>315</v>
      </c>
      <c r="E11" s="26">
        <v>0</v>
      </c>
      <c r="F11" s="26">
        <v>0</v>
      </c>
      <c r="G11" s="25">
        <v>0</v>
      </c>
      <c r="H11" s="27">
        <v>4034.98</v>
      </c>
      <c r="I11" s="108" t="s">
        <v>138</v>
      </c>
    </row>
    <row r="12" spans="1:9" x14ac:dyDescent="0.3">
      <c r="A12" s="28">
        <v>42988</v>
      </c>
      <c r="B12" s="25">
        <v>73</v>
      </c>
      <c r="C12" s="25">
        <v>0</v>
      </c>
      <c r="D12" s="25">
        <v>265</v>
      </c>
      <c r="E12" s="26">
        <v>0</v>
      </c>
      <c r="F12" s="26">
        <v>0</v>
      </c>
      <c r="G12" s="25">
        <v>0</v>
      </c>
      <c r="H12" s="27">
        <v>4034.98</v>
      </c>
      <c r="I12" s="108" t="s">
        <v>139</v>
      </c>
    </row>
    <row r="13" spans="1:9" x14ac:dyDescent="0.3">
      <c r="A13" s="28">
        <v>42989</v>
      </c>
      <c r="B13" s="25">
        <v>95</v>
      </c>
      <c r="C13" s="25">
        <v>0</v>
      </c>
      <c r="D13" s="25">
        <v>286</v>
      </c>
      <c r="E13" s="26">
        <v>0</v>
      </c>
      <c r="F13" s="26">
        <v>0</v>
      </c>
      <c r="G13" s="25">
        <v>0</v>
      </c>
      <c r="H13" s="27">
        <v>4035</v>
      </c>
      <c r="I13" s="108" t="s">
        <v>140</v>
      </c>
    </row>
    <row r="14" spans="1:9" x14ac:dyDescent="0.3">
      <c r="A14" s="28">
        <v>42990</v>
      </c>
      <c r="B14" s="25">
        <v>50</v>
      </c>
      <c r="C14" s="25">
        <v>0</v>
      </c>
      <c r="D14" s="25">
        <v>293</v>
      </c>
      <c r="E14" s="26" t="s">
        <v>31</v>
      </c>
      <c r="F14" s="26">
        <v>0</v>
      </c>
      <c r="G14" s="25">
        <v>0</v>
      </c>
      <c r="H14" s="27">
        <v>4035</v>
      </c>
      <c r="I14" s="108"/>
    </row>
    <row r="15" spans="1:9" x14ac:dyDescent="0.3">
      <c r="A15" s="28">
        <v>42991</v>
      </c>
      <c r="B15" s="25">
        <v>36</v>
      </c>
      <c r="C15" s="25">
        <v>0</v>
      </c>
      <c r="D15" s="25">
        <v>262</v>
      </c>
      <c r="E15" s="26">
        <v>0</v>
      </c>
      <c r="F15" s="26">
        <v>0</v>
      </c>
      <c r="G15" s="25">
        <v>103</v>
      </c>
      <c r="H15" s="27">
        <v>4035</v>
      </c>
      <c r="I15" s="108" t="s">
        <v>141</v>
      </c>
    </row>
    <row r="16" spans="1:9" x14ac:dyDescent="0.3">
      <c r="A16" s="28">
        <v>42992</v>
      </c>
      <c r="B16" s="25">
        <v>20</v>
      </c>
      <c r="C16" s="25">
        <v>0</v>
      </c>
      <c r="D16" s="25">
        <v>235</v>
      </c>
      <c r="E16" s="26">
        <v>0</v>
      </c>
      <c r="F16" s="26">
        <v>0</v>
      </c>
      <c r="G16" s="25">
        <v>261</v>
      </c>
      <c r="H16" s="27">
        <v>4035</v>
      </c>
      <c r="I16" s="108"/>
    </row>
    <row r="17" spans="1:9" x14ac:dyDescent="0.3">
      <c r="A17" s="28">
        <v>42993</v>
      </c>
      <c r="B17" s="25">
        <v>38</v>
      </c>
      <c r="C17" s="25">
        <v>0</v>
      </c>
      <c r="D17" s="25">
        <v>212</v>
      </c>
      <c r="E17" s="26">
        <v>0</v>
      </c>
      <c r="F17" s="26">
        <v>0</v>
      </c>
      <c r="G17" s="25">
        <v>297</v>
      </c>
      <c r="H17" s="27">
        <v>4035</v>
      </c>
      <c r="I17" s="108" t="s">
        <v>142</v>
      </c>
    </row>
    <row r="18" spans="1:9" x14ac:dyDescent="0.3">
      <c r="A18" s="28">
        <v>42994</v>
      </c>
      <c r="B18" s="25">
        <v>31</v>
      </c>
      <c r="C18" s="25">
        <v>0</v>
      </c>
      <c r="D18" s="25">
        <v>187</v>
      </c>
      <c r="E18" s="26">
        <v>0</v>
      </c>
      <c r="F18" s="26">
        <v>0</v>
      </c>
      <c r="G18" s="25">
        <v>318</v>
      </c>
      <c r="H18" s="27">
        <v>4035</v>
      </c>
      <c r="I18" s="108" t="s">
        <v>143</v>
      </c>
    </row>
    <row r="19" spans="1:9" x14ac:dyDescent="0.3">
      <c r="A19" s="28">
        <v>42995</v>
      </c>
      <c r="B19" s="25">
        <v>12</v>
      </c>
      <c r="C19" s="25">
        <v>20</v>
      </c>
      <c r="D19" s="25">
        <v>166</v>
      </c>
      <c r="E19" s="26">
        <v>0</v>
      </c>
      <c r="F19" s="26">
        <v>0</v>
      </c>
      <c r="G19" s="25">
        <v>318</v>
      </c>
      <c r="H19" s="27">
        <v>4034.96</v>
      </c>
      <c r="I19" s="108" t="s">
        <v>144</v>
      </c>
    </row>
    <row r="20" spans="1:9" x14ac:dyDescent="0.3">
      <c r="A20" s="28">
        <v>42996</v>
      </c>
      <c r="B20" s="25">
        <v>0</v>
      </c>
      <c r="C20" s="25">
        <v>17</v>
      </c>
      <c r="D20" s="25">
        <v>157</v>
      </c>
      <c r="E20" s="26">
        <v>0.05</v>
      </c>
      <c r="F20" s="26">
        <v>0</v>
      </c>
      <c r="G20" s="25">
        <v>318</v>
      </c>
      <c r="H20" s="27">
        <v>4034.94</v>
      </c>
      <c r="I20" s="108"/>
    </row>
    <row r="21" spans="1:9" x14ac:dyDescent="0.3">
      <c r="A21" s="28">
        <v>42997</v>
      </c>
      <c r="B21" s="25">
        <v>0</v>
      </c>
      <c r="C21" s="25">
        <v>18</v>
      </c>
      <c r="D21" s="25">
        <v>147</v>
      </c>
      <c r="E21" s="26">
        <v>0.01</v>
      </c>
      <c r="F21" s="26">
        <v>0</v>
      </c>
      <c r="G21" s="25">
        <v>318</v>
      </c>
      <c r="H21" s="27">
        <v>4034.92</v>
      </c>
      <c r="I21" s="108"/>
    </row>
    <row r="22" spans="1:9" x14ac:dyDescent="0.3">
      <c r="A22" s="28">
        <v>42998</v>
      </c>
      <c r="B22" s="25">
        <v>0</v>
      </c>
      <c r="C22" s="25">
        <v>15</v>
      </c>
      <c r="D22" s="25">
        <v>141</v>
      </c>
      <c r="E22" s="26">
        <v>0.04</v>
      </c>
      <c r="F22" s="26">
        <v>0</v>
      </c>
      <c r="G22" s="25">
        <v>318</v>
      </c>
      <c r="H22" s="27">
        <v>4034.9</v>
      </c>
      <c r="I22" s="108"/>
    </row>
    <row r="23" spans="1:9" x14ac:dyDescent="0.3">
      <c r="A23" s="28">
        <v>42999</v>
      </c>
      <c r="B23" s="25">
        <v>0</v>
      </c>
      <c r="C23" s="25">
        <v>5</v>
      </c>
      <c r="D23" s="25">
        <v>151</v>
      </c>
      <c r="E23" s="26">
        <v>0.01</v>
      </c>
      <c r="F23" s="26">
        <v>0</v>
      </c>
      <c r="G23" s="25">
        <v>318</v>
      </c>
      <c r="H23" s="27">
        <v>4034.88</v>
      </c>
      <c r="I23" s="108"/>
    </row>
    <row r="24" spans="1:9" x14ac:dyDescent="0.3">
      <c r="A24" s="28">
        <v>43000</v>
      </c>
      <c r="B24" s="25">
        <v>0</v>
      </c>
      <c r="C24" s="25">
        <v>0</v>
      </c>
      <c r="D24" s="25">
        <v>147</v>
      </c>
      <c r="E24" s="26">
        <v>0</v>
      </c>
      <c r="F24" s="26">
        <v>0</v>
      </c>
      <c r="G24" s="25">
        <v>318</v>
      </c>
      <c r="H24" s="27">
        <v>4034.86</v>
      </c>
      <c r="I24" s="108"/>
    </row>
    <row r="25" spans="1:9" x14ac:dyDescent="0.3">
      <c r="A25" s="28">
        <v>43001</v>
      </c>
      <c r="B25" s="25">
        <v>0</v>
      </c>
      <c r="C25" s="25">
        <v>0</v>
      </c>
      <c r="D25" s="25">
        <v>148</v>
      </c>
      <c r="E25" s="26">
        <v>0</v>
      </c>
      <c r="F25" s="26">
        <v>0</v>
      </c>
      <c r="G25" s="25">
        <v>318</v>
      </c>
      <c r="H25" s="27">
        <v>4034.84</v>
      </c>
      <c r="I25" s="108"/>
    </row>
    <row r="26" spans="1:9" x14ac:dyDescent="0.3">
      <c r="A26" s="28">
        <v>43002</v>
      </c>
      <c r="B26" s="25">
        <v>8</v>
      </c>
      <c r="C26" s="25">
        <v>0</v>
      </c>
      <c r="D26" s="25">
        <v>166</v>
      </c>
      <c r="E26" s="26">
        <v>0</v>
      </c>
      <c r="F26" s="26">
        <v>0</v>
      </c>
      <c r="G26" s="25">
        <v>318</v>
      </c>
      <c r="H26" s="27">
        <v>4034.82</v>
      </c>
      <c r="I26" s="108" t="s">
        <v>145</v>
      </c>
    </row>
    <row r="27" spans="1:9" x14ac:dyDescent="0.3">
      <c r="A27" s="28">
        <v>43003</v>
      </c>
      <c r="B27" s="25">
        <v>25</v>
      </c>
      <c r="C27" s="25">
        <v>0</v>
      </c>
      <c r="D27" s="25">
        <v>180</v>
      </c>
      <c r="E27" s="26">
        <v>0</v>
      </c>
      <c r="F27" s="26">
        <v>0</v>
      </c>
      <c r="G27" s="25">
        <v>318</v>
      </c>
      <c r="H27" s="27">
        <v>4034.82</v>
      </c>
      <c r="I27" s="108"/>
    </row>
    <row r="28" spans="1:9" x14ac:dyDescent="0.3">
      <c r="A28" s="28">
        <v>43004</v>
      </c>
      <c r="B28" s="25">
        <v>9</v>
      </c>
      <c r="C28" s="25">
        <v>9</v>
      </c>
      <c r="D28" s="25">
        <v>166</v>
      </c>
      <c r="E28" s="26">
        <v>0</v>
      </c>
      <c r="F28" s="26">
        <v>0</v>
      </c>
      <c r="G28" s="25">
        <v>318</v>
      </c>
      <c r="H28" s="27">
        <v>4034.82</v>
      </c>
      <c r="I28" s="108" t="s">
        <v>146</v>
      </c>
    </row>
    <row r="29" spans="1:9" x14ac:dyDescent="0.3">
      <c r="A29" s="28">
        <v>43005</v>
      </c>
      <c r="B29" s="13">
        <v>0</v>
      </c>
      <c r="C29" s="13">
        <v>0</v>
      </c>
      <c r="D29" s="13">
        <v>160</v>
      </c>
      <c r="E29" s="26">
        <v>0</v>
      </c>
      <c r="F29" s="26">
        <v>0</v>
      </c>
      <c r="G29" s="13">
        <v>318</v>
      </c>
      <c r="H29" s="15">
        <v>4034.82</v>
      </c>
      <c r="I29" s="108"/>
    </row>
    <row r="30" spans="1:9" x14ac:dyDescent="0.3">
      <c r="A30" s="28">
        <v>43006</v>
      </c>
      <c r="B30" s="13">
        <v>0</v>
      </c>
      <c r="C30" s="13">
        <v>0</v>
      </c>
      <c r="D30" s="13">
        <v>152</v>
      </c>
      <c r="E30" s="26">
        <v>0</v>
      </c>
      <c r="F30" s="26">
        <v>0</v>
      </c>
      <c r="G30" s="13">
        <v>318</v>
      </c>
      <c r="H30" s="15">
        <v>4034.82</v>
      </c>
      <c r="I30" s="108"/>
    </row>
    <row r="31" spans="1:9" x14ac:dyDescent="0.3">
      <c r="A31" s="28">
        <v>43007</v>
      </c>
      <c r="B31" s="13">
        <v>0</v>
      </c>
      <c r="C31" s="13">
        <v>0</v>
      </c>
      <c r="D31" s="13">
        <v>131</v>
      </c>
      <c r="E31" s="26">
        <v>0</v>
      </c>
      <c r="F31" s="26">
        <v>0</v>
      </c>
      <c r="G31" s="13">
        <v>318</v>
      </c>
      <c r="H31" s="15">
        <v>4034.8</v>
      </c>
      <c r="I31" s="108"/>
    </row>
    <row r="32" spans="1:9" ht="15" thickBot="1" x14ac:dyDescent="0.35">
      <c r="A32" s="28">
        <v>43008</v>
      </c>
      <c r="B32" s="106">
        <v>0</v>
      </c>
      <c r="C32" s="13">
        <v>51</v>
      </c>
      <c r="D32" s="13">
        <v>99</v>
      </c>
      <c r="E32" s="26">
        <v>0</v>
      </c>
      <c r="F32" s="26">
        <v>0</v>
      </c>
      <c r="G32" s="13">
        <v>318</v>
      </c>
      <c r="H32" s="15">
        <v>4034.8</v>
      </c>
      <c r="I32" s="108"/>
    </row>
    <row r="33" spans="1:14" s="11" customFormat="1" ht="15" thickTop="1" x14ac:dyDescent="0.3">
      <c r="A33" s="16" t="s">
        <v>8</v>
      </c>
      <c r="B33" s="17">
        <f t="shared" ref="B33:G33" si="0">SUM(B3:B32)</f>
        <v>1858</v>
      </c>
      <c r="C33" s="17">
        <f t="shared" si="0"/>
        <v>272</v>
      </c>
      <c r="D33" s="17">
        <f t="shared" si="0"/>
        <v>7094</v>
      </c>
      <c r="E33" s="18">
        <f t="shared" si="0"/>
        <v>0.18000000000000002</v>
      </c>
      <c r="F33" s="18">
        <f t="shared" si="0"/>
        <v>0</v>
      </c>
      <c r="G33" s="17">
        <f t="shared" si="0"/>
        <v>5431</v>
      </c>
      <c r="H33" s="18"/>
    </row>
    <row r="34" spans="1:14" s="11" customFormat="1" x14ac:dyDescent="0.3">
      <c r="A34" s="19" t="s">
        <v>9</v>
      </c>
      <c r="B34" s="20">
        <f>SUM(B33+'Aug 2017'!B35)</f>
        <v>35926</v>
      </c>
      <c r="C34" s="20">
        <f>SUM(C33+'Aug 2017'!C35)</f>
        <v>10576</v>
      </c>
      <c r="D34" s="20">
        <f>SUM(D33+'Aug 2017'!D35)</f>
        <v>60532</v>
      </c>
      <c r="E34" s="21">
        <f>SUM(E33+'Aug 2017'!E35)</f>
        <v>11.849000000000002</v>
      </c>
      <c r="F34" s="21">
        <f>SUM(F33+'Aug 2017'!F35)</f>
        <v>27.6</v>
      </c>
      <c r="G34" s="20">
        <f>SUM(G33+'Aug 2017'!G35)</f>
        <v>32511</v>
      </c>
      <c r="H34" s="21"/>
    </row>
    <row r="36" spans="1:14" x14ac:dyDescent="0.3">
      <c r="A36" t="s">
        <v>10</v>
      </c>
      <c r="B36" s="23">
        <f>SUM(B3:B32)*1.9835</f>
        <v>3685.3430000000003</v>
      </c>
      <c r="C36" s="23">
        <f>SUM(C3:C32)*1.9835</f>
        <v>539.51200000000006</v>
      </c>
      <c r="D36" s="23">
        <f>SUM(D3:D32)*1.9835</f>
        <v>14070.949000000001</v>
      </c>
      <c r="E36" s="23"/>
      <c r="F36" s="23"/>
      <c r="G36" s="23"/>
    </row>
    <row r="37" spans="1:14" x14ac:dyDescent="0.3">
      <c r="B37" s="23"/>
      <c r="C37" s="23"/>
      <c r="D37" s="24"/>
      <c r="E37" s="23"/>
      <c r="F37" s="23"/>
      <c r="G37" s="23"/>
    </row>
    <row r="38" spans="1:14" x14ac:dyDescent="0.3">
      <c r="A38" t="s">
        <v>24</v>
      </c>
      <c r="B38" s="23">
        <f>SUM(B36+'Aug 2017'!B39)</f>
        <v>71259.22099999999</v>
      </c>
      <c r="C38" s="23">
        <f>SUM(C36+'Aug 2017'!C39)</f>
        <v>23439.019499999999</v>
      </c>
      <c r="D38" s="23">
        <f>SUM(D36+'Aug 2017'!D39)</f>
        <v>122715.17799999999</v>
      </c>
      <c r="E38" s="23"/>
      <c r="F38" s="23"/>
      <c r="G38" s="23"/>
    </row>
    <row r="40" spans="1:14" ht="17.399999999999999" customHeight="1" x14ac:dyDescent="0.3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17" t="s">
        <v>23</v>
      </c>
      <c r="B42" s="117"/>
      <c r="C42" s="117"/>
      <c r="D42" s="117"/>
      <c r="E42" s="117"/>
      <c r="F42" s="117"/>
      <c r="G42" s="117"/>
      <c r="H42" s="117"/>
      <c r="I42" s="118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outlineLevelRow="2" x14ac:dyDescent="0.3"/>
  <cols>
    <col min="1" max="1" width="13.5546875" bestFit="1" customWidth="1"/>
    <col min="2" max="8" width="11.6640625" customWidth="1"/>
    <col min="9" max="9" width="27.332031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 x14ac:dyDescent="0.3">
      <c r="A3" s="12">
        <v>42948</v>
      </c>
      <c r="B3" s="25">
        <v>327</v>
      </c>
      <c r="C3" s="25">
        <v>0</v>
      </c>
      <c r="D3" s="25">
        <v>465</v>
      </c>
      <c r="E3" s="26">
        <v>0</v>
      </c>
      <c r="F3" s="26">
        <v>0</v>
      </c>
      <c r="G3" s="25">
        <v>0</v>
      </c>
      <c r="H3" s="27">
        <v>4034.78</v>
      </c>
      <c r="I3" s="108" t="s">
        <v>111</v>
      </c>
    </row>
    <row r="4" spans="1:9" outlineLevel="2" x14ac:dyDescent="0.3">
      <c r="A4" s="12">
        <v>42949</v>
      </c>
      <c r="B4" s="25">
        <v>300</v>
      </c>
      <c r="C4" s="25">
        <v>0</v>
      </c>
      <c r="D4" s="25">
        <v>422</v>
      </c>
      <c r="E4" s="26">
        <v>0</v>
      </c>
      <c r="F4" s="26">
        <v>0</v>
      </c>
      <c r="G4" s="25">
        <v>0</v>
      </c>
      <c r="H4" s="27">
        <v>4034.76</v>
      </c>
    </row>
    <row r="5" spans="1:9" outlineLevel="2" x14ac:dyDescent="0.3">
      <c r="A5" s="12">
        <v>42950</v>
      </c>
      <c r="B5" s="25">
        <v>338</v>
      </c>
      <c r="C5" s="25">
        <v>0</v>
      </c>
      <c r="D5" s="25">
        <v>419</v>
      </c>
      <c r="E5" s="26">
        <v>0</v>
      </c>
      <c r="F5" s="26">
        <v>0</v>
      </c>
      <c r="G5" s="25">
        <v>0</v>
      </c>
      <c r="H5" s="27">
        <v>4034.78</v>
      </c>
      <c r="I5" s="108" t="s">
        <v>112</v>
      </c>
    </row>
    <row r="6" spans="1:9" outlineLevel="2" x14ac:dyDescent="0.3">
      <c r="A6" s="12">
        <v>42951</v>
      </c>
      <c r="B6" s="25">
        <v>350</v>
      </c>
      <c r="C6" s="25">
        <v>0</v>
      </c>
      <c r="D6" s="25">
        <v>458</v>
      </c>
      <c r="E6" s="26">
        <v>0</v>
      </c>
      <c r="F6" s="26">
        <v>0</v>
      </c>
      <c r="G6" s="25">
        <v>0</v>
      </c>
      <c r="H6" s="27">
        <v>4034.78</v>
      </c>
      <c r="I6" s="108"/>
    </row>
    <row r="7" spans="1:9" outlineLevel="2" x14ac:dyDescent="0.3">
      <c r="A7" s="12">
        <v>42952</v>
      </c>
      <c r="B7" s="25">
        <v>342</v>
      </c>
      <c r="C7" s="25">
        <v>0</v>
      </c>
      <c r="D7" s="25">
        <v>460</v>
      </c>
      <c r="E7" s="26">
        <v>0</v>
      </c>
      <c r="F7" s="26">
        <v>0</v>
      </c>
      <c r="G7" s="25">
        <v>0</v>
      </c>
      <c r="H7" s="27">
        <v>4034.8</v>
      </c>
      <c r="I7" s="108" t="s">
        <v>113</v>
      </c>
    </row>
    <row r="8" spans="1:9" outlineLevel="2" x14ac:dyDescent="0.3">
      <c r="A8" s="12">
        <v>42953</v>
      </c>
      <c r="B8" s="25">
        <v>308</v>
      </c>
      <c r="C8" s="25">
        <v>19</v>
      </c>
      <c r="D8" s="25">
        <v>428</v>
      </c>
      <c r="E8" s="26">
        <v>0</v>
      </c>
      <c r="F8" s="26">
        <v>0</v>
      </c>
      <c r="G8" s="25">
        <v>0</v>
      </c>
      <c r="H8" s="27">
        <v>4034.8</v>
      </c>
      <c r="I8" s="108" t="s">
        <v>114</v>
      </c>
    </row>
    <row r="9" spans="1:9" outlineLevel="2" x14ac:dyDescent="0.3">
      <c r="A9" s="12">
        <v>42954</v>
      </c>
      <c r="B9" s="25">
        <v>243</v>
      </c>
      <c r="C9" s="25">
        <v>43</v>
      </c>
      <c r="D9" s="25">
        <v>376</v>
      </c>
      <c r="E9" s="26">
        <v>0.02</v>
      </c>
      <c r="F9" s="26">
        <v>0</v>
      </c>
      <c r="G9" s="25">
        <v>0</v>
      </c>
      <c r="H9" s="27">
        <v>4034.8</v>
      </c>
      <c r="I9" s="108" t="s">
        <v>115</v>
      </c>
    </row>
    <row r="10" spans="1:9" outlineLevel="2" x14ac:dyDescent="0.3">
      <c r="A10" s="12">
        <v>42955</v>
      </c>
      <c r="B10" s="25">
        <v>218</v>
      </c>
      <c r="C10" s="25">
        <v>0</v>
      </c>
      <c r="D10" s="25">
        <v>362</v>
      </c>
      <c r="E10" s="26">
        <v>0</v>
      </c>
      <c r="F10" s="26">
        <v>0</v>
      </c>
      <c r="G10" s="25">
        <v>0</v>
      </c>
      <c r="H10" s="27">
        <v>4034.8</v>
      </c>
      <c r="I10" s="108" t="s">
        <v>58</v>
      </c>
    </row>
    <row r="11" spans="1:9" outlineLevel="2" x14ac:dyDescent="0.3">
      <c r="A11" s="12">
        <v>42956</v>
      </c>
      <c r="B11" s="25">
        <v>233</v>
      </c>
      <c r="C11" s="25">
        <v>8</v>
      </c>
      <c r="D11" s="25">
        <v>378</v>
      </c>
      <c r="E11" s="26">
        <v>0</v>
      </c>
      <c r="F11" s="26">
        <v>0</v>
      </c>
      <c r="G11" s="25">
        <v>0</v>
      </c>
      <c r="H11" s="27">
        <v>4034.8</v>
      </c>
      <c r="I11" s="108" t="s">
        <v>116</v>
      </c>
    </row>
    <row r="12" spans="1:9" outlineLevel="2" x14ac:dyDescent="0.3">
      <c r="A12" s="12">
        <v>42957</v>
      </c>
      <c r="B12" s="25">
        <v>211</v>
      </c>
      <c r="C12" s="25">
        <v>10</v>
      </c>
      <c r="D12" s="25">
        <v>387</v>
      </c>
      <c r="E12" s="26">
        <v>0</v>
      </c>
      <c r="F12" s="26">
        <v>0</v>
      </c>
      <c r="G12" s="25">
        <v>0</v>
      </c>
      <c r="H12" s="27">
        <v>4034.81</v>
      </c>
      <c r="I12" s="108" t="s">
        <v>117</v>
      </c>
    </row>
    <row r="13" spans="1:9" outlineLevel="2" x14ac:dyDescent="0.3">
      <c r="A13" s="12">
        <v>42958</v>
      </c>
      <c r="B13" s="25">
        <v>167</v>
      </c>
      <c r="C13" s="25">
        <v>11</v>
      </c>
      <c r="D13" s="25">
        <v>340</v>
      </c>
      <c r="E13" s="26">
        <v>0.17</v>
      </c>
      <c r="F13" s="26">
        <v>0</v>
      </c>
      <c r="G13" s="25">
        <v>0</v>
      </c>
      <c r="H13" s="27">
        <v>4034.82</v>
      </c>
      <c r="I13" s="108" t="s">
        <v>118</v>
      </c>
    </row>
    <row r="14" spans="1:9" outlineLevel="2" x14ac:dyDescent="0.3">
      <c r="A14" s="12">
        <v>42959</v>
      </c>
      <c r="B14" s="25">
        <v>121</v>
      </c>
      <c r="C14" s="25">
        <v>38</v>
      </c>
      <c r="D14" s="25">
        <v>292</v>
      </c>
      <c r="E14" s="26">
        <v>0</v>
      </c>
      <c r="F14" s="26">
        <v>0</v>
      </c>
      <c r="G14" s="25">
        <v>0</v>
      </c>
      <c r="H14" s="27">
        <v>4034.84</v>
      </c>
      <c r="I14" s="108" t="s">
        <v>119</v>
      </c>
    </row>
    <row r="15" spans="1:9" outlineLevel="2" x14ac:dyDescent="0.3">
      <c r="A15" s="12">
        <v>42960</v>
      </c>
      <c r="B15" s="25">
        <v>100</v>
      </c>
      <c r="C15" s="25">
        <v>14</v>
      </c>
      <c r="D15" s="25">
        <v>275</v>
      </c>
      <c r="E15" s="26">
        <v>0</v>
      </c>
      <c r="F15" s="26">
        <v>0</v>
      </c>
      <c r="G15" s="25">
        <v>0</v>
      </c>
      <c r="H15" s="27">
        <v>4034.86</v>
      </c>
      <c r="I15" s="108"/>
    </row>
    <row r="16" spans="1:9" outlineLevel="2" x14ac:dyDescent="0.3">
      <c r="A16" s="12">
        <v>42961</v>
      </c>
      <c r="B16" s="25">
        <v>100</v>
      </c>
      <c r="C16" s="25">
        <v>10</v>
      </c>
      <c r="D16" s="25">
        <v>275</v>
      </c>
      <c r="E16" s="26">
        <v>0</v>
      </c>
      <c r="F16" s="26">
        <v>0</v>
      </c>
      <c r="G16" s="25">
        <v>0</v>
      </c>
      <c r="H16" s="27">
        <v>4034.86</v>
      </c>
      <c r="I16" s="108"/>
    </row>
    <row r="17" spans="1:9" outlineLevel="2" x14ac:dyDescent="0.3">
      <c r="A17" s="12">
        <v>42962</v>
      </c>
      <c r="B17" s="25">
        <v>119</v>
      </c>
      <c r="C17" s="25">
        <v>0</v>
      </c>
      <c r="D17" s="25">
        <v>323</v>
      </c>
      <c r="E17" s="26">
        <v>0</v>
      </c>
      <c r="F17" s="26">
        <v>0</v>
      </c>
      <c r="G17" s="25">
        <v>0</v>
      </c>
      <c r="H17" s="27">
        <v>4034.86</v>
      </c>
      <c r="I17" s="108" t="s">
        <v>120</v>
      </c>
    </row>
    <row r="18" spans="1:9" outlineLevel="2" x14ac:dyDescent="0.3">
      <c r="A18" s="12">
        <v>42963</v>
      </c>
      <c r="B18" s="25">
        <v>150</v>
      </c>
      <c r="C18" s="25">
        <v>0</v>
      </c>
      <c r="D18" s="25">
        <v>330</v>
      </c>
      <c r="E18" s="26">
        <v>0</v>
      </c>
      <c r="F18" s="26">
        <v>0</v>
      </c>
      <c r="G18" s="25">
        <v>0</v>
      </c>
      <c r="H18" s="27">
        <v>4034.85</v>
      </c>
      <c r="I18" s="108"/>
    </row>
    <row r="19" spans="1:9" outlineLevel="2" x14ac:dyDescent="0.3">
      <c r="A19" s="12">
        <v>42964</v>
      </c>
      <c r="B19" s="25">
        <v>221</v>
      </c>
      <c r="C19" s="25">
        <v>0</v>
      </c>
      <c r="D19" s="25">
        <v>348</v>
      </c>
      <c r="E19" s="26">
        <v>0</v>
      </c>
      <c r="F19" s="26">
        <v>0</v>
      </c>
      <c r="G19" s="25">
        <v>0</v>
      </c>
      <c r="H19" s="27">
        <v>4034.85</v>
      </c>
      <c r="I19" s="108" t="s">
        <v>121</v>
      </c>
    </row>
    <row r="20" spans="1:9" outlineLevel="2" x14ac:dyDescent="0.3">
      <c r="A20" s="12">
        <v>42965</v>
      </c>
      <c r="B20" s="25">
        <v>223</v>
      </c>
      <c r="C20" s="25">
        <v>5</v>
      </c>
      <c r="D20" s="25">
        <v>348</v>
      </c>
      <c r="E20" s="26">
        <v>0</v>
      </c>
      <c r="F20" s="26">
        <v>0</v>
      </c>
      <c r="G20" s="25">
        <v>0</v>
      </c>
      <c r="H20" s="27">
        <v>4034.86</v>
      </c>
      <c r="I20" s="108" t="s">
        <v>122</v>
      </c>
    </row>
    <row r="21" spans="1:9" outlineLevel="2" x14ac:dyDescent="0.3">
      <c r="A21" s="12">
        <v>42966</v>
      </c>
      <c r="B21" s="25">
        <v>150</v>
      </c>
      <c r="C21" s="25">
        <v>33</v>
      </c>
      <c r="D21" s="25">
        <v>355</v>
      </c>
      <c r="E21" s="26">
        <v>0</v>
      </c>
      <c r="F21" s="26">
        <v>0</v>
      </c>
      <c r="G21" s="25">
        <v>0</v>
      </c>
      <c r="H21" s="27">
        <v>4034.86</v>
      </c>
      <c r="I21" s="108"/>
    </row>
    <row r="22" spans="1:9" outlineLevel="2" x14ac:dyDescent="0.3">
      <c r="A22" s="12">
        <v>42967</v>
      </c>
      <c r="B22" s="25">
        <v>150</v>
      </c>
      <c r="C22" s="25">
        <v>0</v>
      </c>
      <c r="D22" s="25">
        <v>376</v>
      </c>
      <c r="E22" s="26">
        <v>0</v>
      </c>
      <c r="F22" s="26">
        <v>0</v>
      </c>
      <c r="G22" s="25">
        <v>0</v>
      </c>
      <c r="H22" s="27">
        <v>4034.85</v>
      </c>
      <c r="I22" s="108"/>
    </row>
    <row r="23" spans="1:9" outlineLevel="2" x14ac:dyDescent="0.3">
      <c r="A23" s="12">
        <v>42968</v>
      </c>
      <c r="B23" s="25">
        <v>217</v>
      </c>
      <c r="C23" s="25">
        <v>0</v>
      </c>
      <c r="D23" s="25">
        <v>383</v>
      </c>
      <c r="E23" s="26">
        <v>0</v>
      </c>
      <c r="F23" s="26">
        <v>0</v>
      </c>
      <c r="G23" s="25">
        <v>0</v>
      </c>
      <c r="H23" s="27">
        <v>4034.85</v>
      </c>
      <c r="I23" s="108" t="s">
        <v>123</v>
      </c>
    </row>
    <row r="24" spans="1:9" outlineLevel="2" x14ac:dyDescent="0.3">
      <c r="A24" s="12">
        <v>42969</v>
      </c>
      <c r="B24" s="25">
        <v>271</v>
      </c>
      <c r="C24" s="25">
        <v>0</v>
      </c>
      <c r="D24" s="25">
        <v>404</v>
      </c>
      <c r="E24" s="26">
        <v>0</v>
      </c>
      <c r="F24" s="26">
        <v>0</v>
      </c>
      <c r="G24" s="25">
        <v>0</v>
      </c>
      <c r="H24" s="27">
        <v>4034.85</v>
      </c>
      <c r="I24" s="108" t="s">
        <v>124</v>
      </c>
    </row>
    <row r="25" spans="1:9" outlineLevel="2" x14ac:dyDescent="0.3">
      <c r="A25" s="12">
        <v>42970</v>
      </c>
      <c r="B25" s="25">
        <v>300</v>
      </c>
      <c r="C25" s="25">
        <v>0</v>
      </c>
      <c r="D25" s="25">
        <v>388</v>
      </c>
      <c r="E25" s="26">
        <v>0.05</v>
      </c>
      <c r="F25" s="26">
        <v>0</v>
      </c>
      <c r="G25" s="25">
        <v>0</v>
      </c>
      <c r="H25" s="27">
        <v>4034.85</v>
      </c>
      <c r="I25" s="108"/>
    </row>
    <row r="26" spans="1:9" outlineLevel="2" x14ac:dyDescent="0.3">
      <c r="A26" s="12">
        <v>42971</v>
      </c>
      <c r="B26" s="25">
        <v>300</v>
      </c>
      <c r="C26" s="25">
        <v>0</v>
      </c>
      <c r="D26" s="25">
        <v>384</v>
      </c>
      <c r="E26" s="26">
        <v>0</v>
      </c>
      <c r="F26" s="26">
        <v>0</v>
      </c>
      <c r="G26" s="25">
        <v>0</v>
      </c>
      <c r="H26" s="27">
        <v>4034.86</v>
      </c>
      <c r="I26" s="108"/>
    </row>
    <row r="27" spans="1:9" outlineLevel="2" x14ac:dyDescent="0.3">
      <c r="A27" s="12">
        <v>42972</v>
      </c>
      <c r="B27" s="25">
        <v>265</v>
      </c>
      <c r="C27" s="25">
        <v>0</v>
      </c>
      <c r="D27" s="25">
        <v>408</v>
      </c>
      <c r="E27" s="26">
        <v>0</v>
      </c>
      <c r="F27" s="26">
        <v>0</v>
      </c>
      <c r="G27" s="25">
        <v>0</v>
      </c>
      <c r="H27" s="27">
        <v>4034.87</v>
      </c>
      <c r="I27" s="108" t="s">
        <v>125</v>
      </c>
    </row>
    <row r="28" spans="1:9" outlineLevel="2" x14ac:dyDescent="0.3">
      <c r="A28" s="12">
        <v>42973</v>
      </c>
      <c r="B28" s="25">
        <v>217</v>
      </c>
      <c r="C28" s="25">
        <v>8</v>
      </c>
      <c r="D28" s="25">
        <v>376</v>
      </c>
      <c r="E28" s="26">
        <v>0</v>
      </c>
      <c r="F28" s="26">
        <v>0</v>
      </c>
      <c r="G28" s="25">
        <v>0</v>
      </c>
      <c r="H28" s="27">
        <v>4034.88</v>
      </c>
      <c r="I28" s="108" t="s">
        <v>126</v>
      </c>
    </row>
    <row r="29" spans="1:9" outlineLevel="2" x14ac:dyDescent="0.3">
      <c r="A29" s="12">
        <v>42974</v>
      </c>
      <c r="B29" s="25">
        <v>165</v>
      </c>
      <c r="C29" s="25">
        <v>24</v>
      </c>
      <c r="D29" s="25">
        <v>352</v>
      </c>
      <c r="E29" s="26">
        <v>0</v>
      </c>
      <c r="F29" s="26">
        <v>0</v>
      </c>
      <c r="G29" s="25">
        <v>0</v>
      </c>
      <c r="H29" s="27">
        <v>4034.9</v>
      </c>
      <c r="I29" s="108" t="s">
        <v>127</v>
      </c>
    </row>
    <row r="30" spans="1:9" outlineLevel="2" x14ac:dyDescent="0.3">
      <c r="A30" s="12">
        <v>42975</v>
      </c>
      <c r="B30" s="25">
        <v>163</v>
      </c>
      <c r="C30" s="25">
        <v>0</v>
      </c>
      <c r="D30" s="25">
        <v>363</v>
      </c>
      <c r="E30" s="26">
        <v>0</v>
      </c>
      <c r="F30" s="26">
        <v>0</v>
      </c>
      <c r="G30" s="25">
        <v>0</v>
      </c>
      <c r="H30" s="27">
        <v>4034.9</v>
      </c>
      <c r="I30" s="108" t="s">
        <v>128</v>
      </c>
    </row>
    <row r="31" spans="1:9" outlineLevel="2" x14ac:dyDescent="0.3">
      <c r="A31" s="12">
        <v>42976</v>
      </c>
      <c r="B31" s="25">
        <v>213</v>
      </c>
      <c r="C31" s="25">
        <v>0</v>
      </c>
      <c r="D31" s="25">
        <v>387</v>
      </c>
      <c r="E31" s="26">
        <v>0</v>
      </c>
      <c r="F31" s="26">
        <v>0</v>
      </c>
      <c r="G31" s="25">
        <v>0</v>
      </c>
      <c r="H31" s="27">
        <v>4034.9</v>
      </c>
      <c r="I31" s="108" t="s">
        <v>129</v>
      </c>
    </row>
    <row r="32" spans="1:9" outlineLevel="2" x14ac:dyDescent="0.3">
      <c r="A32" s="12">
        <v>42977</v>
      </c>
      <c r="B32" s="25">
        <v>283</v>
      </c>
      <c r="C32" s="25">
        <v>0</v>
      </c>
      <c r="D32" s="25">
        <v>403</v>
      </c>
      <c r="E32" s="26">
        <v>0</v>
      </c>
      <c r="F32" s="26">
        <v>0</v>
      </c>
      <c r="G32" s="25">
        <v>0</v>
      </c>
      <c r="H32" s="27">
        <v>4034.9</v>
      </c>
      <c r="I32" s="108" t="s">
        <v>130</v>
      </c>
    </row>
    <row r="33" spans="1:14" ht="15" outlineLevel="2" thickBot="1" x14ac:dyDescent="0.35">
      <c r="A33" s="12">
        <v>42978</v>
      </c>
      <c r="B33" s="25">
        <v>279</v>
      </c>
      <c r="C33" s="25">
        <v>10</v>
      </c>
      <c r="D33" s="25">
        <v>373</v>
      </c>
      <c r="E33" s="26">
        <v>0</v>
      </c>
      <c r="F33" s="26">
        <v>0</v>
      </c>
      <c r="G33" s="25">
        <v>0</v>
      </c>
      <c r="H33" s="27">
        <v>4034.95</v>
      </c>
      <c r="I33" s="108" t="s">
        <v>131</v>
      </c>
    </row>
    <row r="34" spans="1:14" s="11" customFormat="1" ht="15" outlineLevel="1" thickTop="1" x14ac:dyDescent="0.3">
      <c r="A34" s="16" t="s">
        <v>8</v>
      </c>
      <c r="B34" s="17">
        <f t="shared" ref="B34:G34" si="0">SUM(B3:B33)</f>
        <v>7044</v>
      </c>
      <c r="C34" s="17">
        <f t="shared" si="0"/>
        <v>233</v>
      </c>
      <c r="D34" s="17">
        <f t="shared" si="0"/>
        <v>11638</v>
      </c>
      <c r="E34" s="18">
        <f t="shared" si="0"/>
        <v>0.24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3">
      <c r="A35" s="19" t="s">
        <v>9</v>
      </c>
      <c r="B35" s="20">
        <f>SUM(B34+'Jul 2017'!B35)</f>
        <v>34068</v>
      </c>
      <c r="C35" s="20">
        <f>SUM(C34+'Jul 2017'!C35)</f>
        <v>10304</v>
      </c>
      <c r="D35" s="20">
        <f>SUM(D34+'Jul 2017'!D35)</f>
        <v>53438</v>
      </c>
      <c r="E35" s="21">
        <f>SUM(E34+'Jul 2017'!E35)</f>
        <v>11.669000000000002</v>
      </c>
      <c r="F35" s="21">
        <f>SUM(F34+'Jul 2017'!F35)</f>
        <v>27.6</v>
      </c>
      <c r="G35" s="20">
        <f>SUM(G34+'Jul 2017'!G35)</f>
        <v>27080</v>
      </c>
      <c r="H35" s="21"/>
    </row>
    <row r="36" spans="1:14" outlineLevel="1" x14ac:dyDescent="0.3"/>
    <row r="37" spans="1:14" x14ac:dyDescent="0.3">
      <c r="A37" t="s">
        <v>10</v>
      </c>
      <c r="B37" s="23">
        <f>SUM(B3:B33)*1.9835</f>
        <v>13971.773999999999</v>
      </c>
      <c r="C37" s="23">
        <f>SUM(C3:C33)*1.9835</f>
        <v>462.15550000000002</v>
      </c>
      <c r="D37" s="23">
        <f>SUM(D3:D33)*1.9835</f>
        <v>23083.973000000002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SUM(B37+'Jul 2017'!B39)</f>
        <v>67573.877999999997</v>
      </c>
      <c r="C39" s="23">
        <f>SUM(C37+'Jul 2017'!C39)</f>
        <v>22899.5075</v>
      </c>
      <c r="D39" s="23">
        <f>SUM(D37+'Jul 2017'!D39)</f>
        <v>108644.22899999999</v>
      </c>
      <c r="E39" s="23"/>
      <c r="F39" s="23"/>
      <c r="G39" s="23"/>
    </row>
    <row r="41" spans="1:14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outlineLevel="1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outlineLevel="1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G37" sqref="G37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0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42917</v>
      </c>
      <c r="B3" s="25">
        <v>500</v>
      </c>
      <c r="C3" s="25">
        <v>0</v>
      </c>
      <c r="D3" s="25">
        <v>610</v>
      </c>
      <c r="E3" s="26">
        <v>0</v>
      </c>
      <c r="F3" s="26">
        <v>0</v>
      </c>
      <c r="G3" s="25">
        <v>0</v>
      </c>
      <c r="H3" s="27">
        <v>4035.05</v>
      </c>
      <c r="I3" s="112"/>
    </row>
    <row r="4" spans="1:9" x14ac:dyDescent="0.3">
      <c r="A4" s="28">
        <v>42918</v>
      </c>
      <c r="B4" s="25">
        <v>535</v>
      </c>
      <c r="C4" s="25">
        <v>0</v>
      </c>
      <c r="D4" s="25">
        <v>623</v>
      </c>
      <c r="E4" s="26">
        <v>0</v>
      </c>
      <c r="F4" s="26">
        <v>0</v>
      </c>
      <c r="G4" s="25">
        <v>0</v>
      </c>
      <c r="H4" s="27">
        <v>4035.04</v>
      </c>
      <c r="I4" s="108" t="s">
        <v>87</v>
      </c>
    </row>
    <row r="5" spans="1:9" x14ac:dyDescent="0.3">
      <c r="A5" s="28">
        <v>42919</v>
      </c>
      <c r="B5" s="25">
        <v>466</v>
      </c>
      <c r="C5" s="25">
        <v>45</v>
      </c>
      <c r="D5" s="25">
        <v>591</v>
      </c>
      <c r="E5" s="26">
        <v>0</v>
      </c>
      <c r="F5" s="26">
        <v>0</v>
      </c>
      <c r="G5" s="25">
        <v>0</v>
      </c>
      <c r="H5" s="27">
        <v>4035.02</v>
      </c>
      <c r="I5" s="108" t="s">
        <v>88</v>
      </c>
    </row>
    <row r="6" spans="1:9" x14ac:dyDescent="0.3">
      <c r="A6" s="28">
        <v>42920</v>
      </c>
      <c r="B6" s="25">
        <v>434</v>
      </c>
      <c r="C6" s="25">
        <v>7</v>
      </c>
      <c r="D6" s="25">
        <v>579</v>
      </c>
      <c r="E6" s="26">
        <v>0</v>
      </c>
      <c r="F6" s="26">
        <v>0</v>
      </c>
      <c r="G6" s="25">
        <v>0</v>
      </c>
      <c r="H6" s="27">
        <v>4034.02</v>
      </c>
      <c r="I6" s="108" t="s">
        <v>89</v>
      </c>
    </row>
    <row r="7" spans="1:9" x14ac:dyDescent="0.3">
      <c r="A7" s="28">
        <v>42921</v>
      </c>
      <c r="B7" s="25">
        <v>467</v>
      </c>
      <c r="C7" s="25">
        <v>19</v>
      </c>
      <c r="D7" s="25">
        <v>577</v>
      </c>
      <c r="E7" s="26">
        <v>0</v>
      </c>
      <c r="F7" s="26">
        <v>0</v>
      </c>
      <c r="G7" s="25">
        <v>0</v>
      </c>
      <c r="H7" s="27">
        <v>4035</v>
      </c>
      <c r="I7" s="108" t="s">
        <v>90</v>
      </c>
    </row>
    <row r="8" spans="1:9" x14ac:dyDescent="0.3">
      <c r="A8" s="28">
        <v>42922</v>
      </c>
      <c r="B8" s="25">
        <v>450</v>
      </c>
      <c r="C8" s="25">
        <v>11</v>
      </c>
      <c r="D8" s="25">
        <v>578</v>
      </c>
      <c r="E8" s="26">
        <v>0</v>
      </c>
      <c r="F8" s="26">
        <v>0</v>
      </c>
      <c r="G8" s="25">
        <v>0</v>
      </c>
      <c r="H8" s="27">
        <v>4035</v>
      </c>
      <c r="I8" s="108"/>
    </row>
    <row r="9" spans="1:9" x14ac:dyDescent="0.3">
      <c r="A9" s="28">
        <v>42923</v>
      </c>
      <c r="B9" s="25">
        <v>450</v>
      </c>
      <c r="C9" s="25">
        <v>0</v>
      </c>
      <c r="D9" s="25">
        <v>558</v>
      </c>
      <c r="E9" s="26">
        <v>0</v>
      </c>
      <c r="F9" s="26">
        <v>0</v>
      </c>
      <c r="G9" s="25">
        <v>0</v>
      </c>
      <c r="H9" s="27">
        <v>4034.98</v>
      </c>
      <c r="I9" s="108"/>
    </row>
    <row r="10" spans="1:9" x14ac:dyDescent="0.3">
      <c r="A10" s="28">
        <v>42924</v>
      </c>
      <c r="B10" s="25">
        <v>450</v>
      </c>
      <c r="C10" s="25">
        <v>0</v>
      </c>
      <c r="D10" s="25">
        <v>494</v>
      </c>
      <c r="E10" s="26">
        <v>0</v>
      </c>
      <c r="F10" s="26">
        <v>0</v>
      </c>
      <c r="G10" s="25">
        <v>0</v>
      </c>
      <c r="H10" s="27">
        <v>4034.96</v>
      </c>
      <c r="I10" s="108" t="s">
        <v>27</v>
      </c>
    </row>
    <row r="11" spans="1:9" x14ac:dyDescent="0.3">
      <c r="A11" s="28">
        <v>42925</v>
      </c>
      <c r="B11" s="25">
        <v>379</v>
      </c>
      <c r="C11" s="25">
        <v>0</v>
      </c>
      <c r="D11" s="25">
        <v>426</v>
      </c>
      <c r="E11" s="26">
        <v>0</v>
      </c>
      <c r="F11" s="26">
        <v>0</v>
      </c>
      <c r="G11" s="25">
        <v>0</v>
      </c>
      <c r="H11" s="27">
        <v>4034.95</v>
      </c>
      <c r="I11" s="108" t="s">
        <v>91</v>
      </c>
    </row>
    <row r="12" spans="1:9" x14ac:dyDescent="0.3">
      <c r="A12" s="28">
        <v>42926</v>
      </c>
      <c r="B12" s="25">
        <v>328</v>
      </c>
      <c r="C12" s="25">
        <v>0</v>
      </c>
      <c r="D12" s="25">
        <v>442</v>
      </c>
      <c r="E12" s="26">
        <v>0</v>
      </c>
      <c r="F12" s="26">
        <v>0</v>
      </c>
      <c r="G12" s="25">
        <v>0</v>
      </c>
      <c r="H12" s="27">
        <v>4034.94</v>
      </c>
      <c r="I12" s="108" t="s">
        <v>92</v>
      </c>
    </row>
    <row r="13" spans="1:9" x14ac:dyDescent="0.3">
      <c r="A13" s="28">
        <v>42927</v>
      </c>
      <c r="B13" s="25">
        <v>350</v>
      </c>
      <c r="C13" s="25">
        <v>0</v>
      </c>
      <c r="D13" s="25">
        <v>461</v>
      </c>
      <c r="E13" s="26">
        <v>0</v>
      </c>
      <c r="F13" s="26">
        <v>0</v>
      </c>
      <c r="G13" s="25">
        <v>0</v>
      </c>
      <c r="H13" s="27">
        <v>4034.94</v>
      </c>
      <c r="I13" s="108"/>
    </row>
    <row r="14" spans="1:9" x14ac:dyDescent="0.3">
      <c r="A14" s="28">
        <v>42928</v>
      </c>
      <c r="B14" s="25">
        <v>355</v>
      </c>
      <c r="C14" s="25">
        <v>0</v>
      </c>
      <c r="D14" s="25">
        <v>464</v>
      </c>
      <c r="E14" s="26">
        <v>0</v>
      </c>
      <c r="F14" s="26">
        <v>0</v>
      </c>
      <c r="G14" s="25">
        <v>0</v>
      </c>
      <c r="H14" s="27">
        <v>4034.92</v>
      </c>
      <c r="I14" s="108" t="s">
        <v>93</v>
      </c>
    </row>
    <row r="15" spans="1:9" x14ac:dyDescent="0.3">
      <c r="A15" s="28">
        <v>42929</v>
      </c>
      <c r="B15" s="25">
        <v>388</v>
      </c>
      <c r="C15" s="25">
        <v>0</v>
      </c>
      <c r="D15" s="25">
        <v>466</v>
      </c>
      <c r="E15" s="26">
        <v>0</v>
      </c>
      <c r="F15" s="26">
        <v>0</v>
      </c>
      <c r="G15" s="25">
        <v>0</v>
      </c>
      <c r="H15" s="27">
        <v>4034.92</v>
      </c>
      <c r="I15" s="108" t="s">
        <v>94</v>
      </c>
    </row>
    <row r="16" spans="1:9" x14ac:dyDescent="0.3">
      <c r="A16" s="28">
        <v>42930</v>
      </c>
      <c r="B16" s="25">
        <v>350</v>
      </c>
      <c r="C16" s="25">
        <v>0</v>
      </c>
      <c r="D16" s="25">
        <v>463</v>
      </c>
      <c r="E16" s="26">
        <v>0</v>
      </c>
      <c r="F16" s="26">
        <v>0</v>
      </c>
      <c r="G16" s="25">
        <v>0</v>
      </c>
      <c r="H16" s="27">
        <v>4034.9</v>
      </c>
      <c r="I16" s="108"/>
    </row>
    <row r="17" spans="1:12" x14ac:dyDescent="0.3">
      <c r="A17" s="28">
        <v>42931</v>
      </c>
      <c r="B17" s="25">
        <v>421</v>
      </c>
      <c r="C17" s="25">
        <v>0</v>
      </c>
      <c r="D17" s="25">
        <v>468</v>
      </c>
      <c r="E17" s="26">
        <v>0</v>
      </c>
      <c r="F17" s="26">
        <v>0</v>
      </c>
      <c r="G17" s="25">
        <v>0</v>
      </c>
      <c r="H17" s="27">
        <v>4034.88</v>
      </c>
      <c r="I17" s="108" t="s">
        <v>95</v>
      </c>
    </row>
    <row r="18" spans="1:12" x14ac:dyDescent="0.3">
      <c r="A18" s="28">
        <v>42932</v>
      </c>
      <c r="B18" s="25">
        <v>360</v>
      </c>
      <c r="C18" s="25">
        <v>5</v>
      </c>
      <c r="D18" s="25">
        <v>430</v>
      </c>
      <c r="E18" s="26">
        <v>0</v>
      </c>
      <c r="F18" s="26">
        <v>0</v>
      </c>
      <c r="G18" s="25">
        <v>0</v>
      </c>
      <c r="H18" s="27">
        <v>4034.88</v>
      </c>
      <c r="I18" s="108" t="s">
        <v>96</v>
      </c>
    </row>
    <row r="19" spans="1:12" x14ac:dyDescent="0.3">
      <c r="A19" s="28">
        <v>42933</v>
      </c>
      <c r="B19" s="25">
        <v>306</v>
      </c>
      <c r="C19" s="25">
        <v>33</v>
      </c>
      <c r="D19" s="25">
        <v>430</v>
      </c>
      <c r="E19" s="26">
        <v>0</v>
      </c>
      <c r="F19" s="26">
        <v>0</v>
      </c>
      <c r="G19" s="25">
        <v>0</v>
      </c>
      <c r="H19" s="27">
        <v>4034.86</v>
      </c>
      <c r="I19" s="108" t="s">
        <v>97</v>
      </c>
    </row>
    <row r="20" spans="1:12" x14ac:dyDescent="0.3">
      <c r="A20" s="28">
        <v>42934</v>
      </c>
      <c r="B20" s="25">
        <v>315</v>
      </c>
      <c r="C20" s="25">
        <v>0</v>
      </c>
      <c r="D20" s="25">
        <v>470</v>
      </c>
      <c r="E20" s="26">
        <v>0</v>
      </c>
      <c r="F20" s="26">
        <v>0</v>
      </c>
      <c r="G20" s="25">
        <v>0</v>
      </c>
      <c r="H20" s="27">
        <v>4034.86</v>
      </c>
      <c r="I20" s="108" t="s">
        <v>98</v>
      </c>
      <c r="L20" t="s">
        <v>27</v>
      </c>
    </row>
    <row r="21" spans="1:12" x14ac:dyDescent="0.3">
      <c r="A21" s="28">
        <v>42935</v>
      </c>
      <c r="B21" s="25">
        <v>385</v>
      </c>
      <c r="C21" s="25">
        <v>0</v>
      </c>
      <c r="D21" s="25">
        <v>471</v>
      </c>
      <c r="E21" s="26">
        <v>0</v>
      </c>
      <c r="F21" s="26">
        <v>0</v>
      </c>
      <c r="G21" s="25">
        <v>0</v>
      </c>
      <c r="H21" s="27">
        <v>4034.86</v>
      </c>
      <c r="I21" s="108" t="s">
        <v>99</v>
      </c>
    </row>
    <row r="22" spans="1:12" x14ac:dyDescent="0.3">
      <c r="A22" s="28">
        <v>42936</v>
      </c>
      <c r="B22" s="25">
        <v>400</v>
      </c>
      <c r="C22" s="25">
        <v>0</v>
      </c>
      <c r="D22" s="25">
        <v>455</v>
      </c>
      <c r="E22" s="26">
        <v>0</v>
      </c>
      <c r="F22" s="26">
        <v>0</v>
      </c>
      <c r="G22" s="25">
        <v>0</v>
      </c>
      <c r="H22" s="27">
        <v>4034.84</v>
      </c>
      <c r="I22" s="108"/>
    </row>
    <row r="23" spans="1:12" x14ac:dyDescent="0.3">
      <c r="A23" s="28">
        <v>42937</v>
      </c>
      <c r="B23" s="25">
        <v>433</v>
      </c>
      <c r="C23" s="25">
        <v>0</v>
      </c>
      <c r="D23" s="25">
        <v>454</v>
      </c>
      <c r="E23" s="26">
        <v>0</v>
      </c>
      <c r="F23" s="26">
        <v>0</v>
      </c>
      <c r="G23" s="25">
        <v>0</v>
      </c>
      <c r="H23" s="27">
        <v>4034.84</v>
      </c>
      <c r="I23" s="108" t="s">
        <v>100</v>
      </c>
    </row>
    <row r="24" spans="1:12" x14ac:dyDescent="0.3">
      <c r="A24" s="28">
        <v>42938</v>
      </c>
      <c r="B24" s="25">
        <v>385</v>
      </c>
      <c r="C24" s="25">
        <v>0</v>
      </c>
      <c r="D24" s="25">
        <v>466</v>
      </c>
      <c r="E24" s="26">
        <v>0</v>
      </c>
      <c r="F24" s="26">
        <v>0</v>
      </c>
      <c r="G24" s="25">
        <v>0</v>
      </c>
      <c r="H24" s="27">
        <v>4034.84</v>
      </c>
      <c r="I24" s="108" t="s">
        <v>101</v>
      </c>
    </row>
    <row r="25" spans="1:12" x14ac:dyDescent="0.3">
      <c r="A25" s="28">
        <v>42939</v>
      </c>
      <c r="B25" s="25">
        <v>331</v>
      </c>
      <c r="C25" s="25">
        <v>54</v>
      </c>
      <c r="D25" s="25">
        <v>454</v>
      </c>
      <c r="E25" s="26">
        <v>0</v>
      </c>
      <c r="F25" s="26">
        <v>0</v>
      </c>
      <c r="G25" s="25">
        <v>0</v>
      </c>
      <c r="H25" s="27">
        <v>4034.84</v>
      </c>
      <c r="I25" s="108" t="s">
        <v>102</v>
      </c>
    </row>
    <row r="26" spans="1:12" x14ac:dyDescent="0.3">
      <c r="A26" s="28">
        <v>42940</v>
      </c>
      <c r="B26" s="25">
        <v>325</v>
      </c>
      <c r="C26" s="25">
        <v>11</v>
      </c>
      <c r="D26" s="25">
        <v>479</v>
      </c>
      <c r="E26" s="26">
        <v>0</v>
      </c>
      <c r="F26" s="26">
        <v>0</v>
      </c>
      <c r="G26" s="25">
        <v>0</v>
      </c>
      <c r="H26" s="27">
        <v>4034.84</v>
      </c>
      <c r="I26" s="108" t="s">
        <v>103</v>
      </c>
    </row>
    <row r="27" spans="1:12" x14ac:dyDescent="0.3">
      <c r="A27" s="28">
        <v>42941</v>
      </c>
      <c r="B27" s="25">
        <v>340</v>
      </c>
      <c r="C27" s="25">
        <v>33</v>
      </c>
      <c r="D27" s="25">
        <v>528</v>
      </c>
      <c r="E27" s="26">
        <v>0</v>
      </c>
      <c r="F27" s="26">
        <v>0</v>
      </c>
      <c r="G27" s="25">
        <v>0</v>
      </c>
      <c r="H27" s="27">
        <v>4034.84</v>
      </c>
      <c r="I27" s="108" t="s">
        <v>104</v>
      </c>
    </row>
    <row r="28" spans="1:12" x14ac:dyDescent="0.3">
      <c r="A28" s="28">
        <v>42942</v>
      </c>
      <c r="B28" s="25">
        <v>329</v>
      </c>
      <c r="C28" s="25">
        <v>0</v>
      </c>
      <c r="D28" s="25">
        <v>514</v>
      </c>
      <c r="E28" s="26">
        <v>0.02</v>
      </c>
      <c r="F28" s="26">
        <v>0</v>
      </c>
      <c r="G28" s="25">
        <v>0</v>
      </c>
      <c r="H28" s="27">
        <v>4034.84</v>
      </c>
      <c r="I28" s="108" t="s">
        <v>105</v>
      </c>
    </row>
    <row r="29" spans="1:12" x14ac:dyDescent="0.3">
      <c r="A29" s="28">
        <v>42943</v>
      </c>
      <c r="B29" s="25">
        <v>246</v>
      </c>
      <c r="C29" s="25">
        <v>5</v>
      </c>
      <c r="D29" s="25">
        <v>456</v>
      </c>
      <c r="E29" s="26">
        <v>0</v>
      </c>
      <c r="F29" s="26">
        <v>0</v>
      </c>
      <c r="G29" s="25">
        <v>0</v>
      </c>
      <c r="H29" s="27">
        <v>4034.84</v>
      </c>
      <c r="I29" s="108" t="s">
        <v>106</v>
      </c>
    </row>
    <row r="30" spans="1:12" x14ac:dyDescent="0.3">
      <c r="A30" s="28">
        <v>42944</v>
      </c>
      <c r="B30" s="25">
        <v>267</v>
      </c>
      <c r="C30" s="25">
        <v>0</v>
      </c>
      <c r="D30" s="25">
        <v>461</v>
      </c>
      <c r="E30" s="26">
        <v>0</v>
      </c>
      <c r="F30" s="26">
        <v>0</v>
      </c>
      <c r="G30" s="25">
        <v>0</v>
      </c>
      <c r="H30" s="27">
        <v>4034.83</v>
      </c>
      <c r="I30" s="108" t="s">
        <v>107</v>
      </c>
    </row>
    <row r="31" spans="1:12" x14ac:dyDescent="0.3">
      <c r="A31" s="28">
        <v>42945</v>
      </c>
      <c r="B31" s="25">
        <v>385</v>
      </c>
      <c r="C31" s="25">
        <v>0</v>
      </c>
      <c r="D31" s="25">
        <v>479</v>
      </c>
      <c r="E31" s="26">
        <v>0</v>
      </c>
      <c r="F31" s="26">
        <v>0</v>
      </c>
      <c r="G31" s="25">
        <v>0</v>
      </c>
      <c r="H31" s="27">
        <v>4034.82</v>
      </c>
      <c r="I31" s="108" t="s">
        <v>108</v>
      </c>
    </row>
    <row r="32" spans="1:12" x14ac:dyDescent="0.3">
      <c r="A32" s="28">
        <v>42946</v>
      </c>
      <c r="B32" s="25">
        <v>392</v>
      </c>
      <c r="C32" s="25">
        <v>43</v>
      </c>
      <c r="D32" s="25">
        <v>471</v>
      </c>
      <c r="E32" s="26">
        <v>0</v>
      </c>
      <c r="F32" s="26">
        <v>0</v>
      </c>
      <c r="G32" s="25">
        <v>0</v>
      </c>
      <c r="H32" s="27">
        <v>4034.8</v>
      </c>
      <c r="I32" s="108" t="s">
        <v>109</v>
      </c>
    </row>
    <row r="33" spans="1:14" ht="15" thickBot="1" x14ac:dyDescent="0.35">
      <c r="A33" s="28">
        <v>42947</v>
      </c>
      <c r="B33" s="25">
        <v>325</v>
      </c>
      <c r="C33" s="25">
        <v>40</v>
      </c>
      <c r="D33" s="25">
        <v>463</v>
      </c>
      <c r="E33" s="26">
        <v>0</v>
      </c>
      <c r="F33" s="26">
        <v>0</v>
      </c>
      <c r="G33" s="25">
        <v>0</v>
      </c>
      <c r="H33" s="27">
        <v>4034.8</v>
      </c>
      <c r="I33" s="108" t="s">
        <v>110</v>
      </c>
    </row>
    <row r="34" spans="1:14" s="11" customFormat="1" ht="15" thickTop="1" x14ac:dyDescent="0.3">
      <c r="A34" s="16" t="s">
        <v>8</v>
      </c>
      <c r="B34" s="17">
        <f t="shared" ref="B34:G34" si="0">SUM(B3:B33)</f>
        <v>11847</v>
      </c>
      <c r="C34" s="17">
        <f t="shared" si="0"/>
        <v>306</v>
      </c>
      <c r="D34" s="17">
        <f t="shared" si="0"/>
        <v>15281</v>
      </c>
      <c r="E34" s="18">
        <f t="shared" si="0"/>
        <v>0.02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3">
      <c r="A35" s="19" t="s">
        <v>9</v>
      </c>
      <c r="B35" s="20">
        <f>SUM(B34+'Jun 2017'!B34)</f>
        <v>27024</v>
      </c>
      <c r="C35" s="20">
        <f>SUM(C34+'Jun 2017'!C34)</f>
        <v>10071</v>
      </c>
      <c r="D35" s="20">
        <f>SUM(D34+'Jun 2017'!D34)</f>
        <v>41800</v>
      </c>
      <c r="E35" s="21">
        <f>SUM(E34+'Jun 2017'!E34)</f>
        <v>11.429000000000002</v>
      </c>
      <c r="F35" s="21">
        <f>SUM(F34+'Jun 2017'!F34)</f>
        <v>27.6</v>
      </c>
      <c r="G35" s="20">
        <f>SUM(G34+'Jun 2017'!G34)</f>
        <v>27080</v>
      </c>
      <c r="H35" s="21"/>
    </row>
    <row r="37" spans="1:14" x14ac:dyDescent="0.3">
      <c r="A37" t="s">
        <v>10</v>
      </c>
      <c r="B37" s="23">
        <f>SUM(B3:B33)*1.9835</f>
        <v>23498.5245</v>
      </c>
      <c r="C37" s="23">
        <f>SUM(C3:C33)*1.9835</f>
        <v>606.95100000000002</v>
      </c>
      <c r="D37" s="23">
        <f>SUM(D3:D33)*1.9835</f>
        <v>30309.863499999999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SUM(B37+'Jun 2017'!B38)</f>
        <v>53602.103999999999</v>
      </c>
      <c r="C39" s="23">
        <f>SUM(C37+'Jun 2017'!C38)</f>
        <v>22437.351999999999</v>
      </c>
      <c r="D39" s="23">
        <f>SUM(D37+'Jun 2017'!D38)</f>
        <v>85560.255999999994</v>
      </c>
      <c r="E39" s="23"/>
      <c r="F39" s="23"/>
      <c r="G39" s="23"/>
    </row>
    <row r="41" spans="1:14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2.10937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42887</v>
      </c>
      <c r="B3" s="25">
        <v>283</v>
      </c>
      <c r="C3" s="25">
        <v>0</v>
      </c>
      <c r="D3" s="25">
        <v>375</v>
      </c>
      <c r="E3" s="26">
        <v>0.12</v>
      </c>
      <c r="F3" s="26">
        <v>0</v>
      </c>
      <c r="G3" s="25">
        <v>0</v>
      </c>
      <c r="H3" s="27">
        <v>4035</v>
      </c>
      <c r="I3" s="108" t="s">
        <v>66</v>
      </c>
    </row>
    <row r="4" spans="1:9" x14ac:dyDescent="0.3">
      <c r="A4" s="28">
        <v>42888</v>
      </c>
      <c r="B4" s="25">
        <v>429</v>
      </c>
      <c r="C4" s="25">
        <v>0</v>
      </c>
      <c r="D4" s="25">
        <v>345</v>
      </c>
      <c r="E4" s="26">
        <v>0</v>
      </c>
      <c r="F4" s="26">
        <v>0</v>
      </c>
      <c r="G4" s="25">
        <v>0</v>
      </c>
      <c r="H4" s="27">
        <v>4035</v>
      </c>
      <c r="I4" s="108" t="s">
        <v>67</v>
      </c>
    </row>
    <row r="5" spans="1:9" x14ac:dyDescent="0.3">
      <c r="A5" s="28">
        <v>42889</v>
      </c>
      <c r="B5" s="25">
        <v>376</v>
      </c>
      <c r="C5" s="25">
        <v>63</v>
      </c>
      <c r="D5" s="25">
        <v>303</v>
      </c>
      <c r="E5" s="26">
        <v>0</v>
      </c>
      <c r="F5" s="26">
        <v>0</v>
      </c>
      <c r="G5" s="25">
        <v>0</v>
      </c>
      <c r="H5" s="27">
        <v>4035</v>
      </c>
      <c r="I5" s="108" t="s">
        <v>68</v>
      </c>
    </row>
    <row r="6" spans="1:9" x14ac:dyDescent="0.3">
      <c r="A6" s="28">
        <v>42890</v>
      </c>
      <c r="B6" s="25">
        <v>300</v>
      </c>
      <c r="C6" s="25">
        <v>49</v>
      </c>
      <c r="D6" s="25">
        <v>307</v>
      </c>
      <c r="E6" s="26">
        <v>0</v>
      </c>
      <c r="F6" s="26">
        <v>0</v>
      </c>
      <c r="G6" s="25">
        <v>0</v>
      </c>
      <c r="H6" s="27">
        <v>4035</v>
      </c>
      <c r="I6" s="108"/>
    </row>
    <row r="7" spans="1:9" x14ac:dyDescent="0.3">
      <c r="A7" s="28">
        <v>42891</v>
      </c>
      <c r="B7" s="25">
        <v>235</v>
      </c>
      <c r="C7" s="25">
        <v>0</v>
      </c>
      <c r="D7" s="25">
        <v>349</v>
      </c>
      <c r="E7" s="26">
        <v>0</v>
      </c>
      <c r="F7" s="26">
        <v>0</v>
      </c>
      <c r="G7" s="25">
        <v>0</v>
      </c>
      <c r="H7" s="27">
        <v>4035.01</v>
      </c>
      <c r="I7" s="108" t="s">
        <v>69</v>
      </c>
    </row>
    <row r="8" spans="1:9" x14ac:dyDescent="0.3">
      <c r="A8" s="28">
        <v>42892</v>
      </c>
      <c r="B8" s="25">
        <v>205</v>
      </c>
      <c r="C8" s="25">
        <v>0</v>
      </c>
      <c r="D8" s="25">
        <v>349</v>
      </c>
      <c r="E8" s="26">
        <v>0</v>
      </c>
      <c r="F8" s="26">
        <v>0</v>
      </c>
      <c r="G8" s="25">
        <v>0</v>
      </c>
      <c r="H8" s="27">
        <v>4035.02</v>
      </c>
      <c r="I8" s="108" t="s">
        <v>70</v>
      </c>
    </row>
    <row r="9" spans="1:9" x14ac:dyDescent="0.3">
      <c r="A9" s="28">
        <v>42893</v>
      </c>
      <c r="B9" s="25">
        <v>250</v>
      </c>
      <c r="C9" s="25">
        <v>0</v>
      </c>
      <c r="D9" s="25">
        <v>362</v>
      </c>
      <c r="E9" s="26">
        <v>0</v>
      </c>
      <c r="F9" s="26">
        <v>0</v>
      </c>
      <c r="G9" s="25">
        <v>0</v>
      </c>
      <c r="H9" s="27">
        <v>4035.03</v>
      </c>
      <c r="I9" s="108"/>
    </row>
    <row r="10" spans="1:9" x14ac:dyDescent="0.3">
      <c r="A10" s="28">
        <v>42894</v>
      </c>
      <c r="B10" s="25">
        <v>250</v>
      </c>
      <c r="C10" s="25">
        <v>0</v>
      </c>
      <c r="D10" s="25">
        <v>369</v>
      </c>
      <c r="E10" s="26">
        <v>0</v>
      </c>
      <c r="F10" s="26">
        <v>0</v>
      </c>
      <c r="G10" s="25">
        <v>0</v>
      </c>
      <c r="H10" s="27">
        <v>4035.04</v>
      </c>
      <c r="I10" s="108"/>
    </row>
    <row r="11" spans="1:9" x14ac:dyDescent="0.3">
      <c r="A11" s="28">
        <v>42895</v>
      </c>
      <c r="B11" s="25">
        <v>250</v>
      </c>
      <c r="C11" s="25">
        <v>0</v>
      </c>
      <c r="D11" s="25">
        <v>349</v>
      </c>
      <c r="E11" s="26">
        <v>0.01</v>
      </c>
      <c r="F11" s="26">
        <v>0</v>
      </c>
      <c r="G11" s="25">
        <v>0</v>
      </c>
      <c r="H11" s="27">
        <v>4035.05</v>
      </c>
    </row>
    <row r="12" spans="1:9" x14ac:dyDescent="0.3">
      <c r="A12" s="28">
        <v>42896</v>
      </c>
      <c r="B12" s="25">
        <v>267</v>
      </c>
      <c r="C12" s="25">
        <v>6</v>
      </c>
      <c r="D12" s="25">
        <v>357</v>
      </c>
      <c r="E12" s="26">
        <v>0.02</v>
      </c>
      <c r="F12" s="26">
        <v>0</v>
      </c>
      <c r="G12" s="25">
        <v>0</v>
      </c>
      <c r="H12" s="27">
        <v>4035.06</v>
      </c>
      <c r="I12" s="111" t="s">
        <v>71</v>
      </c>
    </row>
    <row r="13" spans="1:9" x14ac:dyDescent="0.3">
      <c r="A13" s="28">
        <v>42897</v>
      </c>
      <c r="B13" s="25">
        <v>154</v>
      </c>
      <c r="C13" s="25">
        <v>70</v>
      </c>
      <c r="D13" s="25">
        <v>334</v>
      </c>
      <c r="E13" s="26">
        <v>0.43</v>
      </c>
      <c r="F13" s="26">
        <v>0</v>
      </c>
      <c r="G13" s="25">
        <v>0</v>
      </c>
      <c r="H13" s="27">
        <v>4035.07</v>
      </c>
      <c r="I13" s="108" t="s">
        <v>72</v>
      </c>
    </row>
    <row r="14" spans="1:9" x14ac:dyDescent="0.3">
      <c r="A14" s="28">
        <v>42898</v>
      </c>
      <c r="B14" s="25">
        <v>125</v>
      </c>
      <c r="C14" s="25">
        <v>0</v>
      </c>
      <c r="D14" s="25">
        <v>312</v>
      </c>
      <c r="E14" s="26">
        <v>0.28999999999999998</v>
      </c>
      <c r="F14" s="26">
        <v>0</v>
      </c>
      <c r="G14" s="25">
        <v>0</v>
      </c>
      <c r="H14" s="27">
        <v>4035.12</v>
      </c>
      <c r="I14" s="108" t="s">
        <v>73</v>
      </c>
    </row>
    <row r="15" spans="1:9" x14ac:dyDescent="0.3">
      <c r="A15" s="28">
        <v>42899</v>
      </c>
      <c r="B15" s="25">
        <v>151</v>
      </c>
      <c r="C15" s="25">
        <v>0</v>
      </c>
      <c r="D15" s="25">
        <v>270</v>
      </c>
      <c r="E15" s="26">
        <v>0</v>
      </c>
      <c r="F15" s="26">
        <v>0</v>
      </c>
      <c r="G15" s="25">
        <v>0</v>
      </c>
      <c r="H15" s="27">
        <v>4035.16</v>
      </c>
      <c r="I15" s="108" t="s">
        <v>74</v>
      </c>
    </row>
    <row r="16" spans="1:9" x14ac:dyDescent="0.3">
      <c r="A16" s="28">
        <v>42900</v>
      </c>
      <c r="B16" s="25">
        <v>150</v>
      </c>
      <c r="C16" s="25">
        <v>0</v>
      </c>
      <c r="D16" s="25">
        <v>271</v>
      </c>
      <c r="E16" s="26">
        <v>0</v>
      </c>
      <c r="F16" s="26">
        <v>0</v>
      </c>
      <c r="G16" s="25">
        <v>0</v>
      </c>
      <c r="H16" s="27">
        <v>4035.2</v>
      </c>
      <c r="I16" s="108"/>
    </row>
    <row r="17" spans="1:9" x14ac:dyDescent="0.3">
      <c r="A17" s="28">
        <v>42901</v>
      </c>
      <c r="B17" s="25">
        <v>122</v>
      </c>
      <c r="C17" s="25">
        <v>0</v>
      </c>
      <c r="D17" s="25">
        <v>272</v>
      </c>
      <c r="E17" s="26">
        <v>0</v>
      </c>
      <c r="F17" s="26">
        <v>0</v>
      </c>
      <c r="G17" s="25">
        <v>0</v>
      </c>
      <c r="H17" s="27">
        <v>4035.2</v>
      </c>
      <c r="I17" s="108" t="s">
        <v>75</v>
      </c>
    </row>
    <row r="18" spans="1:9" x14ac:dyDescent="0.3">
      <c r="A18" s="28">
        <v>42902</v>
      </c>
      <c r="B18" s="25">
        <v>100</v>
      </c>
      <c r="C18" s="25">
        <v>0</v>
      </c>
      <c r="D18" s="25">
        <v>266</v>
      </c>
      <c r="E18" s="26">
        <v>0</v>
      </c>
      <c r="F18" s="26">
        <v>0</v>
      </c>
      <c r="G18" s="25">
        <v>0</v>
      </c>
      <c r="H18" s="27">
        <v>4035.24</v>
      </c>
      <c r="I18" s="108"/>
    </row>
    <row r="19" spans="1:9" x14ac:dyDescent="0.3">
      <c r="A19" s="28">
        <v>42903</v>
      </c>
      <c r="B19" s="25">
        <v>135</v>
      </c>
      <c r="C19" s="25">
        <v>0</v>
      </c>
      <c r="D19" s="25">
        <v>269</v>
      </c>
      <c r="E19" s="26">
        <v>0</v>
      </c>
      <c r="F19" s="26">
        <v>0</v>
      </c>
      <c r="G19" s="25">
        <v>0</v>
      </c>
      <c r="H19" s="27">
        <v>4035.25</v>
      </c>
      <c r="I19" s="108" t="s">
        <v>76</v>
      </c>
    </row>
    <row r="20" spans="1:9" x14ac:dyDescent="0.3">
      <c r="A20" s="28">
        <v>42904</v>
      </c>
      <c r="B20" s="25">
        <v>200</v>
      </c>
      <c r="C20" s="25">
        <v>0</v>
      </c>
      <c r="D20" s="25">
        <v>285</v>
      </c>
      <c r="E20" s="26">
        <v>0</v>
      </c>
      <c r="F20" s="26">
        <v>0</v>
      </c>
      <c r="G20" s="25">
        <v>0</v>
      </c>
      <c r="H20" s="27">
        <v>4035.25</v>
      </c>
      <c r="I20" s="108" t="s">
        <v>77</v>
      </c>
    </row>
    <row r="21" spans="1:9" x14ac:dyDescent="0.3">
      <c r="A21" s="28">
        <v>42905</v>
      </c>
      <c r="B21" s="25">
        <v>281</v>
      </c>
      <c r="C21" s="25">
        <v>0</v>
      </c>
      <c r="D21" s="25">
        <v>363</v>
      </c>
      <c r="E21" s="26">
        <v>0</v>
      </c>
      <c r="F21" s="26">
        <v>0</v>
      </c>
      <c r="G21" s="25">
        <v>0</v>
      </c>
      <c r="H21" s="27">
        <v>4035.25</v>
      </c>
      <c r="I21" s="108" t="s">
        <v>78</v>
      </c>
    </row>
    <row r="22" spans="1:9" x14ac:dyDescent="0.3">
      <c r="A22" s="28">
        <v>42906</v>
      </c>
      <c r="B22" s="25">
        <v>331</v>
      </c>
      <c r="C22" s="25">
        <v>0</v>
      </c>
      <c r="D22" s="25">
        <v>446</v>
      </c>
      <c r="E22" s="26">
        <v>0.2</v>
      </c>
      <c r="F22" s="26">
        <v>0</v>
      </c>
      <c r="G22" s="25">
        <v>0</v>
      </c>
      <c r="H22" s="27">
        <v>4035.25</v>
      </c>
      <c r="I22" s="108" t="s">
        <v>79</v>
      </c>
    </row>
    <row r="23" spans="1:9" x14ac:dyDescent="0.3">
      <c r="A23" s="28">
        <v>42907</v>
      </c>
      <c r="B23" s="25">
        <v>300</v>
      </c>
      <c r="C23" s="25">
        <v>0</v>
      </c>
      <c r="D23" s="25">
        <v>416</v>
      </c>
      <c r="E23" s="26">
        <v>0</v>
      </c>
      <c r="F23" s="26">
        <v>0</v>
      </c>
      <c r="G23" s="25">
        <v>0</v>
      </c>
      <c r="H23" s="27">
        <v>4035.22</v>
      </c>
      <c r="I23" s="108" t="s">
        <v>27</v>
      </c>
    </row>
    <row r="24" spans="1:9" x14ac:dyDescent="0.3">
      <c r="A24" s="28">
        <v>42908</v>
      </c>
      <c r="B24" s="25">
        <v>319</v>
      </c>
      <c r="C24" s="25">
        <v>0</v>
      </c>
      <c r="D24" s="25">
        <v>456</v>
      </c>
      <c r="E24" s="26">
        <v>0</v>
      </c>
      <c r="F24" s="26">
        <v>0</v>
      </c>
      <c r="G24" s="25">
        <v>0</v>
      </c>
      <c r="H24" s="27">
        <v>4035.2</v>
      </c>
      <c r="I24" s="108" t="s">
        <v>80</v>
      </c>
    </row>
    <row r="25" spans="1:9" x14ac:dyDescent="0.3">
      <c r="A25" s="28">
        <v>42909</v>
      </c>
      <c r="B25" s="25">
        <v>300</v>
      </c>
      <c r="C25" s="25">
        <v>23</v>
      </c>
      <c r="D25" s="25">
        <v>441</v>
      </c>
      <c r="E25" s="26">
        <v>0</v>
      </c>
      <c r="F25" s="26">
        <v>0</v>
      </c>
      <c r="G25" s="25">
        <v>0</v>
      </c>
      <c r="H25" s="27">
        <v>4035.18</v>
      </c>
      <c r="I25" s="108"/>
    </row>
    <row r="26" spans="1:9" x14ac:dyDescent="0.3">
      <c r="A26" s="28">
        <v>42910</v>
      </c>
      <c r="B26" s="25">
        <v>285</v>
      </c>
      <c r="C26" s="25">
        <v>0</v>
      </c>
      <c r="D26" s="25">
        <v>426</v>
      </c>
      <c r="E26" s="26">
        <v>0</v>
      </c>
      <c r="F26" s="26">
        <v>0</v>
      </c>
      <c r="G26" s="25">
        <v>0</v>
      </c>
      <c r="H26" s="27">
        <v>4035.16</v>
      </c>
      <c r="I26" s="108" t="s">
        <v>81</v>
      </c>
    </row>
    <row r="27" spans="1:9" x14ac:dyDescent="0.3">
      <c r="A27" s="28">
        <v>42911</v>
      </c>
      <c r="B27" s="25">
        <v>283</v>
      </c>
      <c r="C27" s="25">
        <v>5</v>
      </c>
      <c r="D27" s="25">
        <v>417</v>
      </c>
      <c r="E27" s="26">
        <v>0</v>
      </c>
      <c r="F27" s="26">
        <v>0</v>
      </c>
      <c r="G27" s="25">
        <v>0</v>
      </c>
      <c r="H27" s="27">
        <v>4035.15</v>
      </c>
      <c r="I27" s="108" t="s">
        <v>82</v>
      </c>
    </row>
    <row r="28" spans="1:9" x14ac:dyDescent="0.3">
      <c r="A28" s="28">
        <v>42912</v>
      </c>
      <c r="B28" s="25">
        <v>300</v>
      </c>
      <c r="C28" s="25">
        <v>2</v>
      </c>
      <c r="D28" s="25">
        <v>428</v>
      </c>
      <c r="E28" s="26">
        <v>0.51</v>
      </c>
      <c r="F28" s="26">
        <v>0</v>
      </c>
      <c r="G28" s="25">
        <v>0</v>
      </c>
      <c r="H28" s="27">
        <v>4035.15</v>
      </c>
      <c r="I28" s="108"/>
    </row>
    <row r="29" spans="1:9" x14ac:dyDescent="0.3">
      <c r="A29" s="28">
        <v>42913</v>
      </c>
      <c r="B29" s="25">
        <v>319</v>
      </c>
      <c r="C29" s="25">
        <v>0</v>
      </c>
      <c r="D29" s="25">
        <v>481</v>
      </c>
      <c r="E29" s="26">
        <v>0</v>
      </c>
      <c r="F29" s="26">
        <v>0</v>
      </c>
      <c r="G29" s="25">
        <v>0</v>
      </c>
      <c r="H29" s="27">
        <v>4035.12</v>
      </c>
      <c r="I29" s="108" t="s">
        <v>83</v>
      </c>
    </row>
    <row r="30" spans="1:9" x14ac:dyDescent="0.3">
      <c r="A30" s="28">
        <v>42914</v>
      </c>
      <c r="B30" s="25">
        <v>388</v>
      </c>
      <c r="C30" s="25">
        <v>0</v>
      </c>
      <c r="D30" s="25">
        <v>545</v>
      </c>
      <c r="E30" s="26">
        <v>0</v>
      </c>
      <c r="F30" s="26">
        <v>0</v>
      </c>
      <c r="G30" s="25">
        <v>0</v>
      </c>
      <c r="H30" s="27">
        <v>4035.12</v>
      </c>
      <c r="I30" s="108" t="s">
        <v>84</v>
      </c>
    </row>
    <row r="31" spans="1:9" x14ac:dyDescent="0.3">
      <c r="A31" s="28">
        <v>42915</v>
      </c>
      <c r="B31" s="25">
        <v>488</v>
      </c>
      <c r="C31" s="25">
        <v>0</v>
      </c>
      <c r="D31" s="25">
        <v>600</v>
      </c>
      <c r="E31" s="26">
        <v>0</v>
      </c>
      <c r="F31" s="26">
        <v>0</v>
      </c>
      <c r="G31" s="25">
        <v>0</v>
      </c>
      <c r="H31" s="27">
        <v>4035.1</v>
      </c>
      <c r="I31" s="108" t="s">
        <v>85</v>
      </c>
    </row>
    <row r="32" spans="1:9" ht="15" thickBot="1" x14ac:dyDescent="0.35">
      <c r="A32" s="28">
        <v>42916</v>
      </c>
      <c r="B32" s="25">
        <v>534</v>
      </c>
      <c r="C32" s="25">
        <v>0</v>
      </c>
      <c r="D32" s="25">
        <v>626</v>
      </c>
      <c r="E32" s="26">
        <v>0</v>
      </c>
      <c r="F32" s="26">
        <v>0</v>
      </c>
      <c r="G32" s="25">
        <v>0</v>
      </c>
      <c r="H32" s="27">
        <v>4035.07</v>
      </c>
      <c r="I32" s="108" t="s">
        <v>86</v>
      </c>
    </row>
    <row r="33" spans="1:14" s="11" customFormat="1" ht="15" thickTop="1" x14ac:dyDescent="0.3">
      <c r="A33" s="16" t="s">
        <v>8</v>
      </c>
      <c r="B33" s="17">
        <f t="shared" ref="B33:G33" si="0">SUM(B3:B32)</f>
        <v>8110</v>
      </c>
      <c r="C33" s="17">
        <f t="shared" si="0"/>
        <v>218</v>
      </c>
      <c r="D33" s="17">
        <f t="shared" si="0"/>
        <v>11389</v>
      </c>
      <c r="E33" s="18">
        <f t="shared" si="0"/>
        <v>1.5799999999999998</v>
      </c>
      <c r="F33" s="18">
        <f t="shared" si="0"/>
        <v>0</v>
      </c>
      <c r="G33" s="17">
        <f t="shared" si="0"/>
        <v>0</v>
      </c>
      <c r="H33" s="18"/>
    </row>
    <row r="34" spans="1:14" s="11" customFormat="1" x14ac:dyDescent="0.3">
      <c r="A34" s="19" t="s">
        <v>9</v>
      </c>
      <c r="B34" s="20">
        <f>SUM(B33+'May 2017'!B35)</f>
        <v>15177</v>
      </c>
      <c r="C34" s="20">
        <f>SUM(C33+'May 2017'!C35)</f>
        <v>9765</v>
      </c>
      <c r="D34" s="20">
        <f>SUM(D33+'May 2017'!D35)</f>
        <v>26519</v>
      </c>
      <c r="E34" s="21">
        <f>SUM(E33+'May 2017'!E35)</f>
        <v>11.409000000000002</v>
      </c>
      <c r="F34" s="21">
        <f>SUM(F33+'May 2017'!F35)</f>
        <v>27.6</v>
      </c>
      <c r="G34" s="20">
        <f>SUM(G33+'May 2017'!G35)</f>
        <v>27080</v>
      </c>
      <c r="H34" s="21"/>
    </row>
    <row r="36" spans="1:14" x14ac:dyDescent="0.3">
      <c r="A36" t="s">
        <v>10</v>
      </c>
      <c r="B36" s="23">
        <f>SUM(B3:B32)*1.9835</f>
        <v>16086.184999999999</v>
      </c>
      <c r="C36" s="23">
        <f>SUM(C3:C32)*1.9835</f>
        <v>432.40300000000002</v>
      </c>
      <c r="D36" s="23">
        <f>SUM(D3:D32)*1.9835</f>
        <v>22590.0815</v>
      </c>
      <c r="E36" s="23"/>
      <c r="F36" s="23"/>
      <c r="G36" s="23"/>
      <c r="I36" s="22"/>
    </row>
    <row r="38" spans="1:14" x14ac:dyDescent="0.3">
      <c r="A38" t="s">
        <v>24</v>
      </c>
      <c r="B38" s="23">
        <f>SUM(B36+'May 2017'!B39)</f>
        <v>30103.5795</v>
      </c>
      <c r="C38" s="23">
        <f>SUM(C36+'May 2017'!C39)</f>
        <v>21830.400999999998</v>
      </c>
      <c r="D38" s="23">
        <f>SUM(D36+'May 2017'!D39)</f>
        <v>55250.392500000002</v>
      </c>
      <c r="E38" s="23"/>
      <c r="F38" s="23"/>
      <c r="G38" s="23"/>
      <c r="I38" s="22"/>
    </row>
    <row r="40" spans="1:14" ht="17.399999999999999" customHeight="1" x14ac:dyDescent="0.3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17" t="s">
        <v>23</v>
      </c>
      <c r="B42" s="117"/>
      <c r="C42" s="117"/>
      <c r="D42" s="117"/>
      <c r="E42" s="117"/>
      <c r="F42" s="117"/>
      <c r="G42" s="117"/>
      <c r="H42" s="117"/>
      <c r="I42" s="118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42856</v>
      </c>
      <c r="B3" s="25">
        <v>0</v>
      </c>
      <c r="C3" s="25">
        <v>16</v>
      </c>
      <c r="D3" s="25">
        <v>125</v>
      </c>
      <c r="E3" s="26">
        <v>0</v>
      </c>
      <c r="F3" s="26">
        <v>0</v>
      </c>
      <c r="G3" s="25">
        <v>0</v>
      </c>
      <c r="H3" s="27">
        <v>4035</v>
      </c>
    </row>
    <row r="4" spans="1:9" x14ac:dyDescent="0.3">
      <c r="A4" s="12">
        <v>42857</v>
      </c>
      <c r="B4" s="25">
        <v>21</v>
      </c>
      <c r="C4" s="25">
        <v>0</v>
      </c>
      <c r="D4" s="25">
        <v>138</v>
      </c>
      <c r="E4" s="26">
        <v>0</v>
      </c>
      <c r="F4" s="26">
        <v>0</v>
      </c>
      <c r="G4" s="91">
        <v>0</v>
      </c>
      <c r="H4" s="27">
        <v>4034.98</v>
      </c>
      <c r="I4" s="108" t="s">
        <v>41</v>
      </c>
    </row>
    <row r="5" spans="1:9" x14ac:dyDescent="0.3">
      <c r="A5" s="12">
        <v>42858</v>
      </c>
      <c r="B5" s="25">
        <v>77</v>
      </c>
      <c r="C5" s="25">
        <v>0</v>
      </c>
      <c r="D5" s="25">
        <v>159</v>
      </c>
      <c r="E5" s="26">
        <v>0</v>
      </c>
      <c r="F5" s="26">
        <v>0</v>
      </c>
      <c r="G5" s="91">
        <v>0</v>
      </c>
      <c r="H5" s="27">
        <v>4034.98</v>
      </c>
      <c r="I5" s="92" t="s">
        <v>42</v>
      </c>
    </row>
    <row r="6" spans="1:9" x14ac:dyDescent="0.3">
      <c r="A6" s="12">
        <v>42859</v>
      </c>
      <c r="B6" s="25">
        <v>89</v>
      </c>
      <c r="C6" s="25">
        <v>0</v>
      </c>
      <c r="D6" s="25">
        <v>183</v>
      </c>
      <c r="E6" s="26">
        <v>0</v>
      </c>
      <c r="F6" s="26">
        <v>0</v>
      </c>
      <c r="G6" s="25">
        <v>0</v>
      </c>
      <c r="H6" s="27">
        <v>4035</v>
      </c>
      <c r="I6" s="108" t="s">
        <v>43</v>
      </c>
    </row>
    <row r="7" spans="1:9" x14ac:dyDescent="0.3">
      <c r="A7" s="12">
        <v>42860</v>
      </c>
      <c r="B7" s="25">
        <v>166</v>
      </c>
      <c r="C7" s="25">
        <v>0</v>
      </c>
      <c r="D7" s="25">
        <v>208</v>
      </c>
      <c r="E7" s="26">
        <v>0</v>
      </c>
      <c r="F7" s="26">
        <v>0</v>
      </c>
      <c r="G7" s="91">
        <v>0</v>
      </c>
      <c r="H7" s="27">
        <v>4035</v>
      </c>
      <c r="I7" s="108" t="s">
        <v>44</v>
      </c>
    </row>
    <row r="8" spans="1:9" x14ac:dyDescent="0.3">
      <c r="A8" s="12">
        <v>42861</v>
      </c>
      <c r="B8" s="25">
        <v>200</v>
      </c>
      <c r="C8" s="25">
        <v>0</v>
      </c>
      <c r="D8" s="25">
        <v>226</v>
      </c>
      <c r="E8" s="26">
        <v>0</v>
      </c>
      <c r="F8" s="26">
        <v>0</v>
      </c>
      <c r="G8" s="25">
        <v>0</v>
      </c>
      <c r="H8" s="27">
        <v>4034.98</v>
      </c>
    </row>
    <row r="9" spans="1:9" x14ac:dyDescent="0.3">
      <c r="A9" s="12">
        <v>42862</v>
      </c>
      <c r="B9" s="25">
        <v>134</v>
      </c>
      <c r="C9" s="25">
        <v>35</v>
      </c>
      <c r="D9" s="25">
        <v>221</v>
      </c>
      <c r="E9" s="26">
        <v>0</v>
      </c>
      <c r="F9" s="26">
        <v>0</v>
      </c>
      <c r="G9" s="25">
        <v>0</v>
      </c>
      <c r="H9" s="27">
        <v>4034.98</v>
      </c>
      <c r="I9" s="110" t="s">
        <v>45</v>
      </c>
    </row>
    <row r="10" spans="1:9" x14ac:dyDescent="0.3">
      <c r="A10" s="12">
        <v>42863</v>
      </c>
      <c r="B10" s="25">
        <v>135</v>
      </c>
      <c r="C10" s="25">
        <v>0</v>
      </c>
      <c r="D10" s="25">
        <v>272</v>
      </c>
      <c r="E10" s="26">
        <v>0</v>
      </c>
      <c r="F10" s="26">
        <v>0</v>
      </c>
      <c r="G10" s="25">
        <v>0</v>
      </c>
      <c r="H10" s="27">
        <v>4034.98</v>
      </c>
      <c r="I10" s="108" t="s">
        <v>46</v>
      </c>
    </row>
    <row r="11" spans="1:9" x14ac:dyDescent="0.3">
      <c r="A11" s="12">
        <v>42864</v>
      </c>
      <c r="B11" s="25">
        <v>210</v>
      </c>
      <c r="C11" s="91">
        <v>0</v>
      </c>
      <c r="D11" s="91">
        <v>336</v>
      </c>
      <c r="E11" s="26">
        <v>0</v>
      </c>
      <c r="F11" s="26">
        <v>0</v>
      </c>
      <c r="G11" s="25">
        <v>0</v>
      </c>
      <c r="H11" s="93">
        <v>4034.97</v>
      </c>
      <c r="I11" s="108" t="s">
        <v>47</v>
      </c>
    </row>
    <row r="12" spans="1:9" x14ac:dyDescent="0.3">
      <c r="A12" s="12">
        <v>42865</v>
      </c>
      <c r="B12" s="25">
        <v>298</v>
      </c>
      <c r="C12" s="25">
        <v>0</v>
      </c>
      <c r="D12" s="25">
        <v>381</v>
      </c>
      <c r="E12" s="26">
        <v>0</v>
      </c>
      <c r="F12" s="26">
        <v>0</v>
      </c>
      <c r="G12" s="25">
        <v>0</v>
      </c>
      <c r="H12" s="27">
        <v>4034.96</v>
      </c>
      <c r="I12" s="108" t="s">
        <v>48</v>
      </c>
    </row>
    <row r="13" spans="1:9" x14ac:dyDescent="0.3">
      <c r="A13" s="12">
        <v>42866</v>
      </c>
      <c r="B13" s="25">
        <v>348</v>
      </c>
      <c r="C13" s="25">
        <v>0</v>
      </c>
      <c r="D13" s="25">
        <v>409</v>
      </c>
      <c r="E13" s="26">
        <v>0</v>
      </c>
      <c r="F13" s="26">
        <v>0</v>
      </c>
      <c r="G13" s="25">
        <v>0</v>
      </c>
      <c r="H13" s="27">
        <v>4034.95</v>
      </c>
      <c r="I13" s="108" t="s">
        <v>49</v>
      </c>
    </row>
    <row r="14" spans="1:9" x14ac:dyDescent="0.3">
      <c r="A14" s="12">
        <v>42867</v>
      </c>
      <c r="B14" s="25">
        <v>308</v>
      </c>
      <c r="C14" s="25">
        <v>0</v>
      </c>
      <c r="D14" s="25">
        <v>445</v>
      </c>
      <c r="E14" s="26">
        <v>0.1</v>
      </c>
      <c r="F14" s="26" t="s">
        <v>31</v>
      </c>
      <c r="G14" s="25">
        <v>0</v>
      </c>
      <c r="H14" s="27">
        <v>4034.95</v>
      </c>
      <c r="I14" s="108" t="s">
        <v>50</v>
      </c>
    </row>
    <row r="15" spans="1:9" x14ac:dyDescent="0.3">
      <c r="A15" s="12">
        <v>42868</v>
      </c>
      <c r="B15" s="25">
        <v>276</v>
      </c>
      <c r="C15" s="25">
        <v>0</v>
      </c>
      <c r="D15" s="25">
        <v>428</v>
      </c>
      <c r="E15" s="26">
        <v>0.14000000000000001</v>
      </c>
      <c r="F15" s="26" t="s">
        <v>31</v>
      </c>
      <c r="G15" s="25">
        <v>0</v>
      </c>
      <c r="H15" s="27">
        <v>4034.94</v>
      </c>
      <c r="I15" s="108" t="s">
        <v>51</v>
      </c>
    </row>
    <row r="16" spans="1:9" x14ac:dyDescent="0.3">
      <c r="A16" s="12">
        <v>42869</v>
      </c>
      <c r="B16" s="25">
        <v>291</v>
      </c>
      <c r="C16" s="25">
        <v>0</v>
      </c>
      <c r="D16" s="25">
        <v>406</v>
      </c>
      <c r="E16" s="26">
        <v>0</v>
      </c>
      <c r="F16" s="26">
        <v>0</v>
      </c>
      <c r="G16" s="25">
        <v>0</v>
      </c>
      <c r="H16" s="27">
        <v>4034.94</v>
      </c>
      <c r="I16" s="108" t="s">
        <v>52</v>
      </c>
    </row>
    <row r="17" spans="1:9" x14ac:dyDescent="0.3">
      <c r="A17" s="12">
        <v>42870</v>
      </c>
      <c r="B17" s="25">
        <v>240</v>
      </c>
      <c r="C17" s="25">
        <v>0</v>
      </c>
      <c r="D17" s="25">
        <v>414</v>
      </c>
      <c r="E17" s="26">
        <v>0</v>
      </c>
      <c r="F17" s="26">
        <v>0</v>
      </c>
      <c r="G17" s="109">
        <v>0</v>
      </c>
      <c r="H17" s="27">
        <v>4034.94</v>
      </c>
      <c r="I17" s="108" t="s">
        <v>53</v>
      </c>
    </row>
    <row r="18" spans="1:9" x14ac:dyDescent="0.3">
      <c r="A18" s="12">
        <v>42871</v>
      </c>
      <c r="B18" s="25">
        <v>248</v>
      </c>
      <c r="C18" s="25">
        <v>0</v>
      </c>
      <c r="D18" s="25">
        <v>403</v>
      </c>
      <c r="E18" s="26">
        <v>0.1</v>
      </c>
      <c r="F18" s="26">
        <v>0</v>
      </c>
      <c r="G18" s="25">
        <v>0</v>
      </c>
      <c r="H18" s="27">
        <v>4034.94</v>
      </c>
      <c r="I18" s="108" t="s">
        <v>54</v>
      </c>
    </row>
    <row r="19" spans="1:9" x14ac:dyDescent="0.3">
      <c r="A19" s="12">
        <v>42872</v>
      </c>
      <c r="B19" s="25">
        <v>278</v>
      </c>
      <c r="C19" s="25">
        <v>0</v>
      </c>
      <c r="D19" s="25">
        <v>397</v>
      </c>
      <c r="E19" s="26">
        <v>0.02</v>
      </c>
      <c r="F19" s="26">
        <v>0</v>
      </c>
      <c r="G19" s="25">
        <v>0</v>
      </c>
      <c r="H19" s="27">
        <v>4034.96</v>
      </c>
    </row>
    <row r="20" spans="1:9" x14ac:dyDescent="0.3">
      <c r="A20" s="12">
        <v>42873</v>
      </c>
      <c r="B20" s="25">
        <v>307</v>
      </c>
      <c r="C20" s="25">
        <v>0</v>
      </c>
      <c r="D20" s="25">
        <v>388</v>
      </c>
      <c r="E20" s="26">
        <v>0</v>
      </c>
      <c r="F20" s="26">
        <v>0</v>
      </c>
      <c r="G20" s="25">
        <v>0</v>
      </c>
      <c r="H20" s="27">
        <v>4034.96</v>
      </c>
      <c r="I20" s="108" t="s">
        <v>55</v>
      </c>
    </row>
    <row r="21" spans="1:9" x14ac:dyDescent="0.3">
      <c r="A21" s="12">
        <v>42874</v>
      </c>
      <c r="B21" s="25">
        <v>306</v>
      </c>
      <c r="C21" s="25">
        <v>0</v>
      </c>
      <c r="D21" s="25">
        <v>397</v>
      </c>
      <c r="E21" s="26">
        <v>0</v>
      </c>
      <c r="F21" s="26">
        <v>0</v>
      </c>
      <c r="G21" s="25">
        <v>0</v>
      </c>
      <c r="H21" s="27">
        <v>4034.98</v>
      </c>
      <c r="I21" s="108" t="s">
        <v>56</v>
      </c>
    </row>
    <row r="22" spans="1:9" x14ac:dyDescent="0.3">
      <c r="A22" s="12">
        <v>42875</v>
      </c>
      <c r="B22" s="25">
        <v>296</v>
      </c>
      <c r="C22" s="25">
        <v>0</v>
      </c>
      <c r="D22" s="25">
        <v>392</v>
      </c>
      <c r="E22" s="26">
        <v>0</v>
      </c>
      <c r="F22" s="26">
        <v>0</v>
      </c>
      <c r="G22" s="25">
        <v>0</v>
      </c>
      <c r="H22" s="27">
        <v>4034.99</v>
      </c>
    </row>
    <row r="23" spans="1:9" x14ac:dyDescent="0.3">
      <c r="A23" s="12">
        <v>42876</v>
      </c>
      <c r="B23" s="25">
        <v>264</v>
      </c>
      <c r="C23" s="25">
        <v>5</v>
      </c>
      <c r="D23" s="25">
        <v>339</v>
      </c>
      <c r="E23" s="26">
        <v>0</v>
      </c>
      <c r="F23" s="26">
        <v>0</v>
      </c>
      <c r="G23" s="25">
        <v>0</v>
      </c>
      <c r="H23" s="27">
        <v>4035</v>
      </c>
      <c r="I23" s="108" t="s">
        <v>57</v>
      </c>
    </row>
    <row r="24" spans="1:9" x14ac:dyDescent="0.3">
      <c r="A24" s="12">
        <v>42877</v>
      </c>
      <c r="B24" s="25">
        <v>218</v>
      </c>
      <c r="C24" s="25">
        <v>13</v>
      </c>
      <c r="D24" s="25">
        <v>363</v>
      </c>
      <c r="E24" s="26">
        <v>0</v>
      </c>
      <c r="F24" s="26">
        <v>0</v>
      </c>
      <c r="G24" s="25">
        <v>0</v>
      </c>
      <c r="H24" s="27">
        <v>4035</v>
      </c>
      <c r="I24" s="108" t="s">
        <v>58</v>
      </c>
    </row>
    <row r="25" spans="1:9" x14ac:dyDescent="0.3">
      <c r="A25" s="12">
        <v>42878</v>
      </c>
      <c r="B25" s="25">
        <v>270</v>
      </c>
      <c r="C25" s="25">
        <v>7</v>
      </c>
      <c r="D25" s="25">
        <v>375</v>
      </c>
      <c r="E25" s="26">
        <v>0</v>
      </c>
      <c r="F25" s="26">
        <v>0</v>
      </c>
      <c r="G25" s="25">
        <v>0</v>
      </c>
      <c r="H25" s="27">
        <v>4035</v>
      </c>
      <c r="I25" s="108" t="s">
        <v>59</v>
      </c>
    </row>
    <row r="26" spans="1:9" x14ac:dyDescent="0.3">
      <c r="A26" s="12">
        <v>42879</v>
      </c>
      <c r="B26" s="25">
        <v>291</v>
      </c>
      <c r="C26" s="25">
        <v>0</v>
      </c>
      <c r="D26" s="25">
        <v>404</v>
      </c>
      <c r="E26" s="26">
        <v>0</v>
      </c>
      <c r="F26" s="26">
        <v>0</v>
      </c>
      <c r="G26" s="25">
        <v>0</v>
      </c>
      <c r="H26" s="27">
        <v>4035</v>
      </c>
    </row>
    <row r="27" spans="1:9" x14ac:dyDescent="0.3">
      <c r="A27" s="12">
        <v>42880</v>
      </c>
      <c r="B27" s="25">
        <v>278</v>
      </c>
      <c r="C27" s="25">
        <v>0</v>
      </c>
      <c r="D27" s="25">
        <v>411</v>
      </c>
      <c r="E27" s="26">
        <v>0</v>
      </c>
      <c r="F27" s="26">
        <v>0</v>
      </c>
      <c r="G27" s="25">
        <v>0</v>
      </c>
      <c r="H27" s="27">
        <v>4034.99</v>
      </c>
      <c r="I27" s="108" t="s">
        <v>60</v>
      </c>
    </row>
    <row r="28" spans="1:9" x14ac:dyDescent="0.3">
      <c r="A28" s="12">
        <v>42881</v>
      </c>
      <c r="B28" s="25">
        <v>226</v>
      </c>
      <c r="C28" s="25">
        <v>21</v>
      </c>
      <c r="D28" s="25">
        <v>404</v>
      </c>
      <c r="E28" s="26">
        <v>0</v>
      </c>
      <c r="F28" s="26">
        <v>0</v>
      </c>
      <c r="G28" s="25">
        <v>0</v>
      </c>
      <c r="H28" s="27">
        <v>4035</v>
      </c>
      <c r="I28" s="108" t="s">
        <v>61</v>
      </c>
    </row>
    <row r="29" spans="1:9" x14ac:dyDescent="0.3">
      <c r="A29" s="12">
        <v>42882</v>
      </c>
      <c r="B29" s="25">
        <v>177</v>
      </c>
      <c r="C29" s="25">
        <v>7</v>
      </c>
      <c r="D29" s="25">
        <v>360</v>
      </c>
      <c r="E29" s="26">
        <v>0</v>
      </c>
      <c r="F29" s="26">
        <v>0</v>
      </c>
      <c r="G29" s="25">
        <v>0</v>
      </c>
      <c r="H29" s="27">
        <v>4034.98</v>
      </c>
      <c r="I29" s="108" t="s">
        <v>62</v>
      </c>
    </row>
    <row r="30" spans="1:9" x14ac:dyDescent="0.3">
      <c r="A30" s="12">
        <v>42883</v>
      </c>
      <c r="B30" s="25">
        <v>150</v>
      </c>
      <c r="C30" s="25">
        <v>0</v>
      </c>
      <c r="D30" s="25">
        <v>327</v>
      </c>
      <c r="E30" s="26">
        <v>0</v>
      </c>
      <c r="F30" s="26">
        <v>0</v>
      </c>
      <c r="G30" s="25">
        <v>0</v>
      </c>
      <c r="H30" s="27">
        <v>4035</v>
      </c>
    </row>
    <row r="31" spans="1:9" x14ac:dyDescent="0.3">
      <c r="A31" s="12">
        <v>42884</v>
      </c>
      <c r="B31" s="25">
        <v>165</v>
      </c>
      <c r="C31" s="25">
        <v>0</v>
      </c>
      <c r="D31" s="25">
        <v>326</v>
      </c>
      <c r="E31" s="26">
        <v>0</v>
      </c>
      <c r="F31" s="26">
        <v>0</v>
      </c>
      <c r="G31" s="25">
        <v>0</v>
      </c>
      <c r="H31" s="27">
        <v>4035</v>
      </c>
      <c r="I31" s="108" t="s">
        <v>63</v>
      </c>
    </row>
    <row r="32" spans="1:9" x14ac:dyDescent="0.3">
      <c r="A32" s="12">
        <v>42885</v>
      </c>
      <c r="B32" s="25">
        <v>171</v>
      </c>
      <c r="C32" s="25">
        <v>0</v>
      </c>
      <c r="D32" s="25">
        <v>270</v>
      </c>
      <c r="E32" s="26">
        <v>0</v>
      </c>
      <c r="F32" s="26">
        <v>0</v>
      </c>
      <c r="G32" s="25">
        <v>0</v>
      </c>
      <c r="H32" s="27">
        <v>4035</v>
      </c>
      <c r="I32" s="108" t="s">
        <v>64</v>
      </c>
    </row>
    <row r="33" spans="1:15" ht="15" thickBot="1" x14ac:dyDescent="0.35">
      <c r="A33" s="12">
        <v>42886</v>
      </c>
      <c r="B33" s="25">
        <v>220</v>
      </c>
      <c r="C33" s="25">
        <v>0</v>
      </c>
      <c r="D33" s="25">
        <v>349</v>
      </c>
      <c r="E33" s="26">
        <v>0.21</v>
      </c>
      <c r="F33" s="26">
        <v>0</v>
      </c>
      <c r="G33" s="25">
        <v>0</v>
      </c>
      <c r="H33" s="27">
        <v>4035</v>
      </c>
      <c r="I33" s="108" t="s">
        <v>65</v>
      </c>
    </row>
    <row r="34" spans="1:15" s="11" customFormat="1" ht="15" thickTop="1" x14ac:dyDescent="0.3">
      <c r="A34" s="16" t="s">
        <v>8</v>
      </c>
      <c r="B34" s="17">
        <f t="shared" ref="B34:G34" si="0">SUM(B3:B33)</f>
        <v>6658</v>
      </c>
      <c r="C34" s="17">
        <f t="shared" si="0"/>
        <v>104</v>
      </c>
      <c r="D34" s="17">
        <f t="shared" si="0"/>
        <v>10256</v>
      </c>
      <c r="E34" s="18">
        <f t="shared" si="0"/>
        <v>0.57000000000000006</v>
      </c>
      <c r="F34" s="18">
        <f t="shared" si="0"/>
        <v>0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SUM(B34+'Apr 2017'!B34)</f>
        <v>7067</v>
      </c>
      <c r="C35" s="20">
        <f>SUM(C34+'Apr 2017'!C34)</f>
        <v>9547</v>
      </c>
      <c r="D35" s="20">
        <f>SUM(D34+'Apr 2017'!D34)</f>
        <v>15130</v>
      </c>
      <c r="E35" s="21">
        <f>SUM(E34+'Apr 2017'!E34)</f>
        <v>9.8290000000000024</v>
      </c>
      <c r="F35" s="21">
        <f>SUM(F34+'Apr 2017'!F34)</f>
        <v>27.6</v>
      </c>
      <c r="G35" s="20">
        <f>SUM(G34+'Apr 2017'!G34)</f>
        <v>27080</v>
      </c>
      <c r="H35" s="21"/>
    </row>
    <row r="37" spans="1:15" x14ac:dyDescent="0.3">
      <c r="A37" t="s">
        <v>10</v>
      </c>
      <c r="B37" s="23">
        <f>SUM(B3:B33)*1.9835</f>
        <v>13206.143</v>
      </c>
      <c r="C37" s="23">
        <f>SUM(C3:C33)*1.9835</f>
        <v>206.28399999999999</v>
      </c>
      <c r="D37" s="23">
        <f>SUM(D3:D33)*1.9835</f>
        <v>20342.776000000002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SUM(B37+'Apr 2017'!B38)</f>
        <v>14017.3945</v>
      </c>
      <c r="C39" s="23">
        <f>SUM(C37+'Apr 2017'!C38)</f>
        <v>21397.998</v>
      </c>
      <c r="D39" s="23">
        <f>SUM(D37+'Apr 2017'!D38)</f>
        <v>32660.311000000002</v>
      </c>
      <c r="E39" s="23"/>
      <c r="F39" s="23"/>
      <c r="G39" s="23"/>
      <c r="I39" s="22"/>
    </row>
    <row r="40" spans="1:15" x14ac:dyDescent="0.3">
      <c r="I40" s="34"/>
    </row>
    <row r="41" spans="1:15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4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4"/>
      <c r="J42" s="30"/>
      <c r="K42" s="30"/>
      <c r="L42" s="30"/>
      <c r="M42" s="30"/>
      <c r="N42" s="31"/>
      <c r="O42" s="30"/>
    </row>
    <row r="43" spans="1:15" ht="13.95" customHeight="1" thickBot="1" x14ac:dyDescent="0.35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118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6" x14ac:dyDescent="0.3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6" x14ac:dyDescent="0.3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E22" sqref="E2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42826</v>
      </c>
      <c r="B3" s="25">
        <v>0</v>
      </c>
      <c r="C3" s="25">
        <v>0</v>
      </c>
      <c r="D3" s="25">
        <v>58</v>
      </c>
      <c r="E3" s="26">
        <v>0</v>
      </c>
      <c r="F3" s="26">
        <v>0</v>
      </c>
      <c r="G3" s="25">
        <v>0</v>
      </c>
      <c r="H3" s="27">
        <v>4034.68</v>
      </c>
    </row>
    <row r="4" spans="1:9" x14ac:dyDescent="0.3">
      <c r="A4" s="12">
        <v>42827</v>
      </c>
      <c r="B4" s="25">
        <v>0</v>
      </c>
      <c r="C4" s="25">
        <v>0</v>
      </c>
      <c r="D4" s="25">
        <v>58</v>
      </c>
      <c r="E4" s="26">
        <v>0</v>
      </c>
      <c r="F4" s="26">
        <v>0</v>
      </c>
      <c r="G4" s="25">
        <v>0</v>
      </c>
      <c r="H4" s="27">
        <v>4034.68</v>
      </c>
    </row>
    <row r="5" spans="1:9" x14ac:dyDescent="0.3">
      <c r="A5" s="12">
        <v>42828</v>
      </c>
      <c r="B5" s="25">
        <v>0</v>
      </c>
      <c r="C5" s="25">
        <v>0</v>
      </c>
      <c r="D5" s="25">
        <v>58</v>
      </c>
      <c r="E5" s="26">
        <v>0</v>
      </c>
      <c r="F5" s="26">
        <v>0</v>
      </c>
      <c r="G5" s="25">
        <v>0</v>
      </c>
      <c r="H5" s="27">
        <v>4034.68</v>
      </c>
    </row>
    <row r="6" spans="1:9" x14ac:dyDescent="0.3">
      <c r="A6" s="12">
        <v>42829</v>
      </c>
      <c r="B6" s="25">
        <v>0</v>
      </c>
      <c r="C6" s="25">
        <v>0</v>
      </c>
      <c r="D6" s="25">
        <v>54</v>
      </c>
      <c r="E6" s="26">
        <v>0</v>
      </c>
      <c r="F6" s="26">
        <v>0</v>
      </c>
      <c r="G6" s="25">
        <v>0</v>
      </c>
      <c r="H6" s="27">
        <v>4034.68</v>
      </c>
    </row>
    <row r="7" spans="1:9" x14ac:dyDescent="0.3">
      <c r="A7" s="12">
        <v>42830</v>
      </c>
      <c r="B7" s="25">
        <v>0</v>
      </c>
      <c r="C7" s="25">
        <v>0</v>
      </c>
      <c r="D7" s="25">
        <v>40</v>
      </c>
      <c r="E7" s="26">
        <v>0</v>
      </c>
      <c r="F7" s="26">
        <v>0</v>
      </c>
      <c r="G7" s="25">
        <v>0</v>
      </c>
      <c r="H7" s="27">
        <v>4034.68</v>
      </c>
    </row>
    <row r="8" spans="1:9" x14ac:dyDescent="0.3">
      <c r="A8" s="12">
        <v>42831</v>
      </c>
      <c r="B8" s="25">
        <v>0</v>
      </c>
      <c r="C8" s="25">
        <v>0</v>
      </c>
      <c r="D8" s="25">
        <v>42</v>
      </c>
      <c r="E8" s="26">
        <v>0</v>
      </c>
      <c r="F8" s="26">
        <v>0</v>
      </c>
      <c r="G8" s="25">
        <v>0</v>
      </c>
      <c r="H8" s="27">
        <v>4034.69</v>
      </c>
    </row>
    <row r="9" spans="1:9" x14ac:dyDescent="0.3">
      <c r="A9" s="12">
        <v>42832</v>
      </c>
      <c r="B9" s="25">
        <v>0</v>
      </c>
      <c r="C9" s="25">
        <v>0</v>
      </c>
      <c r="D9" s="25">
        <v>42</v>
      </c>
      <c r="E9" s="26">
        <v>0.24</v>
      </c>
      <c r="F9" s="26">
        <v>0</v>
      </c>
      <c r="G9" s="25">
        <v>0</v>
      </c>
      <c r="H9" s="27">
        <v>4034.69</v>
      </c>
    </row>
    <row r="10" spans="1:9" x14ac:dyDescent="0.3">
      <c r="A10" s="12">
        <v>42833</v>
      </c>
      <c r="B10" s="25">
        <v>0</v>
      </c>
      <c r="C10" s="25">
        <v>0</v>
      </c>
      <c r="D10" s="25">
        <v>58</v>
      </c>
      <c r="E10" s="26">
        <v>0.33</v>
      </c>
      <c r="F10" s="26">
        <v>0</v>
      </c>
      <c r="G10" s="25">
        <v>0</v>
      </c>
      <c r="H10" s="27">
        <v>4034.7</v>
      </c>
    </row>
    <row r="11" spans="1:9" x14ac:dyDescent="0.3">
      <c r="A11" s="12">
        <v>42834</v>
      </c>
      <c r="B11" s="25">
        <v>0</v>
      </c>
      <c r="C11" s="25">
        <v>8</v>
      </c>
      <c r="D11" s="25">
        <v>40</v>
      </c>
      <c r="E11" s="26">
        <v>0.02</v>
      </c>
      <c r="F11" s="26">
        <v>0</v>
      </c>
      <c r="G11" s="25">
        <v>0</v>
      </c>
      <c r="H11" s="27">
        <v>4034.7</v>
      </c>
    </row>
    <row r="12" spans="1:9" x14ac:dyDescent="0.3">
      <c r="A12" s="12">
        <v>42835</v>
      </c>
      <c r="B12" s="25">
        <v>0</v>
      </c>
      <c r="C12" s="25">
        <v>20</v>
      </c>
      <c r="D12" s="25">
        <v>41</v>
      </c>
      <c r="E12" s="26">
        <v>0.05</v>
      </c>
      <c r="F12" s="26">
        <v>0</v>
      </c>
      <c r="G12" s="25">
        <v>0</v>
      </c>
      <c r="H12" s="27">
        <v>4034.74</v>
      </c>
    </row>
    <row r="13" spans="1:9" x14ac:dyDescent="0.3">
      <c r="A13" s="12">
        <v>42836</v>
      </c>
      <c r="B13" s="25">
        <v>0</v>
      </c>
      <c r="C13" s="25">
        <v>45</v>
      </c>
      <c r="D13" s="25">
        <v>43</v>
      </c>
      <c r="E13" s="26">
        <v>0</v>
      </c>
      <c r="F13" s="26">
        <v>0</v>
      </c>
      <c r="G13" s="25">
        <v>0</v>
      </c>
      <c r="H13" s="27">
        <v>4034.76</v>
      </c>
    </row>
    <row r="14" spans="1:9" x14ac:dyDescent="0.3">
      <c r="A14" s="12">
        <v>42837</v>
      </c>
      <c r="B14" s="25">
        <v>0</v>
      </c>
      <c r="C14" s="25">
        <v>60</v>
      </c>
      <c r="D14" s="25">
        <v>41</v>
      </c>
      <c r="E14" s="26">
        <v>0.06</v>
      </c>
      <c r="F14" s="26">
        <v>0</v>
      </c>
      <c r="G14" s="25">
        <v>0</v>
      </c>
      <c r="H14" s="27">
        <v>4034.78</v>
      </c>
    </row>
    <row r="15" spans="1:9" x14ac:dyDescent="0.3">
      <c r="A15" s="12">
        <v>42838</v>
      </c>
      <c r="B15" s="25">
        <v>0</v>
      </c>
      <c r="C15" s="25">
        <v>74</v>
      </c>
      <c r="D15" s="25">
        <v>41</v>
      </c>
      <c r="E15" s="26">
        <v>0.13</v>
      </c>
      <c r="F15" s="26">
        <v>1</v>
      </c>
      <c r="G15" s="25">
        <v>0</v>
      </c>
      <c r="H15" s="27">
        <v>4034.8</v>
      </c>
    </row>
    <row r="16" spans="1:9" x14ac:dyDescent="0.3">
      <c r="A16" s="12">
        <v>42839</v>
      </c>
      <c r="B16" s="25">
        <v>0</v>
      </c>
      <c r="C16" s="25">
        <v>88</v>
      </c>
      <c r="D16" s="25">
        <v>38</v>
      </c>
      <c r="E16" s="26">
        <v>0.02</v>
      </c>
      <c r="F16" s="26">
        <v>0</v>
      </c>
      <c r="G16" s="25">
        <v>0</v>
      </c>
      <c r="H16" s="27">
        <v>4034.82</v>
      </c>
    </row>
    <row r="17" spans="1:8" x14ac:dyDescent="0.3">
      <c r="A17" s="12">
        <v>42840</v>
      </c>
      <c r="B17" s="25">
        <v>0</v>
      </c>
      <c r="C17" s="25">
        <v>70</v>
      </c>
      <c r="D17" s="25">
        <v>38</v>
      </c>
      <c r="E17" s="26">
        <v>0</v>
      </c>
      <c r="F17" s="26">
        <v>0</v>
      </c>
      <c r="G17" s="25">
        <v>0</v>
      </c>
      <c r="H17" s="27">
        <v>4034.84</v>
      </c>
    </row>
    <row r="18" spans="1:8" x14ac:dyDescent="0.3">
      <c r="A18" s="12">
        <v>42841</v>
      </c>
      <c r="B18" s="25">
        <v>0</v>
      </c>
      <c r="C18" s="25">
        <v>59</v>
      </c>
      <c r="D18" s="25">
        <v>39</v>
      </c>
      <c r="E18" s="26">
        <v>0</v>
      </c>
      <c r="F18" s="26">
        <v>0</v>
      </c>
      <c r="G18" s="25">
        <v>0</v>
      </c>
      <c r="H18" s="27">
        <v>4034.86</v>
      </c>
    </row>
    <row r="19" spans="1:8" x14ac:dyDescent="0.3">
      <c r="A19" s="12">
        <v>42842</v>
      </c>
      <c r="B19" s="25">
        <v>0</v>
      </c>
      <c r="C19" s="25">
        <v>50</v>
      </c>
      <c r="D19" s="25">
        <v>39</v>
      </c>
      <c r="E19" s="26" t="s">
        <v>31</v>
      </c>
      <c r="F19" s="26">
        <v>0</v>
      </c>
      <c r="G19" s="25">
        <v>0</v>
      </c>
      <c r="H19" s="27">
        <v>4034.86</v>
      </c>
    </row>
    <row r="20" spans="1:8" x14ac:dyDescent="0.3">
      <c r="A20" s="12">
        <v>42843</v>
      </c>
      <c r="B20" s="25">
        <v>0</v>
      </c>
      <c r="C20" s="25">
        <v>50</v>
      </c>
      <c r="D20" s="25">
        <v>46</v>
      </c>
      <c r="E20" s="26">
        <v>0.03</v>
      </c>
      <c r="F20" s="26">
        <v>0</v>
      </c>
      <c r="G20" s="25">
        <v>0</v>
      </c>
      <c r="H20" s="27">
        <v>4034.88</v>
      </c>
    </row>
    <row r="21" spans="1:8" x14ac:dyDescent="0.3">
      <c r="A21" s="12">
        <v>42844</v>
      </c>
      <c r="B21" s="25">
        <v>0</v>
      </c>
      <c r="C21" s="25">
        <v>50</v>
      </c>
      <c r="D21" s="25">
        <v>46</v>
      </c>
      <c r="E21" s="26">
        <v>7.0000000000000007E-2</v>
      </c>
      <c r="F21" s="26">
        <v>0</v>
      </c>
      <c r="G21" s="25">
        <v>0</v>
      </c>
      <c r="H21" s="27">
        <v>4034.88</v>
      </c>
    </row>
    <row r="22" spans="1:8" x14ac:dyDescent="0.3">
      <c r="A22" s="12">
        <v>42845</v>
      </c>
      <c r="B22" s="25">
        <v>0</v>
      </c>
      <c r="C22" s="25">
        <v>66</v>
      </c>
      <c r="D22" s="25">
        <v>46</v>
      </c>
      <c r="E22" s="26">
        <v>0.25</v>
      </c>
      <c r="F22" s="26">
        <v>0</v>
      </c>
      <c r="G22" s="25">
        <v>0</v>
      </c>
      <c r="H22" s="27">
        <v>4034.9</v>
      </c>
    </row>
    <row r="23" spans="1:8" x14ac:dyDescent="0.3">
      <c r="A23" s="12">
        <v>42846</v>
      </c>
      <c r="B23" s="25">
        <v>0</v>
      </c>
      <c r="C23" s="25">
        <v>67</v>
      </c>
      <c r="D23" s="25">
        <v>44</v>
      </c>
      <c r="E23" s="26">
        <v>0</v>
      </c>
      <c r="F23" s="26">
        <v>0</v>
      </c>
      <c r="G23" s="25">
        <v>0</v>
      </c>
      <c r="H23" s="27">
        <v>4034.92</v>
      </c>
    </row>
    <row r="24" spans="1:8" x14ac:dyDescent="0.3">
      <c r="A24" s="12">
        <v>42847</v>
      </c>
      <c r="B24" s="25">
        <v>0</v>
      </c>
      <c r="C24" s="25">
        <v>54</v>
      </c>
      <c r="D24" s="25">
        <v>45</v>
      </c>
      <c r="E24" s="26">
        <v>0</v>
      </c>
      <c r="F24" s="26">
        <v>0</v>
      </c>
      <c r="G24" s="25">
        <v>0</v>
      </c>
      <c r="H24" s="27">
        <v>4034.94</v>
      </c>
    </row>
    <row r="25" spans="1:8" x14ac:dyDescent="0.3">
      <c r="A25" s="12">
        <v>42848</v>
      </c>
      <c r="B25" s="25">
        <v>0</v>
      </c>
      <c r="C25" s="25">
        <v>50</v>
      </c>
      <c r="D25" s="25">
        <v>46</v>
      </c>
      <c r="E25" s="26">
        <v>0</v>
      </c>
      <c r="F25" s="26">
        <v>0</v>
      </c>
      <c r="G25" s="25">
        <v>0</v>
      </c>
      <c r="H25" s="27">
        <v>4034.96</v>
      </c>
    </row>
    <row r="26" spans="1:8" x14ac:dyDescent="0.3">
      <c r="A26" s="12">
        <v>42849</v>
      </c>
      <c r="B26" s="25">
        <v>0</v>
      </c>
      <c r="C26" s="25">
        <v>59</v>
      </c>
      <c r="D26" s="25">
        <v>38</v>
      </c>
      <c r="E26" s="26">
        <v>0.08</v>
      </c>
      <c r="F26" s="26">
        <v>0</v>
      </c>
      <c r="G26" s="25">
        <v>0</v>
      </c>
      <c r="H26" s="27">
        <v>4034.98</v>
      </c>
    </row>
    <row r="27" spans="1:8" x14ac:dyDescent="0.3">
      <c r="A27" s="12">
        <v>42850</v>
      </c>
      <c r="B27" s="25">
        <v>0</v>
      </c>
      <c r="C27" s="25">
        <v>70</v>
      </c>
      <c r="D27" s="25">
        <v>32</v>
      </c>
      <c r="E27" s="26">
        <v>0.02</v>
      </c>
      <c r="F27" s="26">
        <v>0</v>
      </c>
      <c r="G27" s="25">
        <v>0</v>
      </c>
      <c r="H27" s="27">
        <v>4034.99</v>
      </c>
    </row>
    <row r="28" spans="1:8" x14ac:dyDescent="0.3">
      <c r="A28" s="12">
        <v>42851</v>
      </c>
      <c r="B28" s="25">
        <v>0</v>
      </c>
      <c r="C28" s="25">
        <v>70</v>
      </c>
      <c r="D28" s="25">
        <v>31</v>
      </c>
      <c r="E28" s="26">
        <v>0.13</v>
      </c>
      <c r="F28" s="26">
        <v>0</v>
      </c>
      <c r="G28" s="25">
        <v>0</v>
      </c>
      <c r="H28" s="27">
        <v>4034.99</v>
      </c>
    </row>
    <row r="29" spans="1:8" x14ac:dyDescent="0.3">
      <c r="A29" s="12">
        <v>42852</v>
      </c>
      <c r="B29" s="25">
        <v>0</v>
      </c>
      <c r="C29" s="25">
        <v>70</v>
      </c>
      <c r="D29" s="25">
        <v>37</v>
      </c>
      <c r="E29" s="26">
        <v>0.01</v>
      </c>
      <c r="F29" s="26">
        <v>0</v>
      </c>
      <c r="G29" s="25">
        <v>0</v>
      </c>
      <c r="H29" s="27">
        <v>4034.99</v>
      </c>
    </row>
    <row r="30" spans="1:8" x14ac:dyDescent="0.3">
      <c r="A30" s="12">
        <v>42853</v>
      </c>
      <c r="B30" s="25">
        <v>0</v>
      </c>
      <c r="C30" s="25">
        <v>70</v>
      </c>
      <c r="D30" s="25">
        <v>37</v>
      </c>
      <c r="E30" s="26">
        <v>0</v>
      </c>
      <c r="F30" s="26">
        <v>0</v>
      </c>
      <c r="G30" s="25">
        <v>0</v>
      </c>
      <c r="H30" s="27">
        <v>4035</v>
      </c>
    </row>
    <row r="31" spans="1:8" x14ac:dyDescent="0.3">
      <c r="A31" s="12">
        <v>42854</v>
      </c>
      <c r="B31" s="25">
        <v>0</v>
      </c>
      <c r="C31" s="25">
        <v>51</v>
      </c>
      <c r="D31" s="25">
        <v>53</v>
      </c>
      <c r="E31" s="26">
        <v>0</v>
      </c>
      <c r="F31" s="26">
        <v>0</v>
      </c>
      <c r="G31" s="25">
        <v>0</v>
      </c>
      <c r="H31" s="27">
        <v>4035</v>
      </c>
    </row>
    <row r="32" spans="1:8" ht="15" thickBot="1" x14ac:dyDescent="0.35">
      <c r="A32" s="12">
        <v>42855</v>
      </c>
      <c r="B32" s="25">
        <v>0</v>
      </c>
      <c r="C32" s="25">
        <v>40</v>
      </c>
      <c r="D32" s="25">
        <v>65</v>
      </c>
      <c r="E32" s="26">
        <v>0</v>
      </c>
      <c r="F32" s="26">
        <v>0</v>
      </c>
      <c r="G32" s="25">
        <v>0</v>
      </c>
      <c r="H32" s="27">
        <v>4035</v>
      </c>
    </row>
    <row r="33" spans="1:15" s="11" customFormat="1" ht="15" thickTop="1" x14ac:dyDescent="0.3">
      <c r="A33" s="16" t="s">
        <v>8</v>
      </c>
      <c r="B33" s="17">
        <f t="shared" ref="B33:G33" si="0">SUM(B3:B32)</f>
        <v>0</v>
      </c>
      <c r="C33" s="17">
        <f t="shared" si="0"/>
        <v>1241</v>
      </c>
      <c r="D33" s="17">
        <f t="shared" si="0"/>
        <v>1336</v>
      </c>
      <c r="E33" s="18">
        <f t="shared" si="0"/>
        <v>1.4400000000000002</v>
      </c>
      <c r="F33" s="18">
        <f t="shared" si="0"/>
        <v>1</v>
      </c>
      <c r="G33" s="17">
        <f t="shared" si="0"/>
        <v>0</v>
      </c>
      <c r="H33" s="18"/>
      <c r="I33"/>
    </row>
    <row r="34" spans="1:15" s="11" customFormat="1" x14ac:dyDescent="0.3">
      <c r="A34" s="19" t="s">
        <v>9</v>
      </c>
      <c r="B34" s="20">
        <f>SUM(B33+'Mar 2017'!B35)</f>
        <v>409</v>
      </c>
      <c r="C34" s="20">
        <f>SUM(C33+'Mar 2017'!C35)</f>
        <v>9443</v>
      </c>
      <c r="D34" s="20">
        <f>SUM(D33+'Mar 2017'!D35)</f>
        <v>4874</v>
      </c>
      <c r="E34" s="21">
        <f>SUM(E33+'Mar 2017'!E35)</f>
        <v>9.2590000000000021</v>
      </c>
      <c r="F34" s="21">
        <f>SUM(F33+'Mar 2017'!F35)</f>
        <v>27.6</v>
      </c>
      <c r="G34" s="20">
        <f>SUM(G33+'Mar 2017'!G35)</f>
        <v>27080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SUM(B3:B33)*1.9835</f>
        <v>0</v>
      </c>
      <c r="C36" s="23">
        <f>SUM(C3:C33)*1.9835</f>
        <v>4923.0470000000005</v>
      </c>
      <c r="D36" s="23">
        <f>SUM(D3:D33)*1.9835</f>
        <v>5299.9120000000003</v>
      </c>
      <c r="E36" s="23"/>
      <c r="F36" s="23"/>
      <c r="G36" s="23"/>
      <c r="I36" s="22"/>
    </row>
    <row r="38" spans="1:15" x14ac:dyDescent="0.3">
      <c r="A38" t="s">
        <v>24</v>
      </c>
      <c r="B38" s="23">
        <f>SUM(B36+'Mar 2017'!B39)</f>
        <v>811.25150000000008</v>
      </c>
      <c r="C38" s="23">
        <f>SUM(C36+'Mar 2017'!C39)</f>
        <v>21191.714</v>
      </c>
      <c r="D38" s="23">
        <f>SUM(D36+'Mar 2017'!D39)</f>
        <v>12317.535</v>
      </c>
      <c r="E38" s="23"/>
      <c r="F38" s="23"/>
      <c r="G38" s="23"/>
      <c r="I38" s="22"/>
    </row>
    <row r="39" spans="1:15" x14ac:dyDescent="0.3"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18" t="s">
        <v>23</v>
      </c>
      <c r="B42" s="118"/>
      <c r="C42" s="118"/>
      <c r="D42" s="118"/>
      <c r="E42" s="118"/>
      <c r="F42" s="118"/>
      <c r="G42" s="118"/>
      <c r="H42" s="118"/>
      <c r="I42" s="118"/>
      <c r="J42" s="118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3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42795</v>
      </c>
      <c r="B3" s="13">
        <v>0</v>
      </c>
      <c r="C3" s="13">
        <v>45</v>
      </c>
      <c r="D3" s="13">
        <v>0</v>
      </c>
      <c r="E3" s="14">
        <v>0</v>
      </c>
      <c r="F3" s="14">
        <v>0</v>
      </c>
      <c r="G3" s="13">
        <v>300</v>
      </c>
      <c r="H3" s="15">
        <v>4034.64</v>
      </c>
    </row>
    <row r="4" spans="1:9" x14ac:dyDescent="0.3">
      <c r="A4" s="12">
        <v>42796</v>
      </c>
      <c r="B4" s="13">
        <v>0</v>
      </c>
      <c r="C4" s="13">
        <v>40</v>
      </c>
      <c r="D4" s="13">
        <v>0</v>
      </c>
      <c r="E4" s="14">
        <v>0</v>
      </c>
      <c r="F4" s="14">
        <v>0</v>
      </c>
      <c r="G4" s="13">
        <v>300</v>
      </c>
      <c r="H4" s="15">
        <v>4034.63</v>
      </c>
    </row>
    <row r="5" spans="1:9" x14ac:dyDescent="0.3">
      <c r="A5" s="12">
        <v>42797</v>
      </c>
      <c r="B5" s="13">
        <v>0</v>
      </c>
      <c r="C5" s="13">
        <v>40</v>
      </c>
      <c r="D5" s="13">
        <v>0</v>
      </c>
      <c r="E5" s="14">
        <v>0</v>
      </c>
      <c r="F5" s="14">
        <v>0</v>
      </c>
      <c r="G5" s="13">
        <v>300</v>
      </c>
      <c r="H5" s="15">
        <v>4034.63</v>
      </c>
    </row>
    <row r="6" spans="1:9" x14ac:dyDescent="0.3">
      <c r="A6" s="12">
        <v>42798</v>
      </c>
      <c r="B6" s="13">
        <v>0</v>
      </c>
      <c r="C6" s="13">
        <v>40</v>
      </c>
      <c r="D6" s="13">
        <v>0</v>
      </c>
      <c r="E6" s="14">
        <v>0.03</v>
      </c>
      <c r="F6" s="14">
        <v>0</v>
      </c>
      <c r="G6" s="13">
        <v>300</v>
      </c>
      <c r="H6" s="15">
        <v>4034.62</v>
      </c>
    </row>
    <row r="7" spans="1:9" x14ac:dyDescent="0.3">
      <c r="A7" s="12">
        <v>42799</v>
      </c>
      <c r="B7" s="13">
        <v>0</v>
      </c>
      <c r="C7" s="13">
        <v>40</v>
      </c>
      <c r="D7" s="13">
        <v>0</v>
      </c>
      <c r="E7" s="14">
        <v>0.02</v>
      </c>
      <c r="F7" s="14">
        <v>0</v>
      </c>
      <c r="G7" s="13">
        <v>300</v>
      </c>
      <c r="H7" s="15">
        <v>4034.62</v>
      </c>
    </row>
    <row r="8" spans="1:9" x14ac:dyDescent="0.3">
      <c r="A8" s="12">
        <v>42800</v>
      </c>
      <c r="B8" s="13">
        <v>0</v>
      </c>
      <c r="C8" s="13">
        <v>40</v>
      </c>
      <c r="D8" s="13">
        <v>0</v>
      </c>
      <c r="E8" s="14">
        <v>0.01</v>
      </c>
      <c r="F8" s="107">
        <v>0</v>
      </c>
      <c r="G8" s="13">
        <v>300</v>
      </c>
      <c r="H8" s="15">
        <v>4034.61</v>
      </c>
    </row>
    <row r="9" spans="1:9" x14ac:dyDescent="0.3">
      <c r="A9" s="12">
        <v>42801</v>
      </c>
      <c r="B9" s="106">
        <v>0</v>
      </c>
      <c r="C9" s="13">
        <v>40</v>
      </c>
      <c r="D9" s="13">
        <v>0</v>
      </c>
      <c r="E9" s="14">
        <v>0.02</v>
      </c>
      <c r="F9" s="14">
        <v>0</v>
      </c>
      <c r="G9" s="106">
        <v>210</v>
      </c>
      <c r="H9" s="15">
        <v>4034.6</v>
      </c>
      <c r="I9" t="s">
        <v>39</v>
      </c>
    </row>
    <row r="10" spans="1:9" x14ac:dyDescent="0.3">
      <c r="A10" s="12">
        <v>42802</v>
      </c>
      <c r="B10" s="13">
        <v>0</v>
      </c>
      <c r="C10" s="13">
        <v>40</v>
      </c>
      <c r="D10" s="13">
        <v>0</v>
      </c>
      <c r="E10" s="14">
        <v>0.02</v>
      </c>
      <c r="F10" s="14">
        <v>0</v>
      </c>
      <c r="G10" s="13">
        <v>160</v>
      </c>
      <c r="H10" s="15">
        <v>4034.6</v>
      </c>
    </row>
    <row r="11" spans="1:9" x14ac:dyDescent="0.3">
      <c r="A11" s="12">
        <v>42803</v>
      </c>
      <c r="B11" s="13">
        <v>0</v>
      </c>
      <c r="C11" s="13">
        <v>40</v>
      </c>
      <c r="D11" s="13">
        <v>0</v>
      </c>
      <c r="E11" s="14">
        <v>0.03</v>
      </c>
      <c r="F11" s="14">
        <v>0</v>
      </c>
      <c r="G11" s="13">
        <v>160</v>
      </c>
      <c r="H11" s="15">
        <v>4034.59</v>
      </c>
    </row>
    <row r="12" spans="1:9" x14ac:dyDescent="0.3">
      <c r="A12" s="12">
        <v>42804</v>
      </c>
      <c r="B12" s="13">
        <v>0</v>
      </c>
      <c r="C12" s="13">
        <v>40</v>
      </c>
      <c r="D12" s="13">
        <v>0</v>
      </c>
      <c r="E12" s="14">
        <v>0.01</v>
      </c>
      <c r="F12" s="14">
        <v>0</v>
      </c>
      <c r="G12" s="13">
        <v>160</v>
      </c>
      <c r="H12" s="15">
        <v>4034.59</v>
      </c>
    </row>
    <row r="13" spans="1:9" x14ac:dyDescent="0.3">
      <c r="A13" s="12">
        <v>42805</v>
      </c>
      <c r="B13" s="13">
        <v>0</v>
      </c>
      <c r="C13" s="13">
        <v>40</v>
      </c>
      <c r="D13" s="13">
        <v>0</v>
      </c>
      <c r="E13" s="14">
        <v>0</v>
      </c>
      <c r="F13" s="14">
        <v>0</v>
      </c>
      <c r="G13" s="13">
        <v>54</v>
      </c>
      <c r="H13" s="15">
        <v>4034.58</v>
      </c>
      <c r="I13" t="s">
        <v>40</v>
      </c>
    </row>
    <row r="14" spans="1:9" x14ac:dyDescent="0.3">
      <c r="A14" s="12">
        <v>42806</v>
      </c>
      <c r="B14" s="13">
        <v>0</v>
      </c>
      <c r="C14" s="13">
        <v>40</v>
      </c>
      <c r="D14" s="13">
        <v>0</v>
      </c>
      <c r="E14" s="14">
        <v>0</v>
      </c>
      <c r="F14" s="14">
        <v>0</v>
      </c>
      <c r="G14" s="13">
        <v>0</v>
      </c>
      <c r="H14" s="15">
        <v>4034.58</v>
      </c>
    </row>
    <row r="15" spans="1:9" x14ac:dyDescent="0.3">
      <c r="A15" s="12">
        <v>42807</v>
      </c>
      <c r="B15" s="106">
        <v>0</v>
      </c>
      <c r="C15" s="13">
        <v>40</v>
      </c>
      <c r="D15" s="13">
        <v>0</v>
      </c>
      <c r="E15" s="107" t="s">
        <v>31</v>
      </c>
      <c r="F15" s="14">
        <v>0</v>
      </c>
      <c r="G15" s="13">
        <v>0</v>
      </c>
      <c r="H15" s="15">
        <v>4034.58</v>
      </c>
    </row>
    <row r="16" spans="1:9" x14ac:dyDescent="0.3">
      <c r="A16" s="12">
        <v>42808</v>
      </c>
      <c r="B16" s="106">
        <v>0</v>
      </c>
      <c r="C16" s="13">
        <v>16</v>
      </c>
      <c r="D16" s="13">
        <v>0</v>
      </c>
      <c r="E16" s="14">
        <v>0</v>
      </c>
      <c r="F16" s="14">
        <v>0</v>
      </c>
      <c r="G16" s="13">
        <v>0</v>
      </c>
      <c r="H16" s="15">
        <v>4034.6</v>
      </c>
    </row>
    <row r="17" spans="1:8" x14ac:dyDescent="0.3">
      <c r="A17" s="12">
        <v>42809</v>
      </c>
      <c r="B17" s="13">
        <v>0</v>
      </c>
      <c r="C17" s="13">
        <v>0</v>
      </c>
      <c r="D17" s="13">
        <v>0</v>
      </c>
      <c r="E17" s="14">
        <v>0.02</v>
      </c>
      <c r="F17" s="14">
        <v>0</v>
      </c>
      <c r="G17" s="13">
        <v>0</v>
      </c>
      <c r="H17" s="15">
        <v>4034.6</v>
      </c>
    </row>
    <row r="18" spans="1:8" x14ac:dyDescent="0.3">
      <c r="A18" s="12">
        <v>42810</v>
      </c>
      <c r="B18" s="13">
        <v>0</v>
      </c>
      <c r="C18" s="13">
        <v>0</v>
      </c>
      <c r="D18" s="13">
        <v>0</v>
      </c>
      <c r="E18" s="14">
        <v>0.03</v>
      </c>
      <c r="F18" s="107">
        <v>0</v>
      </c>
      <c r="G18" s="13">
        <v>0</v>
      </c>
      <c r="H18" s="15">
        <v>4034.6</v>
      </c>
    </row>
    <row r="19" spans="1:8" x14ac:dyDescent="0.3">
      <c r="A19" s="12">
        <v>42811</v>
      </c>
      <c r="B19" s="13">
        <v>0</v>
      </c>
      <c r="C19" s="13">
        <v>0</v>
      </c>
      <c r="D19" s="13">
        <v>41</v>
      </c>
      <c r="E19" s="14">
        <v>0</v>
      </c>
      <c r="F19" s="107">
        <v>0</v>
      </c>
      <c r="G19" s="13">
        <v>0</v>
      </c>
      <c r="H19" s="15">
        <v>4034.6</v>
      </c>
    </row>
    <row r="20" spans="1:8" x14ac:dyDescent="0.3">
      <c r="A20" s="12">
        <v>42812</v>
      </c>
      <c r="B20" s="106">
        <v>0</v>
      </c>
      <c r="C20" s="13">
        <v>0</v>
      </c>
      <c r="D20" s="13">
        <v>40</v>
      </c>
      <c r="E20" s="14">
        <v>0.03</v>
      </c>
      <c r="F20" s="107">
        <v>0</v>
      </c>
      <c r="G20" s="13">
        <v>0</v>
      </c>
      <c r="H20" s="15">
        <v>4034.6</v>
      </c>
    </row>
    <row r="21" spans="1:8" x14ac:dyDescent="0.3">
      <c r="A21" s="12">
        <v>42813</v>
      </c>
      <c r="B21" s="13">
        <v>0</v>
      </c>
      <c r="C21" s="13">
        <v>0</v>
      </c>
      <c r="D21" s="13">
        <v>35</v>
      </c>
      <c r="E21" s="14">
        <v>0.03</v>
      </c>
      <c r="F21" s="14">
        <v>0</v>
      </c>
      <c r="G21" s="13">
        <v>0</v>
      </c>
      <c r="H21" s="15">
        <v>4034.6</v>
      </c>
    </row>
    <row r="22" spans="1:8" x14ac:dyDescent="0.3">
      <c r="A22" s="12">
        <v>42814</v>
      </c>
      <c r="B22" s="25">
        <v>0</v>
      </c>
      <c r="C22" s="25">
        <v>0</v>
      </c>
      <c r="D22" s="25">
        <v>36</v>
      </c>
      <c r="E22" s="26">
        <v>0</v>
      </c>
      <c r="F22" s="26">
        <v>0</v>
      </c>
      <c r="G22" s="25">
        <v>0</v>
      </c>
      <c r="H22" s="27">
        <v>4034.6</v>
      </c>
    </row>
    <row r="23" spans="1:8" x14ac:dyDescent="0.3">
      <c r="A23" s="12">
        <v>42815</v>
      </c>
      <c r="B23" s="25">
        <v>0</v>
      </c>
      <c r="C23" s="25">
        <v>12</v>
      </c>
      <c r="D23" s="25">
        <v>37</v>
      </c>
      <c r="E23" s="26">
        <v>0.17</v>
      </c>
      <c r="F23" s="26">
        <v>0</v>
      </c>
      <c r="G23" s="25">
        <v>0</v>
      </c>
      <c r="H23" s="27">
        <v>4034.6</v>
      </c>
    </row>
    <row r="24" spans="1:8" x14ac:dyDescent="0.3">
      <c r="A24" s="12">
        <v>42816</v>
      </c>
      <c r="B24" s="25">
        <v>0</v>
      </c>
      <c r="C24" s="25">
        <v>28</v>
      </c>
      <c r="D24" s="25">
        <v>37</v>
      </c>
      <c r="E24" s="26">
        <v>0.46</v>
      </c>
      <c r="F24" s="26">
        <v>0</v>
      </c>
      <c r="G24" s="25">
        <v>0</v>
      </c>
      <c r="H24" s="27">
        <v>4034.62</v>
      </c>
    </row>
    <row r="25" spans="1:8" x14ac:dyDescent="0.3">
      <c r="A25" s="12">
        <v>42817</v>
      </c>
      <c r="B25" s="25">
        <v>0</v>
      </c>
      <c r="C25" s="25">
        <v>40</v>
      </c>
      <c r="D25" s="25">
        <v>37</v>
      </c>
      <c r="E25" s="26">
        <v>0.03</v>
      </c>
      <c r="F25" s="26">
        <v>0</v>
      </c>
      <c r="G25" s="25">
        <v>0</v>
      </c>
      <c r="H25" s="27">
        <v>4034.62</v>
      </c>
    </row>
    <row r="26" spans="1:8" x14ac:dyDescent="0.3">
      <c r="A26" s="12">
        <v>42818</v>
      </c>
      <c r="B26" s="25">
        <v>0</v>
      </c>
      <c r="C26" s="25">
        <v>33</v>
      </c>
      <c r="D26" s="25">
        <v>38</v>
      </c>
      <c r="E26" s="26" t="s">
        <v>31</v>
      </c>
      <c r="F26" s="26">
        <v>0</v>
      </c>
      <c r="G26" s="25">
        <v>0</v>
      </c>
      <c r="H26" s="27">
        <v>4034.64</v>
      </c>
    </row>
    <row r="27" spans="1:8" x14ac:dyDescent="0.3">
      <c r="A27" s="12">
        <v>42819</v>
      </c>
      <c r="B27" s="25">
        <v>0</v>
      </c>
      <c r="C27" s="25">
        <v>23</v>
      </c>
      <c r="D27" s="25">
        <v>37</v>
      </c>
      <c r="E27" s="26" t="s">
        <v>31</v>
      </c>
      <c r="F27" s="26">
        <v>0</v>
      </c>
      <c r="G27" s="25">
        <v>0</v>
      </c>
      <c r="H27" s="27">
        <v>4034.66</v>
      </c>
    </row>
    <row r="28" spans="1:8" x14ac:dyDescent="0.3">
      <c r="A28" s="12">
        <v>42820</v>
      </c>
      <c r="B28" s="25">
        <v>0</v>
      </c>
      <c r="C28" s="25">
        <v>20</v>
      </c>
      <c r="D28" s="25">
        <v>34</v>
      </c>
      <c r="E28" s="26">
        <v>0.15</v>
      </c>
      <c r="F28" s="26">
        <v>0</v>
      </c>
      <c r="G28" s="25">
        <v>0</v>
      </c>
      <c r="H28" s="27">
        <v>4034.66</v>
      </c>
    </row>
    <row r="29" spans="1:8" x14ac:dyDescent="0.3">
      <c r="A29" s="12">
        <v>42821</v>
      </c>
      <c r="B29" s="25">
        <v>0</v>
      </c>
      <c r="C29" s="25">
        <v>0</v>
      </c>
      <c r="D29" s="25">
        <v>42</v>
      </c>
      <c r="E29" s="26">
        <v>0.02</v>
      </c>
      <c r="F29" s="26">
        <v>0</v>
      </c>
      <c r="G29" s="25">
        <v>0</v>
      </c>
      <c r="H29" s="27">
        <v>4034.66</v>
      </c>
    </row>
    <row r="30" spans="1:8" x14ac:dyDescent="0.3">
      <c r="A30" s="12">
        <v>42822</v>
      </c>
      <c r="B30" s="25">
        <v>0</v>
      </c>
      <c r="C30" s="13">
        <v>0</v>
      </c>
      <c r="D30" s="13">
        <v>44</v>
      </c>
      <c r="E30" s="107" t="s">
        <v>31</v>
      </c>
      <c r="F30" s="26">
        <v>0</v>
      </c>
      <c r="G30" s="25">
        <v>0</v>
      </c>
      <c r="H30" s="15">
        <v>4034.66</v>
      </c>
    </row>
    <row r="31" spans="1:8" x14ac:dyDescent="0.3">
      <c r="A31" s="12">
        <v>42823</v>
      </c>
      <c r="B31" s="25">
        <v>0</v>
      </c>
      <c r="C31" s="13">
        <v>8</v>
      </c>
      <c r="D31" s="13">
        <v>43</v>
      </c>
      <c r="E31" s="107">
        <v>7.0000000000000007E-2</v>
      </c>
      <c r="F31" s="26">
        <v>0</v>
      </c>
      <c r="G31" s="25">
        <v>0</v>
      </c>
      <c r="H31" s="15">
        <v>4034.67</v>
      </c>
    </row>
    <row r="32" spans="1:8" x14ac:dyDescent="0.3">
      <c r="A32" s="12">
        <v>42824</v>
      </c>
      <c r="B32" s="25">
        <v>0</v>
      </c>
      <c r="C32" s="13">
        <v>20</v>
      </c>
      <c r="D32" s="13">
        <v>70</v>
      </c>
      <c r="E32" s="107">
        <v>0.28999999999999998</v>
      </c>
      <c r="F32" s="26">
        <v>0</v>
      </c>
      <c r="G32" s="25">
        <v>0</v>
      </c>
      <c r="H32" s="15">
        <v>4034.67</v>
      </c>
    </row>
    <row r="33" spans="1:15" ht="15" thickBot="1" x14ac:dyDescent="0.35">
      <c r="A33" s="12">
        <v>42825</v>
      </c>
      <c r="B33" s="25">
        <v>0</v>
      </c>
      <c r="C33" s="13">
        <v>8</v>
      </c>
      <c r="D33" s="13">
        <v>58</v>
      </c>
      <c r="E33" s="14">
        <v>0.01</v>
      </c>
      <c r="F33" s="26">
        <v>0</v>
      </c>
      <c r="G33" s="25">
        <v>0</v>
      </c>
      <c r="H33" s="15">
        <v>4034.68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733</v>
      </c>
      <c r="D34" s="17">
        <f t="shared" si="0"/>
        <v>629</v>
      </c>
      <c r="E34" s="18">
        <f t="shared" si="0"/>
        <v>1.4500000000000002</v>
      </c>
      <c r="F34" s="18">
        <f t="shared" si="0"/>
        <v>0</v>
      </c>
      <c r="G34" s="17">
        <f t="shared" si="0"/>
        <v>2544</v>
      </c>
      <c r="H34" s="18"/>
    </row>
    <row r="35" spans="1:15" s="11" customFormat="1" x14ac:dyDescent="0.3">
      <c r="A35" s="19" t="s">
        <v>9</v>
      </c>
      <c r="B35" s="20">
        <f>SUM(B34+'Feb 2017'!B32)</f>
        <v>409</v>
      </c>
      <c r="C35" s="20">
        <f>SUM(C34+'Feb 2017'!C32)</f>
        <v>8202</v>
      </c>
      <c r="D35" s="20">
        <f>SUM(D34+'Feb 2017'!D32)</f>
        <v>3538</v>
      </c>
      <c r="E35" s="21">
        <f>SUM(E34+'Feb 2017'!E32)</f>
        <v>7.8190000000000017</v>
      </c>
      <c r="F35" s="21">
        <f>SUM(F34+'Feb 2017'!F32)</f>
        <v>26.6</v>
      </c>
      <c r="G35" s="20">
        <f>SUM(G34+'Feb 2017'!G32)</f>
        <v>27080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1453.9055000000001</v>
      </c>
      <c r="D37" s="23">
        <f>SUM(D3:D33)*1.9835</f>
        <v>1247.6215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SUM(B37+'Feb 2017'!B36)</f>
        <v>811.25150000000008</v>
      </c>
      <c r="C39" s="23">
        <f>SUM(C37+'Feb 2017'!C36)</f>
        <v>16268.667000000001</v>
      </c>
      <c r="D39" s="23">
        <f>SUM(D37+'Feb 2017'!D36)</f>
        <v>7017.6230000000005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42767</v>
      </c>
      <c r="B3" s="13">
        <v>0</v>
      </c>
      <c r="C3" s="13">
        <v>60</v>
      </c>
      <c r="D3" s="13">
        <v>0</v>
      </c>
      <c r="E3" s="14">
        <v>0</v>
      </c>
      <c r="F3" s="14">
        <v>0</v>
      </c>
      <c r="G3" s="13">
        <v>160</v>
      </c>
      <c r="H3" s="15">
        <v>4034.55</v>
      </c>
    </row>
    <row r="4" spans="1:9" x14ac:dyDescent="0.3">
      <c r="A4" s="12">
        <v>42768</v>
      </c>
      <c r="B4" s="13">
        <v>0</v>
      </c>
      <c r="C4" s="13">
        <v>60</v>
      </c>
      <c r="D4" s="13">
        <v>0</v>
      </c>
      <c r="E4" s="14">
        <v>0.01</v>
      </c>
      <c r="F4" s="14">
        <v>0</v>
      </c>
      <c r="G4" s="13">
        <v>160</v>
      </c>
      <c r="H4" s="15">
        <v>4034.54</v>
      </c>
    </row>
    <row r="5" spans="1:9" x14ac:dyDescent="0.3">
      <c r="A5" s="12">
        <v>42769</v>
      </c>
      <c r="B5" s="13">
        <v>0</v>
      </c>
      <c r="C5" s="13">
        <v>83</v>
      </c>
      <c r="D5" s="13">
        <v>0</v>
      </c>
      <c r="E5" s="14">
        <v>0.38</v>
      </c>
      <c r="F5" s="14">
        <v>0</v>
      </c>
      <c r="G5" s="13">
        <v>160</v>
      </c>
      <c r="H5" s="15">
        <v>4034.57</v>
      </c>
    </row>
    <row r="6" spans="1:9" x14ac:dyDescent="0.3">
      <c r="A6" s="12">
        <v>42770</v>
      </c>
      <c r="B6" s="13">
        <v>0</v>
      </c>
      <c r="C6" s="13">
        <v>177</v>
      </c>
      <c r="D6" s="13">
        <v>0</v>
      </c>
      <c r="E6" s="107" t="s">
        <v>31</v>
      </c>
      <c r="F6" s="14">
        <v>0</v>
      </c>
      <c r="G6" s="13">
        <v>160</v>
      </c>
      <c r="H6" s="15">
        <v>4034.6</v>
      </c>
    </row>
    <row r="7" spans="1:9" x14ac:dyDescent="0.3">
      <c r="A7" s="12">
        <v>42771</v>
      </c>
      <c r="B7" s="13">
        <v>0</v>
      </c>
      <c r="C7" s="13">
        <v>200</v>
      </c>
      <c r="D7" s="13">
        <v>0</v>
      </c>
      <c r="E7" s="14">
        <v>0</v>
      </c>
      <c r="F7" s="14">
        <v>0</v>
      </c>
      <c r="G7" s="13">
        <v>160</v>
      </c>
      <c r="H7" s="15">
        <v>4034.63</v>
      </c>
    </row>
    <row r="8" spans="1:9" x14ac:dyDescent="0.3">
      <c r="A8" s="12">
        <v>42772</v>
      </c>
      <c r="B8" s="13">
        <v>0</v>
      </c>
      <c r="C8" s="13">
        <v>169</v>
      </c>
      <c r="D8" s="13">
        <v>0</v>
      </c>
      <c r="E8" s="14">
        <v>0.03</v>
      </c>
      <c r="F8" s="14">
        <v>0</v>
      </c>
      <c r="G8" s="13">
        <v>160</v>
      </c>
      <c r="H8" s="15">
        <v>4034.66</v>
      </c>
    </row>
    <row r="9" spans="1:9" x14ac:dyDescent="0.3">
      <c r="A9" s="12">
        <v>42773</v>
      </c>
      <c r="B9" s="13">
        <v>0</v>
      </c>
      <c r="C9" s="13">
        <v>150</v>
      </c>
      <c r="D9" s="13">
        <v>0</v>
      </c>
      <c r="E9" s="14">
        <v>0.42</v>
      </c>
      <c r="F9" s="14">
        <v>0.25</v>
      </c>
      <c r="G9" s="106">
        <v>253</v>
      </c>
      <c r="H9" s="15">
        <v>4034.69</v>
      </c>
      <c r="I9" t="s">
        <v>36</v>
      </c>
    </row>
    <row r="10" spans="1:9" x14ac:dyDescent="0.3">
      <c r="A10" s="12">
        <v>42774</v>
      </c>
      <c r="B10" s="13">
        <v>0</v>
      </c>
      <c r="C10" s="13">
        <v>170</v>
      </c>
      <c r="D10" s="13">
        <v>0</v>
      </c>
      <c r="E10" s="14">
        <v>0.03</v>
      </c>
      <c r="F10" s="14">
        <v>0</v>
      </c>
      <c r="G10" s="106">
        <v>395</v>
      </c>
      <c r="H10" s="15">
        <v>4034.72</v>
      </c>
      <c r="I10" t="s">
        <v>37</v>
      </c>
    </row>
    <row r="11" spans="1:9" x14ac:dyDescent="0.3">
      <c r="A11" s="12">
        <v>42775</v>
      </c>
      <c r="B11" s="13">
        <v>0</v>
      </c>
      <c r="C11" s="13">
        <v>190</v>
      </c>
      <c r="D11" s="13">
        <v>0</v>
      </c>
      <c r="E11" s="14">
        <v>7.0000000000000007E-2</v>
      </c>
      <c r="F11" s="14">
        <v>0</v>
      </c>
      <c r="G11" s="13">
        <v>453</v>
      </c>
      <c r="H11" s="15">
        <v>4034.75</v>
      </c>
    </row>
    <row r="12" spans="1:9" x14ac:dyDescent="0.3">
      <c r="A12" s="12">
        <v>42776</v>
      </c>
      <c r="B12" s="13">
        <v>0</v>
      </c>
      <c r="C12" s="13">
        <v>203</v>
      </c>
      <c r="D12" s="13">
        <v>0</v>
      </c>
      <c r="E12" s="14">
        <v>0.02</v>
      </c>
      <c r="F12" s="14">
        <v>0</v>
      </c>
      <c r="G12" s="13">
        <v>452</v>
      </c>
      <c r="H12" s="15">
        <v>4034.78</v>
      </c>
    </row>
    <row r="13" spans="1:9" x14ac:dyDescent="0.3">
      <c r="A13" s="12">
        <v>42777</v>
      </c>
      <c r="B13" s="13">
        <v>0</v>
      </c>
      <c r="C13" s="13">
        <v>194</v>
      </c>
      <c r="D13" s="13">
        <v>0</v>
      </c>
      <c r="E13" s="14">
        <v>0</v>
      </c>
      <c r="F13" s="14">
        <v>0</v>
      </c>
      <c r="G13" s="13">
        <v>452</v>
      </c>
      <c r="H13" s="15">
        <v>4034.81</v>
      </c>
    </row>
    <row r="14" spans="1:9" x14ac:dyDescent="0.3">
      <c r="A14" s="12">
        <v>42778</v>
      </c>
      <c r="B14" s="13">
        <v>0</v>
      </c>
      <c r="C14" s="13">
        <v>123</v>
      </c>
      <c r="D14" s="13">
        <v>0</v>
      </c>
      <c r="E14" s="14">
        <v>0</v>
      </c>
      <c r="F14" s="14">
        <v>0</v>
      </c>
      <c r="G14" s="13">
        <v>452</v>
      </c>
      <c r="H14" s="15">
        <v>4034.83</v>
      </c>
    </row>
    <row r="15" spans="1:9" x14ac:dyDescent="0.3">
      <c r="A15" s="12">
        <v>42779</v>
      </c>
      <c r="B15" s="13">
        <v>0</v>
      </c>
      <c r="C15" s="25">
        <v>100</v>
      </c>
      <c r="D15" s="13">
        <v>0</v>
      </c>
      <c r="E15" s="26">
        <v>0.01</v>
      </c>
      <c r="F15" s="14">
        <v>0</v>
      </c>
      <c r="G15" s="13">
        <v>451</v>
      </c>
      <c r="H15" s="27">
        <v>4034.8</v>
      </c>
    </row>
    <row r="16" spans="1:9" x14ac:dyDescent="0.3">
      <c r="A16" s="12">
        <v>42780</v>
      </c>
      <c r="B16" s="13">
        <v>0</v>
      </c>
      <c r="C16" s="25">
        <v>84</v>
      </c>
      <c r="D16" s="13">
        <v>0</v>
      </c>
      <c r="E16" s="26">
        <v>0</v>
      </c>
      <c r="F16" s="14">
        <v>0</v>
      </c>
      <c r="G16" s="13">
        <v>451</v>
      </c>
      <c r="H16" s="27">
        <v>4034.78</v>
      </c>
    </row>
    <row r="17" spans="1:9" x14ac:dyDescent="0.3">
      <c r="A17" s="12">
        <v>42781</v>
      </c>
      <c r="B17" s="13">
        <v>0</v>
      </c>
      <c r="C17" s="25">
        <v>70</v>
      </c>
      <c r="D17" s="13">
        <v>0</v>
      </c>
      <c r="E17" s="26">
        <v>0.06</v>
      </c>
      <c r="F17" s="14">
        <v>0</v>
      </c>
      <c r="G17" s="13">
        <v>451</v>
      </c>
      <c r="H17" s="27">
        <v>4034.76</v>
      </c>
    </row>
    <row r="18" spans="1:9" x14ac:dyDescent="0.3">
      <c r="A18" s="12">
        <v>42782</v>
      </c>
      <c r="B18" s="13">
        <v>0</v>
      </c>
      <c r="C18" s="25">
        <v>70</v>
      </c>
      <c r="D18" s="13">
        <v>0</v>
      </c>
      <c r="E18" s="26">
        <v>0.16</v>
      </c>
      <c r="F18" s="14">
        <v>0</v>
      </c>
      <c r="G18" s="13">
        <v>451</v>
      </c>
      <c r="H18" s="27">
        <v>4034.74</v>
      </c>
    </row>
    <row r="19" spans="1:9" x14ac:dyDescent="0.3">
      <c r="A19" s="12">
        <v>42783</v>
      </c>
      <c r="B19" s="13">
        <v>0</v>
      </c>
      <c r="C19" s="25">
        <v>70</v>
      </c>
      <c r="D19" s="13">
        <v>0</v>
      </c>
      <c r="E19" s="26">
        <v>0.03</v>
      </c>
      <c r="F19" s="14">
        <v>0</v>
      </c>
      <c r="G19" s="106">
        <v>395</v>
      </c>
      <c r="H19" s="27">
        <v>4034.72</v>
      </c>
      <c r="I19" t="s">
        <v>38</v>
      </c>
    </row>
    <row r="20" spans="1:9" x14ac:dyDescent="0.3">
      <c r="A20" s="12">
        <v>42784</v>
      </c>
      <c r="B20" s="13">
        <v>0</v>
      </c>
      <c r="C20" s="25">
        <v>70</v>
      </c>
      <c r="D20" s="13">
        <v>0</v>
      </c>
      <c r="E20" s="26">
        <v>0.24</v>
      </c>
      <c r="F20" s="14">
        <v>0</v>
      </c>
      <c r="G20" s="13">
        <v>300</v>
      </c>
      <c r="H20" s="27">
        <v>4034.71</v>
      </c>
    </row>
    <row r="21" spans="1:9" x14ac:dyDescent="0.3">
      <c r="A21" s="12">
        <v>42785</v>
      </c>
      <c r="B21" s="13">
        <v>0</v>
      </c>
      <c r="C21" s="25">
        <v>70</v>
      </c>
      <c r="D21" s="13">
        <v>0</v>
      </c>
      <c r="E21" s="26">
        <v>0.03</v>
      </c>
      <c r="F21" s="14">
        <v>0</v>
      </c>
      <c r="G21" s="13">
        <v>300</v>
      </c>
      <c r="H21" s="27">
        <v>4034.7</v>
      </c>
    </row>
    <row r="22" spans="1:9" x14ac:dyDescent="0.3">
      <c r="A22" s="12">
        <v>42786</v>
      </c>
      <c r="B22" s="13">
        <v>0</v>
      </c>
      <c r="C22" s="25">
        <v>70</v>
      </c>
      <c r="D22" s="13">
        <v>0</v>
      </c>
      <c r="E22" s="26">
        <v>0.06</v>
      </c>
      <c r="F22" s="26">
        <v>0</v>
      </c>
      <c r="G22" s="13">
        <v>300</v>
      </c>
      <c r="H22" s="27">
        <v>4034.7</v>
      </c>
    </row>
    <row r="23" spans="1:9" x14ac:dyDescent="0.3">
      <c r="A23" s="12">
        <v>42787</v>
      </c>
      <c r="B23" s="13">
        <v>0</v>
      </c>
      <c r="C23" s="25">
        <v>70</v>
      </c>
      <c r="D23" s="13">
        <v>0</v>
      </c>
      <c r="E23" s="26">
        <v>0.12</v>
      </c>
      <c r="F23" s="26">
        <v>0</v>
      </c>
      <c r="G23" s="13">
        <v>300</v>
      </c>
      <c r="H23" s="27">
        <v>4034.69</v>
      </c>
    </row>
    <row r="24" spans="1:9" x14ac:dyDescent="0.3">
      <c r="A24" s="12">
        <v>42788</v>
      </c>
      <c r="B24" s="13">
        <v>0</v>
      </c>
      <c r="C24" s="25">
        <v>70</v>
      </c>
      <c r="D24" s="13">
        <v>0</v>
      </c>
      <c r="E24" s="26">
        <v>0.1</v>
      </c>
      <c r="F24" s="26">
        <v>2</v>
      </c>
      <c r="G24" s="13">
        <v>300</v>
      </c>
      <c r="H24" s="27">
        <v>4034.68</v>
      </c>
    </row>
    <row r="25" spans="1:9" x14ac:dyDescent="0.3">
      <c r="A25" s="12">
        <v>42789</v>
      </c>
      <c r="B25" s="13">
        <v>0</v>
      </c>
      <c r="C25" s="25">
        <v>70</v>
      </c>
      <c r="D25" s="13">
        <v>0</v>
      </c>
      <c r="E25" s="26">
        <v>0.05</v>
      </c>
      <c r="F25" s="26">
        <v>0.5</v>
      </c>
      <c r="G25" s="13">
        <v>300</v>
      </c>
      <c r="H25" s="27">
        <v>4034.67</v>
      </c>
    </row>
    <row r="26" spans="1:9" x14ac:dyDescent="0.3">
      <c r="A26" s="12">
        <v>42790</v>
      </c>
      <c r="B26" s="13">
        <v>0</v>
      </c>
      <c r="C26" s="25">
        <v>70</v>
      </c>
      <c r="D26" s="13">
        <v>0</v>
      </c>
      <c r="E26" s="26">
        <v>0</v>
      </c>
      <c r="F26" s="26" t="s">
        <v>31</v>
      </c>
      <c r="G26" s="13">
        <v>300</v>
      </c>
      <c r="H26" s="27">
        <v>4034.66</v>
      </c>
    </row>
    <row r="27" spans="1:9" x14ac:dyDescent="0.3">
      <c r="A27" s="12">
        <v>42791</v>
      </c>
      <c r="B27" s="13">
        <v>0</v>
      </c>
      <c r="C27" s="25">
        <v>70</v>
      </c>
      <c r="D27" s="13">
        <v>0</v>
      </c>
      <c r="E27" s="26">
        <v>0</v>
      </c>
      <c r="F27" s="26" t="s">
        <v>31</v>
      </c>
      <c r="G27" s="13">
        <v>300</v>
      </c>
      <c r="H27" s="27">
        <v>4034.65</v>
      </c>
    </row>
    <row r="28" spans="1:9" x14ac:dyDescent="0.3">
      <c r="A28" s="12">
        <v>42792</v>
      </c>
      <c r="B28" s="13">
        <v>0</v>
      </c>
      <c r="C28" s="25">
        <v>70</v>
      </c>
      <c r="D28" s="13">
        <v>0</v>
      </c>
      <c r="E28" s="26">
        <v>0</v>
      </c>
      <c r="F28" s="26" t="s">
        <v>31</v>
      </c>
      <c r="G28" s="13">
        <v>300</v>
      </c>
      <c r="H28" s="27">
        <v>4034.63</v>
      </c>
    </row>
    <row r="29" spans="1:9" x14ac:dyDescent="0.3">
      <c r="A29" s="12">
        <v>42793</v>
      </c>
      <c r="B29" s="13">
        <v>0</v>
      </c>
      <c r="C29" s="25">
        <v>58</v>
      </c>
      <c r="D29" s="25">
        <v>0</v>
      </c>
      <c r="E29" s="26">
        <v>0.03</v>
      </c>
      <c r="F29" s="26">
        <v>0.5</v>
      </c>
      <c r="G29" s="13">
        <v>300</v>
      </c>
      <c r="H29" s="27">
        <v>4034.64</v>
      </c>
    </row>
    <row r="30" spans="1:9" ht="15" thickBot="1" x14ac:dyDescent="0.35">
      <c r="A30" s="12">
        <v>42794</v>
      </c>
      <c r="B30" s="13">
        <v>0</v>
      </c>
      <c r="C30" s="25">
        <v>50</v>
      </c>
      <c r="D30" s="25">
        <v>0</v>
      </c>
      <c r="E30" s="26">
        <v>0.02</v>
      </c>
      <c r="F30" s="26">
        <v>0.25</v>
      </c>
      <c r="G30" s="13">
        <v>300</v>
      </c>
      <c r="H30" s="27">
        <v>4034.64</v>
      </c>
    </row>
    <row r="31" spans="1:9" s="11" customFormat="1" ht="15" thickTop="1" x14ac:dyDescent="0.3">
      <c r="A31" s="16" t="s">
        <v>8</v>
      </c>
      <c r="B31" s="17">
        <f t="shared" ref="B31:G31" si="0">SUM(B3:B30)</f>
        <v>0</v>
      </c>
      <c r="C31" s="17">
        <f t="shared" si="0"/>
        <v>2911</v>
      </c>
      <c r="D31" s="17">
        <f t="shared" si="0"/>
        <v>0</v>
      </c>
      <c r="E31" s="18">
        <f t="shared" si="0"/>
        <v>1.8700000000000006</v>
      </c>
      <c r="F31" s="18">
        <f t="shared" si="0"/>
        <v>3.5</v>
      </c>
      <c r="G31" s="17">
        <f t="shared" si="0"/>
        <v>8916</v>
      </c>
      <c r="H31" s="18"/>
      <c r="I31"/>
    </row>
    <row r="32" spans="1:9" s="11" customFormat="1" x14ac:dyDescent="0.3">
      <c r="A32" s="19" t="s">
        <v>9</v>
      </c>
      <c r="B32" s="20">
        <f>SUM(B31+'Jan 2017'!B35)</f>
        <v>409</v>
      </c>
      <c r="C32" s="20">
        <f>SUM(C31+'Jan 2017'!C35)</f>
        <v>7469</v>
      </c>
      <c r="D32" s="20">
        <f>SUM(D31+'Jan 2017'!D35)</f>
        <v>2909</v>
      </c>
      <c r="E32" s="21">
        <f>SUM(E31+'Jan 2017'!E35)</f>
        <v>6.3690000000000015</v>
      </c>
      <c r="F32" s="21">
        <f>SUM(F31+'Jan 2017'!F35)</f>
        <v>26.6</v>
      </c>
      <c r="G32" s="20">
        <f>SUM(G31+'Jan 2017'!G35)</f>
        <v>24536</v>
      </c>
      <c r="H32" s="21"/>
      <c r="I32"/>
    </row>
    <row r="34" spans="1:15" x14ac:dyDescent="0.3">
      <c r="A34" t="s">
        <v>10</v>
      </c>
      <c r="B34" s="23">
        <f>SUM(B3:B30)*1.9835</f>
        <v>0</v>
      </c>
      <c r="C34" s="23">
        <f>SUM(C3:C30)*1.9835</f>
        <v>5773.9684999999999</v>
      </c>
      <c r="D34" s="23">
        <f>SUM(D3:D30)*1.9835</f>
        <v>0</v>
      </c>
      <c r="E34" s="23"/>
      <c r="F34" s="23"/>
      <c r="G34" s="23"/>
      <c r="I34" s="22"/>
    </row>
    <row r="36" spans="1:15" x14ac:dyDescent="0.3">
      <c r="A36" t="s">
        <v>24</v>
      </c>
      <c r="B36" s="23">
        <f>SUM(B34+'Jan 2017'!B39)</f>
        <v>811.25150000000008</v>
      </c>
      <c r="C36" s="23">
        <f>SUM(C34+'Jan 2017'!C39)</f>
        <v>14814.761500000001</v>
      </c>
      <c r="D36" s="23">
        <f>SUM(D34+'Jan 2017'!D39)</f>
        <v>5770.0015000000003</v>
      </c>
      <c r="E36" s="23"/>
      <c r="F36" s="23"/>
      <c r="G36" s="23"/>
      <c r="I36" s="22"/>
    </row>
    <row r="37" spans="1:15" x14ac:dyDescent="0.3">
      <c r="B37" s="23"/>
      <c r="C37" s="23"/>
      <c r="D37" s="24"/>
      <c r="E37" s="23"/>
      <c r="F37" s="23"/>
      <c r="G37" s="23"/>
      <c r="I37" s="22"/>
    </row>
    <row r="38" spans="1:15" ht="17.399999999999999" customHeight="1" x14ac:dyDescent="0.3">
      <c r="A38" s="113"/>
      <c r="B38" s="113"/>
      <c r="C38" s="113"/>
      <c r="D38" s="113"/>
      <c r="E38" s="113"/>
      <c r="F38" s="114"/>
      <c r="G38" s="115" t="s">
        <v>12</v>
      </c>
      <c r="H38" s="116"/>
      <c r="I38" s="30"/>
      <c r="J38" s="30"/>
      <c r="K38" s="30"/>
      <c r="L38" s="30"/>
      <c r="M38" s="30"/>
      <c r="N38" s="31"/>
      <c r="O38" s="30"/>
    </row>
    <row r="39" spans="1:15" ht="16.95" customHeight="1" x14ac:dyDescent="0.3">
      <c r="A39" s="29"/>
      <c r="B39" s="29"/>
      <c r="C39" s="29"/>
      <c r="D39" s="29"/>
      <c r="E39" s="29"/>
      <c r="F39" s="29"/>
      <c r="G39" s="115"/>
      <c r="H39" s="116"/>
      <c r="I39" s="30"/>
      <c r="J39" s="30"/>
      <c r="K39" s="30"/>
      <c r="L39" s="30"/>
      <c r="M39" s="30"/>
      <c r="N39" s="31"/>
      <c r="O39" s="30"/>
    </row>
    <row r="40" spans="1:15" ht="13.95" customHeight="1" x14ac:dyDescent="0.3">
      <c r="A40" s="118" t="s">
        <v>23</v>
      </c>
      <c r="B40" s="118"/>
      <c r="C40" s="118"/>
      <c r="D40" s="118"/>
      <c r="E40" s="118"/>
      <c r="F40" s="118"/>
      <c r="G40" s="118"/>
      <c r="H40" s="118"/>
      <c r="I40" s="118"/>
      <c r="J40" s="118"/>
      <c r="K40" s="32"/>
      <c r="L40" s="32"/>
      <c r="M40" s="32"/>
      <c r="N40" s="33"/>
      <c r="O40" s="34"/>
    </row>
    <row r="41" spans="1:15" ht="15.6" customHeight="1" x14ac:dyDescent="0.3">
      <c r="A41" s="42" t="s">
        <v>17</v>
      </c>
      <c r="B41" s="36"/>
      <c r="C41" s="37"/>
      <c r="D41" s="37"/>
      <c r="E41" s="38"/>
      <c r="F41" s="39"/>
      <c r="G41" s="40"/>
      <c r="H41" s="41"/>
      <c r="I41" s="34"/>
      <c r="J41" s="34"/>
      <c r="K41" s="34"/>
      <c r="L41" s="34"/>
      <c r="M41" s="34"/>
      <c r="N41" s="33"/>
    </row>
    <row r="42" spans="1:15" x14ac:dyDescent="0.3">
      <c r="A42" s="35"/>
      <c r="B42" s="36"/>
      <c r="C42" s="37"/>
      <c r="D42" s="37"/>
      <c r="E42" s="43"/>
      <c r="F42" s="39">
        <f>SUM(24-D42)</f>
        <v>24</v>
      </c>
      <c r="G42" s="40">
        <f>SUM(C42+E42)</f>
        <v>0</v>
      </c>
      <c r="H42" s="41">
        <f>SUM(C42/24*D42+G42/24*F42)</f>
        <v>0</v>
      </c>
      <c r="I42" s="34"/>
      <c r="J42" s="34"/>
      <c r="K42" s="34"/>
      <c r="L42" s="34"/>
      <c r="M42" s="34"/>
      <c r="N42" s="33"/>
    </row>
    <row r="43" spans="1:1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3.2" customHeight="1" x14ac:dyDescent="0.3">
      <c r="A47" s="44"/>
      <c r="B47" s="45"/>
      <c r="C47" s="45"/>
      <c r="D47" s="45"/>
      <c r="E47" s="45"/>
      <c r="F47" s="45"/>
      <c r="G47" s="46"/>
      <c r="H47" s="34"/>
      <c r="I47" s="34"/>
      <c r="J47" s="34"/>
      <c r="K47" s="34"/>
      <c r="L47" s="34"/>
      <c r="M47" s="34"/>
      <c r="N47" s="33"/>
      <c r="O47" s="34"/>
    </row>
    <row r="48" spans="1:15" ht="15" thickBot="1" x14ac:dyDescent="0.35">
      <c r="A48" s="47" t="s">
        <v>18</v>
      </c>
      <c r="B48" s="47"/>
      <c r="C48" s="47"/>
      <c r="D48" s="47"/>
      <c r="E48" s="48"/>
      <c r="F48" s="49"/>
      <c r="G48" s="46"/>
      <c r="H48" s="34"/>
      <c r="I48" s="34"/>
      <c r="J48" s="34"/>
      <c r="K48" s="34"/>
      <c r="L48" s="34"/>
      <c r="M48" s="34"/>
      <c r="N48" s="33"/>
      <c r="O48" s="34"/>
    </row>
    <row r="49" spans="1:10" ht="26.4" x14ac:dyDescent="0.35">
      <c r="A49" s="50" t="s">
        <v>19</v>
      </c>
      <c r="B49" s="51" t="s">
        <v>13</v>
      </c>
      <c r="C49" s="52" t="s">
        <v>14</v>
      </c>
      <c r="D49" s="52" t="s">
        <v>15</v>
      </c>
      <c r="E49" s="53" t="s">
        <v>16</v>
      </c>
      <c r="F49" s="54" t="s">
        <v>20</v>
      </c>
      <c r="G49" s="55"/>
      <c r="H49" s="56"/>
      <c r="I49" s="57"/>
      <c r="J49" s="57"/>
    </row>
    <row r="50" spans="1:10" ht="15.6" x14ac:dyDescent="0.35">
      <c r="A50" s="58"/>
      <c r="B50" s="59"/>
      <c r="C50" s="60"/>
      <c r="D50" s="61"/>
      <c r="E50" s="62"/>
      <c r="F50" s="63">
        <f>SUM(C50/24*D50)</f>
        <v>0</v>
      </c>
      <c r="G50" s="64"/>
      <c r="H50" s="65"/>
      <c r="I50" s="66"/>
      <c r="J50" s="66"/>
    </row>
    <row r="51" spans="1:10" x14ac:dyDescent="0.3">
      <c r="A51" s="67"/>
      <c r="B51" s="68"/>
      <c r="C51" s="69"/>
      <c r="D51" s="61"/>
      <c r="E51" s="70"/>
      <c r="F51" s="71">
        <f>SUM(C51/24*D51)</f>
        <v>0</v>
      </c>
      <c r="G51" s="64"/>
      <c r="H51" s="65"/>
    </row>
    <row r="52" spans="1:10" x14ac:dyDescent="0.3">
      <c r="A52" s="67"/>
      <c r="B52" s="68"/>
      <c r="C52" s="69"/>
      <c r="D52" s="61"/>
      <c r="E52" s="72"/>
      <c r="F52" s="71">
        <f>SUM(C52/24*D52)</f>
        <v>0</v>
      </c>
      <c r="G52" s="64"/>
      <c r="H52" s="65"/>
    </row>
    <row r="53" spans="1:10" x14ac:dyDescent="0.3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0" ht="15" thickBot="1" x14ac:dyDescent="0.35">
      <c r="A54" s="73"/>
      <c r="B54" s="74"/>
      <c r="C54" s="75"/>
      <c r="D54" s="76"/>
      <c r="E54" s="75"/>
      <c r="F54" s="77">
        <f>SUM(C54/24*D54)</f>
        <v>0</v>
      </c>
      <c r="G54" s="64"/>
      <c r="H54" s="65"/>
      <c r="I54" s="78"/>
      <c r="J54" s="78"/>
    </row>
    <row r="55" spans="1:10" s="84" customFormat="1" ht="30" customHeight="1" x14ac:dyDescent="0.3">
      <c r="A55" s="119" t="s">
        <v>21</v>
      </c>
      <c r="B55" s="120"/>
      <c r="C55" s="121"/>
      <c r="D55" s="79">
        <f>SUM(D50:D54)</f>
        <v>0</v>
      </c>
      <c r="E55" s="80" t="s">
        <v>22</v>
      </c>
      <c r="F55" s="81">
        <f>SUM(F50:F54)</f>
        <v>0</v>
      </c>
      <c r="G55" s="82"/>
      <c r="H55" s="83"/>
    </row>
  </sheetData>
  <mergeCells count="4">
    <mergeCell ref="A38:F38"/>
    <mergeCell ref="G38:H39"/>
    <mergeCell ref="A40:J40"/>
    <mergeCell ref="A55:C55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42736</v>
      </c>
      <c r="B3" s="25">
        <v>0</v>
      </c>
      <c r="C3" s="25">
        <v>16</v>
      </c>
      <c r="D3" s="25">
        <v>0</v>
      </c>
      <c r="E3" s="26">
        <v>0.02</v>
      </c>
      <c r="F3" s="26">
        <v>2</v>
      </c>
      <c r="G3" s="25">
        <v>0</v>
      </c>
      <c r="H3" s="27">
        <v>4034.58</v>
      </c>
    </row>
    <row r="4" spans="1:9" x14ac:dyDescent="0.3">
      <c r="A4" s="12">
        <v>42737</v>
      </c>
      <c r="B4" s="25">
        <v>0</v>
      </c>
      <c r="C4" s="25">
        <v>10</v>
      </c>
      <c r="D4" s="25">
        <v>0</v>
      </c>
      <c r="E4" s="26">
        <v>0</v>
      </c>
      <c r="F4" s="26">
        <v>0</v>
      </c>
      <c r="G4" s="25">
        <v>0</v>
      </c>
      <c r="H4" s="27">
        <v>4034.58</v>
      </c>
    </row>
    <row r="5" spans="1:9" x14ac:dyDescent="0.3">
      <c r="A5" s="12">
        <v>42738</v>
      </c>
      <c r="B5" s="25">
        <v>0</v>
      </c>
      <c r="C5" s="25">
        <v>10</v>
      </c>
      <c r="D5" s="25">
        <v>0</v>
      </c>
      <c r="E5" s="26">
        <v>0.18</v>
      </c>
      <c r="F5" s="26">
        <v>5</v>
      </c>
      <c r="G5" s="25">
        <v>0</v>
      </c>
      <c r="H5" s="27">
        <v>4034.58</v>
      </c>
    </row>
    <row r="6" spans="1:9" x14ac:dyDescent="0.3">
      <c r="A6" s="12">
        <v>42739</v>
      </c>
      <c r="B6" s="25">
        <v>0</v>
      </c>
      <c r="C6" s="25">
        <v>10</v>
      </c>
      <c r="D6" s="25">
        <v>0</v>
      </c>
      <c r="E6" s="26">
        <v>0.33</v>
      </c>
      <c r="F6" s="26">
        <v>12</v>
      </c>
      <c r="G6" s="25">
        <v>0</v>
      </c>
      <c r="H6" s="27">
        <v>4034.58</v>
      </c>
    </row>
    <row r="7" spans="1:9" x14ac:dyDescent="0.3">
      <c r="A7" s="12">
        <v>42740</v>
      </c>
      <c r="B7" s="25">
        <v>0</v>
      </c>
      <c r="C7" s="25">
        <v>10</v>
      </c>
      <c r="D7" s="25">
        <v>0</v>
      </c>
      <c r="E7" s="26">
        <v>0</v>
      </c>
      <c r="F7" s="26">
        <v>0</v>
      </c>
      <c r="G7" s="25">
        <v>0</v>
      </c>
      <c r="H7" s="27">
        <v>4034.6</v>
      </c>
    </row>
    <row r="8" spans="1:9" x14ac:dyDescent="0.3">
      <c r="A8" s="12">
        <v>42741</v>
      </c>
      <c r="B8" s="25">
        <v>0</v>
      </c>
      <c r="C8" s="25">
        <v>10</v>
      </c>
      <c r="D8" s="25">
        <v>0</v>
      </c>
      <c r="E8" s="14">
        <v>0</v>
      </c>
      <c r="F8" s="26">
        <v>0</v>
      </c>
      <c r="G8" s="25">
        <v>0</v>
      </c>
      <c r="H8" s="27">
        <v>4034.61</v>
      </c>
    </row>
    <row r="9" spans="1:9" x14ac:dyDescent="0.3">
      <c r="A9" s="12">
        <v>42742</v>
      </c>
      <c r="B9" s="25">
        <v>0</v>
      </c>
      <c r="C9" s="25">
        <v>10</v>
      </c>
      <c r="D9" s="25">
        <v>0</v>
      </c>
      <c r="E9" s="14">
        <v>0.05</v>
      </c>
      <c r="F9" s="26">
        <v>1</v>
      </c>
      <c r="G9" s="25">
        <v>0</v>
      </c>
      <c r="H9" s="27">
        <v>4034.62</v>
      </c>
    </row>
    <row r="10" spans="1:9" x14ac:dyDescent="0.3">
      <c r="A10" s="12">
        <v>42743</v>
      </c>
      <c r="B10" s="25">
        <v>0</v>
      </c>
      <c r="C10" s="25">
        <v>10</v>
      </c>
      <c r="D10" s="25">
        <v>0</v>
      </c>
      <c r="E10" s="14">
        <v>0.06</v>
      </c>
      <c r="F10" s="26">
        <v>0</v>
      </c>
      <c r="G10" s="25">
        <v>0</v>
      </c>
      <c r="H10" s="27">
        <v>4034.63</v>
      </c>
    </row>
    <row r="11" spans="1:9" x14ac:dyDescent="0.3">
      <c r="A11" s="12">
        <v>42744</v>
      </c>
      <c r="B11" s="25">
        <v>0</v>
      </c>
      <c r="C11" s="25">
        <v>10</v>
      </c>
      <c r="D11" s="25">
        <v>0</v>
      </c>
      <c r="E11" s="14">
        <v>0.03</v>
      </c>
      <c r="F11" s="26">
        <v>1</v>
      </c>
      <c r="G11" s="25">
        <v>58</v>
      </c>
      <c r="H11" s="27">
        <v>4034.65</v>
      </c>
      <c r="I11" t="s">
        <v>32</v>
      </c>
    </row>
    <row r="12" spans="1:9" x14ac:dyDescent="0.3">
      <c r="A12" s="12">
        <v>42745</v>
      </c>
      <c r="B12" s="25">
        <v>0</v>
      </c>
      <c r="C12" s="25">
        <v>28</v>
      </c>
      <c r="D12" s="25">
        <v>0</v>
      </c>
      <c r="E12" s="14">
        <v>0.16</v>
      </c>
      <c r="F12" s="26">
        <v>0</v>
      </c>
      <c r="G12" s="25">
        <v>260</v>
      </c>
      <c r="H12" s="27">
        <v>4034.67</v>
      </c>
      <c r="I12" t="s">
        <v>33</v>
      </c>
    </row>
    <row r="13" spans="1:9" x14ac:dyDescent="0.3">
      <c r="A13" s="12">
        <v>42746</v>
      </c>
      <c r="B13" s="25">
        <v>0</v>
      </c>
      <c r="C13" s="25">
        <v>50</v>
      </c>
      <c r="D13" s="25">
        <v>0</v>
      </c>
      <c r="E13" s="14">
        <v>0.18</v>
      </c>
      <c r="F13" s="26">
        <v>0</v>
      </c>
      <c r="G13" s="25">
        <v>318</v>
      </c>
      <c r="H13" s="27">
        <v>4034.68</v>
      </c>
    </row>
    <row r="14" spans="1:9" x14ac:dyDescent="0.3">
      <c r="A14" s="12">
        <v>42747</v>
      </c>
      <c r="B14" s="25">
        <v>0</v>
      </c>
      <c r="C14" s="25">
        <v>50</v>
      </c>
      <c r="D14" s="25">
        <v>0</v>
      </c>
      <c r="E14" s="14">
        <v>0</v>
      </c>
      <c r="F14" s="26">
        <v>0</v>
      </c>
      <c r="G14" s="25">
        <v>318</v>
      </c>
      <c r="H14" s="27">
        <v>4034.66</v>
      </c>
    </row>
    <row r="15" spans="1:9" x14ac:dyDescent="0.3">
      <c r="A15" s="12">
        <v>42748</v>
      </c>
      <c r="B15" s="25">
        <v>0</v>
      </c>
      <c r="C15" s="25">
        <v>50</v>
      </c>
      <c r="D15" s="25">
        <v>0</v>
      </c>
      <c r="E15" s="14">
        <v>0</v>
      </c>
      <c r="F15" s="26">
        <v>0</v>
      </c>
      <c r="G15" s="25" t="s">
        <v>34</v>
      </c>
      <c r="H15" s="27">
        <v>4034.65</v>
      </c>
      <c r="I15" t="s">
        <v>35</v>
      </c>
    </row>
    <row r="16" spans="1:9" x14ac:dyDescent="0.3">
      <c r="A16" s="12">
        <v>42749</v>
      </c>
      <c r="B16" s="25">
        <v>0</v>
      </c>
      <c r="C16" s="25">
        <v>50</v>
      </c>
      <c r="D16" s="25">
        <v>0</v>
      </c>
      <c r="E16" s="14">
        <v>0</v>
      </c>
      <c r="F16" s="26">
        <v>0</v>
      </c>
      <c r="G16" s="25">
        <v>160</v>
      </c>
      <c r="H16" s="27">
        <v>4034.64</v>
      </c>
    </row>
    <row r="17" spans="1:8" x14ac:dyDescent="0.3">
      <c r="A17" s="12">
        <v>42750</v>
      </c>
      <c r="B17" s="25">
        <v>0</v>
      </c>
      <c r="C17" s="25">
        <v>50</v>
      </c>
      <c r="D17" s="25">
        <v>0</v>
      </c>
      <c r="E17" s="14">
        <v>0</v>
      </c>
      <c r="F17" s="26">
        <v>0</v>
      </c>
      <c r="G17" s="25">
        <v>160</v>
      </c>
      <c r="H17" s="27">
        <v>4034.63</v>
      </c>
    </row>
    <row r="18" spans="1:8" x14ac:dyDescent="0.3">
      <c r="A18" s="12">
        <v>42751</v>
      </c>
      <c r="B18" s="25">
        <v>0</v>
      </c>
      <c r="C18" s="25">
        <v>50</v>
      </c>
      <c r="D18" s="25">
        <v>0</v>
      </c>
      <c r="E18" s="14">
        <v>0</v>
      </c>
      <c r="F18" s="26">
        <v>0</v>
      </c>
      <c r="G18" s="25">
        <v>160</v>
      </c>
      <c r="H18" s="15">
        <v>4034.62</v>
      </c>
    </row>
    <row r="19" spans="1:8" x14ac:dyDescent="0.3">
      <c r="A19" s="12">
        <v>42752</v>
      </c>
      <c r="B19" s="25">
        <v>0</v>
      </c>
      <c r="C19" s="25">
        <v>27</v>
      </c>
      <c r="D19" s="25">
        <v>0</v>
      </c>
      <c r="E19" s="14">
        <v>0</v>
      </c>
      <c r="F19" s="26">
        <v>0</v>
      </c>
      <c r="G19" s="25">
        <v>160</v>
      </c>
      <c r="H19" s="15">
        <v>4034.62</v>
      </c>
    </row>
    <row r="20" spans="1:8" x14ac:dyDescent="0.3">
      <c r="A20" s="12">
        <v>42753</v>
      </c>
      <c r="B20" s="25">
        <v>0</v>
      </c>
      <c r="C20" s="25">
        <v>10</v>
      </c>
      <c r="D20" s="25">
        <v>0</v>
      </c>
      <c r="E20" s="14">
        <v>0.05</v>
      </c>
      <c r="F20" s="26">
        <v>0</v>
      </c>
      <c r="G20" s="25">
        <v>160</v>
      </c>
      <c r="H20" s="15">
        <v>4034.62</v>
      </c>
    </row>
    <row r="21" spans="1:8" x14ac:dyDescent="0.3">
      <c r="A21" s="12">
        <v>42754</v>
      </c>
      <c r="B21" s="25">
        <v>0</v>
      </c>
      <c r="C21" s="25">
        <v>10</v>
      </c>
      <c r="D21" s="25">
        <v>0</v>
      </c>
      <c r="E21" s="14">
        <v>0.03</v>
      </c>
      <c r="F21" s="26" t="s">
        <v>31</v>
      </c>
      <c r="G21" s="25">
        <v>160</v>
      </c>
      <c r="H21" s="15">
        <v>4034.62</v>
      </c>
    </row>
    <row r="22" spans="1:8" x14ac:dyDescent="0.3">
      <c r="A22" s="12">
        <v>42755</v>
      </c>
      <c r="B22" s="25">
        <v>0</v>
      </c>
      <c r="C22" s="25">
        <v>10</v>
      </c>
      <c r="D22" s="25">
        <v>0</v>
      </c>
      <c r="E22" s="14">
        <v>0.01</v>
      </c>
      <c r="F22" s="26">
        <v>0</v>
      </c>
      <c r="G22" s="25">
        <v>160</v>
      </c>
      <c r="H22" s="15">
        <v>4034.61</v>
      </c>
    </row>
    <row r="23" spans="1:8" x14ac:dyDescent="0.3">
      <c r="A23" s="12">
        <v>42756</v>
      </c>
      <c r="B23" s="25">
        <v>0</v>
      </c>
      <c r="C23" s="13">
        <v>10</v>
      </c>
      <c r="D23" s="25">
        <v>0</v>
      </c>
      <c r="E23" s="14">
        <v>0</v>
      </c>
      <c r="F23" s="14">
        <v>0</v>
      </c>
      <c r="G23" s="25">
        <v>160</v>
      </c>
      <c r="H23" s="15">
        <v>4034.61</v>
      </c>
    </row>
    <row r="24" spans="1:8" x14ac:dyDescent="0.3">
      <c r="A24" s="12">
        <v>42757</v>
      </c>
      <c r="B24" s="25">
        <v>0</v>
      </c>
      <c r="C24" s="13">
        <v>10</v>
      </c>
      <c r="D24" s="25">
        <v>0</v>
      </c>
      <c r="E24" s="14">
        <v>0.05</v>
      </c>
      <c r="F24" s="107">
        <v>2</v>
      </c>
      <c r="G24" s="25">
        <v>160</v>
      </c>
      <c r="H24" s="15">
        <v>4034.6</v>
      </c>
    </row>
    <row r="25" spans="1:8" x14ac:dyDescent="0.3">
      <c r="A25" s="12">
        <v>42758</v>
      </c>
      <c r="B25" s="25">
        <v>0</v>
      </c>
      <c r="C25" s="106">
        <v>28</v>
      </c>
      <c r="D25" s="25">
        <v>0</v>
      </c>
      <c r="E25" s="14">
        <v>0.01</v>
      </c>
      <c r="F25" s="107" t="s">
        <v>31</v>
      </c>
      <c r="G25" s="25">
        <v>160</v>
      </c>
      <c r="H25" s="15">
        <v>4034.6</v>
      </c>
    </row>
    <row r="26" spans="1:8" x14ac:dyDescent="0.3">
      <c r="A26" s="12">
        <v>42759</v>
      </c>
      <c r="B26" s="25">
        <v>0</v>
      </c>
      <c r="C26" s="13">
        <v>50</v>
      </c>
      <c r="D26" s="25">
        <v>0</v>
      </c>
      <c r="E26" s="107" t="s">
        <v>31</v>
      </c>
      <c r="F26" s="14">
        <v>0</v>
      </c>
      <c r="G26" s="25">
        <v>160</v>
      </c>
      <c r="H26" s="15">
        <v>4034.6</v>
      </c>
    </row>
    <row r="27" spans="1:8" x14ac:dyDescent="0.3">
      <c r="A27" s="12">
        <v>42760</v>
      </c>
      <c r="B27" s="25">
        <v>0</v>
      </c>
      <c r="C27" s="13">
        <v>50</v>
      </c>
      <c r="D27" s="25">
        <v>0</v>
      </c>
      <c r="E27" s="14">
        <v>0</v>
      </c>
      <c r="F27" s="14">
        <v>0</v>
      </c>
      <c r="G27" s="25">
        <v>160</v>
      </c>
      <c r="H27" s="15">
        <v>4034.6</v>
      </c>
    </row>
    <row r="28" spans="1:8" x14ac:dyDescent="0.3">
      <c r="A28" s="12">
        <v>42761</v>
      </c>
      <c r="B28" s="25">
        <v>0</v>
      </c>
      <c r="C28" s="13">
        <v>31</v>
      </c>
      <c r="D28" s="25">
        <v>0</v>
      </c>
      <c r="E28" s="107">
        <v>0.01</v>
      </c>
      <c r="F28" s="14">
        <v>0</v>
      </c>
      <c r="G28" s="25">
        <v>160</v>
      </c>
      <c r="H28" s="15">
        <v>4034.59</v>
      </c>
    </row>
    <row r="29" spans="1:8" x14ac:dyDescent="0.3">
      <c r="A29" s="12">
        <v>42762</v>
      </c>
      <c r="B29" s="25">
        <v>0</v>
      </c>
      <c r="C29" s="13">
        <v>20</v>
      </c>
      <c r="D29" s="25">
        <v>0</v>
      </c>
      <c r="E29" s="14">
        <v>0.01</v>
      </c>
      <c r="F29" s="14">
        <v>0</v>
      </c>
      <c r="G29" s="25">
        <v>160</v>
      </c>
      <c r="H29" s="15">
        <v>4034.59</v>
      </c>
    </row>
    <row r="30" spans="1:8" x14ac:dyDescent="0.3">
      <c r="A30" s="12">
        <v>42763</v>
      </c>
      <c r="B30" s="25">
        <v>0</v>
      </c>
      <c r="C30" s="13">
        <v>20</v>
      </c>
      <c r="D30" s="25">
        <v>0</v>
      </c>
      <c r="E30" s="14">
        <v>0</v>
      </c>
      <c r="F30" s="14">
        <v>0</v>
      </c>
      <c r="G30" s="25">
        <v>160</v>
      </c>
      <c r="H30" s="15">
        <v>4034.58</v>
      </c>
    </row>
    <row r="31" spans="1:8" x14ac:dyDescent="0.3">
      <c r="A31" s="12">
        <v>42764</v>
      </c>
      <c r="B31" s="25">
        <v>0</v>
      </c>
      <c r="C31" s="13">
        <v>20</v>
      </c>
      <c r="D31" s="25">
        <v>0</v>
      </c>
      <c r="E31" s="14">
        <v>0</v>
      </c>
      <c r="F31" s="14">
        <v>0</v>
      </c>
      <c r="G31" s="25">
        <v>160</v>
      </c>
      <c r="H31" s="15">
        <v>4034.57</v>
      </c>
    </row>
    <row r="32" spans="1:8" x14ac:dyDescent="0.3">
      <c r="A32" s="12">
        <v>42765</v>
      </c>
      <c r="B32" s="25">
        <v>0</v>
      </c>
      <c r="C32" s="13">
        <v>20</v>
      </c>
      <c r="D32" s="25">
        <v>0</v>
      </c>
      <c r="E32" s="14">
        <v>0</v>
      </c>
      <c r="F32" s="14">
        <v>0</v>
      </c>
      <c r="G32" s="25">
        <v>160</v>
      </c>
      <c r="H32" s="15">
        <v>4034.56</v>
      </c>
    </row>
    <row r="33" spans="1:15" ht="15" thickBot="1" x14ac:dyDescent="0.35">
      <c r="A33" s="12">
        <v>42766</v>
      </c>
      <c r="B33" s="25">
        <v>0</v>
      </c>
      <c r="C33" s="13">
        <v>38</v>
      </c>
      <c r="D33" s="25">
        <v>0</v>
      </c>
      <c r="E33" s="14">
        <v>0</v>
      </c>
      <c r="F33" s="14">
        <v>0</v>
      </c>
      <c r="G33" s="25">
        <v>160</v>
      </c>
      <c r="H33" s="15">
        <v>4034.55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778</v>
      </c>
      <c r="D34" s="17">
        <f t="shared" si="0"/>
        <v>0</v>
      </c>
      <c r="E34" s="18">
        <f t="shared" si="0"/>
        <v>1.1800000000000004</v>
      </c>
      <c r="F34" s="18">
        <f t="shared" si="0"/>
        <v>23</v>
      </c>
      <c r="G34" s="17">
        <f t="shared" si="0"/>
        <v>3834</v>
      </c>
      <c r="H34" s="18"/>
    </row>
    <row r="35" spans="1:15" s="11" customFormat="1" x14ac:dyDescent="0.3">
      <c r="A35" s="19" t="s">
        <v>9</v>
      </c>
      <c r="B35" s="20">
        <f>SUM(B34+'Dec 2016'!B35)</f>
        <v>409</v>
      </c>
      <c r="C35" s="20">
        <f>SUM(C34+'Dec 2016'!C35)</f>
        <v>4558</v>
      </c>
      <c r="D35" s="20">
        <f>SUM(D34+'Dec 2016'!D35)</f>
        <v>2909</v>
      </c>
      <c r="E35" s="21">
        <f>SUM(E34+'Dec 2016'!E35)</f>
        <v>4.4990000000000006</v>
      </c>
      <c r="F35" s="21">
        <f>SUM(F34+'Dec 2016'!F35)</f>
        <v>23.1</v>
      </c>
      <c r="G35" s="20">
        <f>SUM(G34+'Dec 2016'!G35)</f>
        <v>15620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1543.163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SUM(B37+'Dec 2016'!B39)</f>
        <v>811.25150000000008</v>
      </c>
      <c r="C39" s="23">
        <f>SUM(C37+'Dec 2016'!C39)</f>
        <v>9040.7929999999997</v>
      </c>
      <c r="D39" s="23">
        <f>SUM(D37+'Dec 2016'!D39)</f>
        <v>5770.0015000000003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ySplit="2" topLeftCell="A12" activePane="bottomLeft" state="frozen"/>
      <selection pane="bottomLeft" activeCell="G33" sqref="G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42705</v>
      </c>
      <c r="B3" s="25">
        <v>0</v>
      </c>
      <c r="C3" s="25">
        <v>40</v>
      </c>
      <c r="D3" s="25">
        <v>0</v>
      </c>
      <c r="E3" s="26">
        <v>0</v>
      </c>
      <c r="F3" s="26">
        <v>0</v>
      </c>
      <c r="G3" s="25">
        <v>0</v>
      </c>
      <c r="H3" s="27">
        <v>4034.34</v>
      </c>
    </row>
    <row r="4" spans="1:9" x14ac:dyDescent="0.3">
      <c r="A4" s="12">
        <v>42706</v>
      </c>
      <c r="B4" s="25">
        <v>0</v>
      </c>
      <c r="C4" s="25">
        <v>40</v>
      </c>
      <c r="D4" s="25">
        <v>0</v>
      </c>
      <c r="E4" s="26">
        <v>0</v>
      </c>
      <c r="F4" s="26">
        <v>0</v>
      </c>
      <c r="G4" s="25">
        <v>0</v>
      </c>
      <c r="H4" s="27">
        <v>4034.34</v>
      </c>
    </row>
    <row r="5" spans="1:9" x14ac:dyDescent="0.3">
      <c r="A5" s="12">
        <v>42707</v>
      </c>
      <c r="B5" s="25">
        <v>0</v>
      </c>
      <c r="C5" s="25">
        <v>40</v>
      </c>
      <c r="D5" s="25">
        <v>0</v>
      </c>
      <c r="E5" s="26">
        <v>0</v>
      </c>
      <c r="F5" s="26">
        <v>0</v>
      </c>
      <c r="G5" s="25">
        <v>0</v>
      </c>
      <c r="H5" s="27">
        <v>4034.34</v>
      </c>
    </row>
    <row r="6" spans="1:9" x14ac:dyDescent="0.3">
      <c r="A6" s="12">
        <v>42708</v>
      </c>
      <c r="B6" s="25">
        <v>0</v>
      </c>
      <c r="C6" s="25">
        <v>40</v>
      </c>
      <c r="D6" s="25">
        <v>0</v>
      </c>
      <c r="E6" s="26">
        <v>0.01</v>
      </c>
      <c r="F6" s="26">
        <v>0</v>
      </c>
      <c r="G6" s="25">
        <v>0</v>
      </c>
      <c r="H6" s="27">
        <v>4034.34</v>
      </c>
    </row>
    <row r="7" spans="1:9" x14ac:dyDescent="0.3">
      <c r="A7" s="12">
        <v>42709</v>
      </c>
      <c r="B7" s="25">
        <v>0</v>
      </c>
      <c r="C7" s="25">
        <v>40</v>
      </c>
      <c r="D7" s="25">
        <v>0</v>
      </c>
      <c r="E7" s="26">
        <v>0.02</v>
      </c>
      <c r="F7" s="26">
        <v>0</v>
      </c>
      <c r="G7" s="25">
        <v>0</v>
      </c>
      <c r="H7" s="27">
        <v>4034.34</v>
      </c>
    </row>
    <row r="8" spans="1:9" x14ac:dyDescent="0.3">
      <c r="A8" s="12">
        <v>42710</v>
      </c>
      <c r="B8" s="25">
        <v>0</v>
      </c>
      <c r="C8" s="25">
        <v>40</v>
      </c>
      <c r="D8" s="25">
        <v>0</v>
      </c>
      <c r="E8" s="26">
        <v>0.12</v>
      </c>
      <c r="F8" s="26">
        <v>0</v>
      </c>
      <c r="G8" s="25">
        <v>0</v>
      </c>
      <c r="H8" s="27">
        <v>4034.35</v>
      </c>
    </row>
    <row r="9" spans="1:9" x14ac:dyDescent="0.3">
      <c r="A9" s="12">
        <v>42711</v>
      </c>
      <c r="B9" s="25">
        <v>0</v>
      </c>
      <c r="C9" s="25">
        <v>40</v>
      </c>
      <c r="D9" s="25">
        <v>0</v>
      </c>
      <c r="E9" s="26">
        <v>0</v>
      </c>
      <c r="F9" s="26">
        <v>0</v>
      </c>
      <c r="G9" s="25">
        <v>0</v>
      </c>
      <c r="H9" s="27">
        <v>4034.35</v>
      </c>
    </row>
    <row r="10" spans="1:9" x14ac:dyDescent="0.3">
      <c r="A10" s="12">
        <v>42712</v>
      </c>
      <c r="B10" s="25">
        <v>0</v>
      </c>
      <c r="C10" s="25">
        <v>40</v>
      </c>
      <c r="D10" s="25">
        <v>0</v>
      </c>
      <c r="E10" s="26">
        <v>0.11</v>
      </c>
      <c r="F10" s="26">
        <v>0</v>
      </c>
      <c r="G10" s="25">
        <v>0</v>
      </c>
      <c r="H10" s="27">
        <v>4034.4</v>
      </c>
    </row>
    <row r="11" spans="1:9" x14ac:dyDescent="0.3">
      <c r="A11" s="12">
        <v>42713</v>
      </c>
      <c r="B11" s="25">
        <v>0</v>
      </c>
      <c r="C11" s="25">
        <v>40</v>
      </c>
      <c r="D11" s="25">
        <v>0</v>
      </c>
      <c r="E11" s="26">
        <v>0</v>
      </c>
      <c r="F11" s="26">
        <v>0</v>
      </c>
      <c r="G11" s="25">
        <v>0</v>
      </c>
      <c r="H11" s="27">
        <v>4034.4</v>
      </c>
    </row>
    <row r="12" spans="1:9" x14ac:dyDescent="0.3">
      <c r="A12" s="12">
        <v>42714</v>
      </c>
      <c r="B12" s="25">
        <v>0</v>
      </c>
      <c r="C12" s="25">
        <v>40</v>
      </c>
      <c r="D12" s="25">
        <v>0</v>
      </c>
      <c r="E12" s="26">
        <v>0.26900000000000002</v>
      </c>
      <c r="F12" s="26">
        <v>0</v>
      </c>
      <c r="G12" s="25">
        <v>0</v>
      </c>
      <c r="H12" s="27">
        <v>4034.4</v>
      </c>
    </row>
    <row r="13" spans="1:9" x14ac:dyDescent="0.3">
      <c r="A13" s="12">
        <v>42715</v>
      </c>
      <c r="B13" s="25">
        <v>0</v>
      </c>
      <c r="C13" s="25">
        <v>40</v>
      </c>
      <c r="D13" s="25">
        <v>0</v>
      </c>
      <c r="E13" s="26" t="s">
        <v>31</v>
      </c>
      <c r="F13" s="26">
        <v>0</v>
      </c>
      <c r="G13" s="25">
        <v>0</v>
      </c>
      <c r="H13" s="27">
        <v>4034.4</v>
      </c>
    </row>
    <row r="14" spans="1:9" x14ac:dyDescent="0.3">
      <c r="A14" s="12">
        <v>42716</v>
      </c>
      <c r="B14" s="25">
        <v>0</v>
      </c>
      <c r="C14" s="25">
        <v>40</v>
      </c>
      <c r="D14" s="25">
        <v>0</v>
      </c>
      <c r="E14" s="26" t="s">
        <v>31</v>
      </c>
      <c r="F14" s="26">
        <v>0</v>
      </c>
      <c r="G14" s="25">
        <v>0</v>
      </c>
      <c r="H14" s="27">
        <v>4034.42</v>
      </c>
    </row>
    <row r="15" spans="1:9" x14ac:dyDescent="0.3">
      <c r="A15" s="12">
        <v>42717</v>
      </c>
      <c r="B15" s="25">
        <v>0</v>
      </c>
      <c r="C15" s="25">
        <v>40</v>
      </c>
      <c r="D15" s="25">
        <v>0</v>
      </c>
      <c r="E15" s="26" t="s">
        <v>31</v>
      </c>
      <c r="F15" s="26">
        <v>0</v>
      </c>
      <c r="G15" s="25">
        <v>0</v>
      </c>
      <c r="H15" s="27">
        <v>4034.44</v>
      </c>
    </row>
    <row r="16" spans="1:9" x14ac:dyDescent="0.3">
      <c r="A16" s="12">
        <v>42718</v>
      </c>
      <c r="B16" s="25">
        <v>0</v>
      </c>
      <c r="C16" s="25">
        <v>40</v>
      </c>
      <c r="D16" s="25">
        <v>0</v>
      </c>
      <c r="E16" s="26">
        <v>0.31</v>
      </c>
      <c r="F16" s="26">
        <v>0</v>
      </c>
      <c r="G16" s="25">
        <v>0</v>
      </c>
      <c r="H16" s="27">
        <v>4034.45</v>
      </c>
    </row>
    <row r="17" spans="1:8" x14ac:dyDescent="0.3">
      <c r="A17" s="12">
        <v>42719</v>
      </c>
      <c r="B17" s="25">
        <v>0</v>
      </c>
      <c r="C17" s="25">
        <v>40</v>
      </c>
      <c r="D17" s="25">
        <v>0</v>
      </c>
      <c r="E17" s="26">
        <v>0.47</v>
      </c>
      <c r="F17" s="26">
        <v>0</v>
      </c>
      <c r="G17" s="25">
        <v>0</v>
      </c>
      <c r="H17" s="27">
        <v>4034.48</v>
      </c>
    </row>
    <row r="18" spans="1:8" x14ac:dyDescent="0.3">
      <c r="A18" s="12">
        <v>42720</v>
      </c>
      <c r="B18" s="25">
        <v>0</v>
      </c>
      <c r="C18" s="25">
        <v>43</v>
      </c>
      <c r="D18" s="25">
        <v>0</v>
      </c>
      <c r="E18" s="26">
        <v>0.02</v>
      </c>
      <c r="F18" s="26">
        <v>0</v>
      </c>
      <c r="G18" s="25">
        <v>0</v>
      </c>
      <c r="H18" s="27">
        <v>4034.5</v>
      </c>
    </row>
    <row r="19" spans="1:8" x14ac:dyDescent="0.3">
      <c r="A19" s="12">
        <v>42721</v>
      </c>
      <c r="B19" s="25">
        <v>0</v>
      </c>
      <c r="C19" s="25">
        <v>50</v>
      </c>
      <c r="D19" s="25">
        <v>0</v>
      </c>
      <c r="E19" s="26">
        <v>0</v>
      </c>
      <c r="F19" s="26">
        <v>0</v>
      </c>
      <c r="G19" s="25">
        <v>0</v>
      </c>
      <c r="H19" s="27">
        <v>4034.52</v>
      </c>
    </row>
    <row r="20" spans="1:8" x14ac:dyDescent="0.3">
      <c r="A20" s="12">
        <v>42722</v>
      </c>
      <c r="B20" s="25">
        <v>0</v>
      </c>
      <c r="C20" s="25">
        <v>50</v>
      </c>
      <c r="D20" s="25">
        <v>0</v>
      </c>
      <c r="E20" s="26">
        <v>0</v>
      </c>
      <c r="F20" s="26">
        <v>0</v>
      </c>
      <c r="G20" s="25">
        <v>0</v>
      </c>
      <c r="H20" s="27">
        <v>4034.55</v>
      </c>
    </row>
    <row r="21" spans="1:8" x14ac:dyDescent="0.3">
      <c r="A21" s="12">
        <v>42723</v>
      </c>
      <c r="B21" s="25">
        <v>0</v>
      </c>
      <c r="C21" s="25">
        <v>50</v>
      </c>
      <c r="D21" s="25">
        <v>0</v>
      </c>
      <c r="E21" s="26">
        <v>0</v>
      </c>
      <c r="F21" s="26">
        <v>0</v>
      </c>
      <c r="G21" s="25">
        <v>0</v>
      </c>
      <c r="H21" s="27">
        <v>4034.58</v>
      </c>
    </row>
    <row r="22" spans="1:8" x14ac:dyDescent="0.3">
      <c r="A22" s="12">
        <v>42724</v>
      </c>
      <c r="B22" s="25">
        <v>0</v>
      </c>
      <c r="C22" s="25">
        <v>50</v>
      </c>
      <c r="D22" s="25">
        <v>0</v>
      </c>
      <c r="E22" s="26">
        <v>0</v>
      </c>
      <c r="F22" s="26">
        <v>0</v>
      </c>
      <c r="G22" s="25">
        <v>0</v>
      </c>
      <c r="H22" s="27">
        <v>4034.58</v>
      </c>
    </row>
    <row r="23" spans="1:8" x14ac:dyDescent="0.3">
      <c r="A23" s="12">
        <v>42725</v>
      </c>
      <c r="B23" s="25">
        <v>0</v>
      </c>
      <c r="C23" s="25">
        <v>30</v>
      </c>
      <c r="D23" s="25">
        <v>0</v>
      </c>
      <c r="E23" s="26">
        <v>0</v>
      </c>
      <c r="F23" s="26">
        <v>0</v>
      </c>
      <c r="G23" s="25">
        <v>0</v>
      </c>
      <c r="H23" s="27">
        <v>4034.6</v>
      </c>
    </row>
    <row r="24" spans="1:8" x14ac:dyDescent="0.3">
      <c r="A24" s="12">
        <v>42726</v>
      </c>
      <c r="B24" s="25">
        <v>0</v>
      </c>
      <c r="C24" s="25">
        <v>20</v>
      </c>
      <c r="D24" s="25">
        <v>0</v>
      </c>
      <c r="E24" s="26">
        <v>0</v>
      </c>
      <c r="F24" s="26">
        <v>0</v>
      </c>
      <c r="G24" s="25">
        <v>0</v>
      </c>
      <c r="H24" s="27">
        <v>4034.58</v>
      </c>
    </row>
    <row r="25" spans="1:8" x14ac:dyDescent="0.3">
      <c r="A25" s="12">
        <v>42727</v>
      </c>
      <c r="B25" s="25">
        <v>0</v>
      </c>
      <c r="C25" s="25">
        <v>20</v>
      </c>
      <c r="D25" s="25">
        <v>0</v>
      </c>
      <c r="E25" s="26">
        <v>0.01</v>
      </c>
      <c r="F25" s="26">
        <v>0</v>
      </c>
      <c r="G25" s="25">
        <v>0</v>
      </c>
      <c r="H25" s="27">
        <v>4034.58</v>
      </c>
    </row>
    <row r="26" spans="1:8" x14ac:dyDescent="0.3">
      <c r="A26" s="12">
        <v>42728</v>
      </c>
      <c r="B26" s="25">
        <v>0</v>
      </c>
      <c r="C26" s="25">
        <v>20</v>
      </c>
      <c r="D26" s="25">
        <v>0</v>
      </c>
      <c r="E26" s="26">
        <v>0.02</v>
      </c>
      <c r="F26" s="26">
        <v>0.1</v>
      </c>
      <c r="G26" s="25">
        <v>0</v>
      </c>
      <c r="H26" s="27">
        <v>4034.58</v>
      </c>
    </row>
    <row r="27" spans="1:8" x14ac:dyDescent="0.3">
      <c r="A27" s="12">
        <v>42729</v>
      </c>
      <c r="B27" s="25">
        <v>0</v>
      </c>
      <c r="C27" s="25">
        <v>20</v>
      </c>
      <c r="D27" s="25">
        <v>0</v>
      </c>
      <c r="E27" s="26">
        <v>0</v>
      </c>
      <c r="F27" s="26">
        <v>0</v>
      </c>
      <c r="G27" s="25">
        <v>0</v>
      </c>
      <c r="H27" s="27">
        <v>4034.58</v>
      </c>
    </row>
    <row r="28" spans="1:8" x14ac:dyDescent="0.3">
      <c r="A28" s="12">
        <v>42730</v>
      </c>
      <c r="B28" s="25">
        <v>0</v>
      </c>
      <c r="C28" s="25">
        <v>20</v>
      </c>
      <c r="D28" s="25">
        <v>0</v>
      </c>
      <c r="E28" s="26">
        <v>0.01</v>
      </c>
      <c r="F28" s="26">
        <v>0</v>
      </c>
      <c r="G28" s="25">
        <v>0</v>
      </c>
      <c r="H28" s="27">
        <v>4034.58</v>
      </c>
    </row>
    <row r="29" spans="1:8" x14ac:dyDescent="0.3">
      <c r="A29" s="12">
        <v>42731</v>
      </c>
      <c r="B29" s="25">
        <v>0</v>
      </c>
      <c r="C29" s="25">
        <v>20</v>
      </c>
      <c r="D29" s="25">
        <v>0</v>
      </c>
      <c r="E29" s="26">
        <v>0</v>
      </c>
      <c r="F29" s="26">
        <v>0</v>
      </c>
      <c r="G29" s="25">
        <v>0</v>
      </c>
      <c r="H29" s="27">
        <v>4034.58</v>
      </c>
    </row>
    <row r="30" spans="1:8" x14ac:dyDescent="0.3">
      <c r="A30" s="12">
        <v>42732</v>
      </c>
      <c r="B30" s="25">
        <v>0</v>
      </c>
      <c r="C30" s="25">
        <v>20</v>
      </c>
      <c r="D30" s="25">
        <v>0</v>
      </c>
      <c r="E30" s="26">
        <v>0.01</v>
      </c>
      <c r="F30" s="26">
        <v>0</v>
      </c>
      <c r="G30" s="25">
        <v>0</v>
      </c>
      <c r="H30" s="27">
        <v>4034.58</v>
      </c>
    </row>
    <row r="31" spans="1:8" x14ac:dyDescent="0.3">
      <c r="A31" s="12">
        <v>42733</v>
      </c>
      <c r="B31" s="25">
        <v>0</v>
      </c>
      <c r="C31" s="25">
        <v>20</v>
      </c>
      <c r="D31" s="25">
        <v>0</v>
      </c>
      <c r="E31" s="26" t="s">
        <v>31</v>
      </c>
      <c r="F31" s="26">
        <v>0</v>
      </c>
      <c r="G31" s="25">
        <v>0</v>
      </c>
      <c r="H31" s="27">
        <v>4034.58</v>
      </c>
    </row>
    <row r="32" spans="1:8" x14ac:dyDescent="0.3">
      <c r="A32" s="12">
        <v>42734</v>
      </c>
      <c r="B32" s="25">
        <v>0</v>
      </c>
      <c r="C32" s="25">
        <v>20</v>
      </c>
      <c r="D32" s="25">
        <v>0</v>
      </c>
      <c r="E32" s="26">
        <v>0</v>
      </c>
      <c r="F32" s="26">
        <v>0</v>
      </c>
      <c r="G32" s="25">
        <v>0</v>
      </c>
      <c r="H32" s="27">
        <v>4034.58</v>
      </c>
    </row>
    <row r="33" spans="1:15" ht="15" thickBot="1" x14ac:dyDescent="0.35">
      <c r="A33" s="12">
        <v>42735</v>
      </c>
      <c r="B33" s="25">
        <v>0</v>
      </c>
      <c r="C33" s="25">
        <v>20</v>
      </c>
      <c r="D33" s="25">
        <v>0</v>
      </c>
      <c r="E33" s="88" t="s">
        <v>31</v>
      </c>
      <c r="F33" s="26" t="s">
        <v>31</v>
      </c>
      <c r="G33" s="25">
        <v>0</v>
      </c>
      <c r="H33" s="27">
        <v>4034.58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1073</v>
      </c>
      <c r="D34" s="17">
        <f t="shared" si="0"/>
        <v>0</v>
      </c>
      <c r="E34" s="18">
        <f t="shared" si="0"/>
        <v>1.379</v>
      </c>
      <c r="F34" s="18">
        <f t="shared" si="0"/>
        <v>0.1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SUM(B34+'Nov 2016'!B34)</f>
        <v>409</v>
      </c>
      <c r="C35" s="20">
        <f>SUM(C34+'Nov 2016'!C34)</f>
        <v>3780</v>
      </c>
      <c r="D35" s="20">
        <f>SUM(D34+'Nov 2016'!D34)</f>
        <v>2909</v>
      </c>
      <c r="E35" s="21">
        <f>SUM(E34+'Nov 2016'!E34)</f>
        <v>3.319</v>
      </c>
      <c r="F35" s="21">
        <f>SUM(F34+'Nov 2016'!F34)</f>
        <v>0.1</v>
      </c>
      <c r="G35" s="20">
        <f>SUM(G34+'Nov 2016'!G34)</f>
        <v>11786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2128.2955000000002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SUM('Nov 2016'!B38+B37)</f>
        <v>811.25150000000008</v>
      </c>
      <c r="C39" s="23">
        <f>SUM('Nov 2016'!C38+C37)</f>
        <v>7497.63</v>
      </c>
      <c r="D39" s="23">
        <f>SUM('Nov 2016'!D38+D37)</f>
        <v>5770.0015000000003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x14ac:dyDescent="0.3">
      <c r="A56" s="67"/>
      <c r="B56" s="68"/>
      <c r="C56" s="69"/>
      <c r="D56" s="61"/>
      <c r="E56" s="72"/>
      <c r="F56" s="71"/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opLeftCell="A4" workbookViewId="0">
      <selection activeCell="I22" sqref="I22"/>
    </sheetView>
  </sheetViews>
  <sheetFormatPr defaultRowHeight="14.4" x14ac:dyDescent="0.3"/>
  <cols>
    <col min="1" max="1" width="13.5546875" style="2" bestFit="1" customWidth="1"/>
    <col min="2" max="4" width="11.6640625" style="6" customWidth="1"/>
    <col min="5" max="6" width="11.6640625" customWidth="1"/>
    <col min="7" max="7" width="11.6640625" style="6" customWidth="1"/>
    <col min="8" max="8" width="11.6640625" customWidth="1"/>
    <col min="9" max="9" width="29" bestFit="1" customWidth="1"/>
  </cols>
  <sheetData>
    <row r="1" spans="1:9" s="1" customFormat="1" ht="28.8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3">
      <c r="A3" s="12">
        <v>42675</v>
      </c>
      <c r="B3" s="89">
        <v>45</v>
      </c>
      <c r="C3" s="89">
        <v>106</v>
      </c>
      <c r="D3" s="89">
        <v>36</v>
      </c>
      <c r="E3" s="26">
        <v>0.01</v>
      </c>
      <c r="F3" s="26">
        <v>0</v>
      </c>
      <c r="G3" s="89">
        <v>318</v>
      </c>
      <c r="H3" s="26">
        <v>4034.72</v>
      </c>
    </row>
    <row r="4" spans="1:9" x14ac:dyDescent="0.3">
      <c r="A4" s="12">
        <v>42676</v>
      </c>
      <c r="B4" s="89">
        <v>18</v>
      </c>
      <c r="C4" s="89">
        <v>100</v>
      </c>
      <c r="D4" s="89">
        <v>39</v>
      </c>
      <c r="E4" s="26">
        <v>0</v>
      </c>
      <c r="F4" s="26">
        <v>0</v>
      </c>
      <c r="G4" s="89">
        <v>318</v>
      </c>
      <c r="H4" s="26">
        <v>4034.72</v>
      </c>
    </row>
    <row r="5" spans="1:9" x14ac:dyDescent="0.3">
      <c r="A5" s="12">
        <v>42677</v>
      </c>
      <c r="B5" s="89">
        <v>0</v>
      </c>
      <c r="C5" s="89">
        <v>100</v>
      </c>
      <c r="D5" s="89">
        <v>38</v>
      </c>
      <c r="E5" s="26">
        <v>0</v>
      </c>
      <c r="F5" s="26">
        <v>0</v>
      </c>
      <c r="G5" s="89">
        <v>318</v>
      </c>
      <c r="H5" s="26">
        <v>4034.71</v>
      </c>
    </row>
    <row r="6" spans="1:9" x14ac:dyDescent="0.3">
      <c r="A6" s="12">
        <v>42678</v>
      </c>
      <c r="B6" s="89">
        <v>0</v>
      </c>
      <c r="C6" s="89">
        <v>71</v>
      </c>
      <c r="D6" s="89">
        <v>36</v>
      </c>
      <c r="E6" s="26">
        <v>0</v>
      </c>
      <c r="F6" s="26">
        <v>0</v>
      </c>
      <c r="G6" s="89">
        <v>318</v>
      </c>
      <c r="H6" s="26">
        <v>4034.7</v>
      </c>
    </row>
    <row r="7" spans="1:9" x14ac:dyDescent="0.3">
      <c r="A7" s="12">
        <v>42679</v>
      </c>
      <c r="B7" s="89">
        <v>0</v>
      </c>
      <c r="C7" s="89">
        <v>50</v>
      </c>
      <c r="D7" s="89">
        <v>37</v>
      </c>
      <c r="E7" s="26">
        <v>0</v>
      </c>
      <c r="F7" s="26">
        <v>0</v>
      </c>
      <c r="G7" s="89">
        <v>160</v>
      </c>
      <c r="H7" s="26">
        <v>4034.68</v>
      </c>
    </row>
    <row r="8" spans="1:9" x14ac:dyDescent="0.3">
      <c r="A8" s="12">
        <v>42680</v>
      </c>
      <c r="B8" s="89">
        <v>0</v>
      </c>
      <c r="C8" s="89">
        <v>50</v>
      </c>
      <c r="D8" s="89">
        <v>40</v>
      </c>
      <c r="E8" s="26">
        <v>0.01</v>
      </c>
      <c r="F8" s="26">
        <v>0</v>
      </c>
      <c r="G8" s="89">
        <v>160</v>
      </c>
      <c r="H8" s="26">
        <v>4034.67</v>
      </c>
    </row>
    <row r="9" spans="1:9" x14ac:dyDescent="0.3">
      <c r="A9" s="12">
        <v>42681</v>
      </c>
      <c r="B9" s="89">
        <v>0</v>
      </c>
      <c r="C9" s="89">
        <v>23</v>
      </c>
      <c r="D9" s="89">
        <v>64</v>
      </c>
      <c r="E9" s="26">
        <v>0</v>
      </c>
      <c r="F9" s="26">
        <v>0</v>
      </c>
      <c r="G9" s="89">
        <v>259</v>
      </c>
      <c r="H9" s="26">
        <v>4034.65</v>
      </c>
    </row>
    <row r="10" spans="1:9" x14ac:dyDescent="0.3">
      <c r="A10" s="12">
        <v>42682</v>
      </c>
      <c r="B10" s="89">
        <v>0</v>
      </c>
      <c r="C10" s="89">
        <v>0</v>
      </c>
      <c r="D10" s="89">
        <v>77</v>
      </c>
      <c r="E10" s="26">
        <v>0</v>
      </c>
      <c r="F10" s="26">
        <v>0</v>
      </c>
      <c r="G10" s="89">
        <v>318</v>
      </c>
      <c r="H10" s="26">
        <v>4034.63</v>
      </c>
    </row>
    <row r="11" spans="1:9" x14ac:dyDescent="0.3">
      <c r="A11" s="12">
        <v>42683</v>
      </c>
      <c r="B11" s="89">
        <v>0</v>
      </c>
      <c r="C11" s="89">
        <v>0</v>
      </c>
      <c r="D11" s="89">
        <v>68</v>
      </c>
      <c r="E11" s="26">
        <v>0</v>
      </c>
      <c r="F11" s="26">
        <v>0</v>
      </c>
      <c r="G11" s="89">
        <v>318</v>
      </c>
      <c r="H11" s="26">
        <v>4034.61</v>
      </c>
    </row>
    <row r="12" spans="1:9" x14ac:dyDescent="0.3">
      <c r="A12" s="12">
        <v>42684</v>
      </c>
      <c r="B12" s="89">
        <v>0</v>
      </c>
      <c r="C12" s="89">
        <v>0</v>
      </c>
      <c r="D12" s="89">
        <v>64</v>
      </c>
      <c r="E12" s="26">
        <v>0</v>
      </c>
      <c r="F12" s="26">
        <v>0</v>
      </c>
      <c r="G12" s="89">
        <v>263</v>
      </c>
      <c r="H12" s="26">
        <v>4034.59</v>
      </c>
    </row>
    <row r="13" spans="1:9" x14ac:dyDescent="0.3">
      <c r="A13" s="12">
        <v>42685</v>
      </c>
      <c r="B13" s="89">
        <v>0</v>
      </c>
      <c r="C13" s="89">
        <v>0</v>
      </c>
      <c r="D13" s="89">
        <v>60</v>
      </c>
      <c r="E13" s="26">
        <v>0</v>
      </c>
      <c r="F13" s="26">
        <v>0</v>
      </c>
      <c r="G13" s="89">
        <v>160</v>
      </c>
      <c r="H13" s="26">
        <v>4034.57</v>
      </c>
    </row>
    <row r="14" spans="1:9" x14ac:dyDescent="0.3">
      <c r="A14" s="12">
        <v>42686</v>
      </c>
      <c r="B14" s="89">
        <v>0</v>
      </c>
      <c r="C14" s="89">
        <v>0</v>
      </c>
      <c r="D14" s="89">
        <v>59</v>
      </c>
      <c r="E14" s="26">
        <v>0</v>
      </c>
      <c r="F14" s="26">
        <v>0</v>
      </c>
      <c r="G14" s="89">
        <v>160</v>
      </c>
      <c r="H14" s="26">
        <v>4034.55</v>
      </c>
    </row>
    <row r="15" spans="1:9" x14ac:dyDescent="0.3">
      <c r="A15" s="12">
        <v>42687</v>
      </c>
      <c r="B15" s="89">
        <v>0</v>
      </c>
      <c r="C15" s="89">
        <v>0</v>
      </c>
      <c r="D15" s="89">
        <v>39</v>
      </c>
      <c r="E15" s="26">
        <v>0</v>
      </c>
      <c r="F15" s="26">
        <v>0</v>
      </c>
      <c r="G15" s="89">
        <v>160</v>
      </c>
      <c r="H15" s="26">
        <v>4034.53</v>
      </c>
    </row>
    <row r="16" spans="1:9" x14ac:dyDescent="0.3">
      <c r="A16" s="12">
        <v>42688</v>
      </c>
      <c r="B16" s="89">
        <v>0</v>
      </c>
      <c r="C16" s="89">
        <v>0</v>
      </c>
      <c r="D16" s="89">
        <v>38</v>
      </c>
      <c r="E16" s="26">
        <v>0</v>
      </c>
      <c r="F16" s="26">
        <v>0</v>
      </c>
      <c r="G16" s="89">
        <v>257</v>
      </c>
      <c r="H16" s="26">
        <v>4034.52</v>
      </c>
    </row>
    <row r="17" spans="1:8" x14ac:dyDescent="0.3">
      <c r="A17" s="12">
        <v>42689</v>
      </c>
      <c r="B17" s="89">
        <v>0</v>
      </c>
      <c r="C17" s="89">
        <v>16</v>
      </c>
      <c r="D17" s="89">
        <v>41</v>
      </c>
      <c r="E17" s="26">
        <v>0.14000000000000001</v>
      </c>
      <c r="F17" s="26">
        <v>0</v>
      </c>
      <c r="G17" s="89">
        <v>318</v>
      </c>
      <c r="H17" s="26">
        <v>4034.48</v>
      </c>
    </row>
    <row r="18" spans="1:8" x14ac:dyDescent="0.3">
      <c r="A18" s="12">
        <v>42690</v>
      </c>
      <c r="B18" s="89">
        <v>0</v>
      </c>
      <c r="C18" s="89">
        <v>0</v>
      </c>
      <c r="D18" s="89">
        <v>40</v>
      </c>
      <c r="E18" s="26" t="s">
        <v>31</v>
      </c>
      <c r="F18" s="26">
        <v>0</v>
      </c>
      <c r="G18" s="89">
        <v>318</v>
      </c>
      <c r="H18" s="26">
        <v>4034.44</v>
      </c>
    </row>
    <row r="19" spans="1:8" x14ac:dyDescent="0.3">
      <c r="A19" s="12">
        <v>42691</v>
      </c>
      <c r="B19" s="89">
        <v>0</v>
      </c>
      <c r="C19" s="89">
        <v>0</v>
      </c>
      <c r="D19" s="89">
        <v>39</v>
      </c>
      <c r="E19" s="26">
        <v>0</v>
      </c>
      <c r="F19" s="26">
        <v>0</v>
      </c>
      <c r="G19" s="89">
        <v>318</v>
      </c>
      <c r="H19" s="26">
        <v>4034.42</v>
      </c>
    </row>
    <row r="20" spans="1:8" x14ac:dyDescent="0.3">
      <c r="A20" s="12">
        <v>42692</v>
      </c>
      <c r="B20" s="89">
        <v>0</v>
      </c>
      <c r="C20" s="89">
        <v>0</v>
      </c>
      <c r="D20" s="89">
        <v>38</v>
      </c>
      <c r="E20" s="26">
        <v>0</v>
      </c>
      <c r="F20" s="26">
        <v>0</v>
      </c>
      <c r="G20" s="89">
        <v>260</v>
      </c>
      <c r="H20" s="26">
        <v>4034.4</v>
      </c>
    </row>
    <row r="21" spans="1:8" x14ac:dyDescent="0.3">
      <c r="A21" s="12">
        <v>42693</v>
      </c>
      <c r="B21" s="89">
        <v>0</v>
      </c>
      <c r="C21" s="89">
        <v>0</v>
      </c>
      <c r="D21" s="89">
        <v>36</v>
      </c>
      <c r="E21" s="26">
        <v>0</v>
      </c>
      <c r="F21" s="26">
        <v>0</v>
      </c>
      <c r="G21" s="89">
        <v>160</v>
      </c>
      <c r="H21" s="26">
        <v>4034.38</v>
      </c>
    </row>
    <row r="22" spans="1:8" x14ac:dyDescent="0.3">
      <c r="A22" s="12">
        <v>42694</v>
      </c>
      <c r="B22" s="89">
        <v>0</v>
      </c>
      <c r="C22" s="89">
        <v>0</v>
      </c>
      <c r="D22" s="89">
        <v>35</v>
      </c>
      <c r="E22" s="26">
        <v>0.13</v>
      </c>
      <c r="F22" s="26">
        <v>0</v>
      </c>
      <c r="G22" s="89">
        <v>159</v>
      </c>
      <c r="H22" s="26">
        <v>4034.35</v>
      </c>
    </row>
    <row r="23" spans="1:8" x14ac:dyDescent="0.3">
      <c r="A23" s="12">
        <v>42695</v>
      </c>
      <c r="B23" s="89">
        <v>0</v>
      </c>
      <c r="C23" s="89">
        <v>0</v>
      </c>
      <c r="D23" s="89">
        <v>16</v>
      </c>
      <c r="E23" s="26" t="s">
        <v>31</v>
      </c>
      <c r="F23" s="26">
        <v>0</v>
      </c>
      <c r="G23" s="89">
        <v>258</v>
      </c>
      <c r="H23" s="26">
        <v>4034.32</v>
      </c>
    </row>
    <row r="24" spans="1:8" x14ac:dyDescent="0.3">
      <c r="A24" s="12">
        <v>42696</v>
      </c>
      <c r="B24" s="89">
        <v>0</v>
      </c>
      <c r="C24" s="89">
        <v>11</v>
      </c>
      <c r="D24" s="89">
        <v>0</v>
      </c>
      <c r="E24" s="26">
        <v>0.01</v>
      </c>
      <c r="F24" s="26">
        <v>0</v>
      </c>
      <c r="G24" s="89">
        <v>318</v>
      </c>
      <c r="H24" s="26">
        <v>4034.3</v>
      </c>
    </row>
    <row r="25" spans="1:8" x14ac:dyDescent="0.3">
      <c r="A25" s="12">
        <v>42697</v>
      </c>
      <c r="B25" s="89">
        <v>0</v>
      </c>
      <c r="C25" s="89">
        <v>28</v>
      </c>
      <c r="D25" s="89">
        <v>0</v>
      </c>
      <c r="E25" s="26">
        <v>0.09</v>
      </c>
      <c r="F25" s="26">
        <v>0</v>
      </c>
      <c r="G25" s="89">
        <v>198</v>
      </c>
      <c r="H25" s="26">
        <v>4034.28</v>
      </c>
    </row>
    <row r="26" spans="1:8" x14ac:dyDescent="0.3">
      <c r="A26" s="12">
        <v>42698</v>
      </c>
      <c r="B26" s="89">
        <v>0</v>
      </c>
      <c r="C26" s="89">
        <v>40</v>
      </c>
      <c r="D26" s="89">
        <v>0</v>
      </c>
      <c r="E26" s="26">
        <v>0</v>
      </c>
      <c r="F26" s="26">
        <v>0</v>
      </c>
      <c r="G26" s="89">
        <v>0</v>
      </c>
      <c r="H26" s="26">
        <v>4034.28</v>
      </c>
    </row>
    <row r="27" spans="1:8" x14ac:dyDescent="0.3">
      <c r="A27" s="12">
        <v>42699</v>
      </c>
      <c r="B27" s="89">
        <v>0</v>
      </c>
      <c r="C27" s="89">
        <v>40</v>
      </c>
      <c r="D27" s="89">
        <v>0</v>
      </c>
      <c r="E27" s="26" t="s">
        <v>31</v>
      </c>
      <c r="F27" s="26">
        <v>0</v>
      </c>
      <c r="G27" s="89">
        <v>0</v>
      </c>
      <c r="H27" s="26">
        <v>4034.3</v>
      </c>
    </row>
    <row r="28" spans="1:8" x14ac:dyDescent="0.3">
      <c r="A28" s="12">
        <v>42700</v>
      </c>
      <c r="B28" s="89">
        <v>0</v>
      </c>
      <c r="C28" s="89">
        <v>40</v>
      </c>
      <c r="D28" s="89">
        <v>0</v>
      </c>
      <c r="E28" s="26">
        <v>0.01</v>
      </c>
      <c r="F28" s="26">
        <v>0</v>
      </c>
      <c r="G28" s="89">
        <v>0</v>
      </c>
      <c r="H28" s="26">
        <v>4034.31</v>
      </c>
    </row>
    <row r="29" spans="1:8" x14ac:dyDescent="0.3">
      <c r="A29" s="12">
        <v>42701</v>
      </c>
      <c r="B29" s="89">
        <v>0</v>
      </c>
      <c r="C29" s="89">
        <v>40</v>
      </c>
      <c r="D29" s="89">
        <v>0</v>
      </c>
      <c r="E29" s="26" t="s">
        <v>31</v>
      </c>
      <c r="F29" s="26">
        <v>0</v>
      </c>
      <c r="G29" s="89">
        <v>0</v>
      </c>
      <c r="H29" s="26">
        <v>4034.32</v>
      </c>
    </row>
    <row r="30" spans="1:8" x14ac:dyDescent="0.3">
      <c r="A30" s="12">
        <v>42702</v>
      </c>
      <c r="B30" s="89">
        <v>0</v>
      </c>
      <c r="C30" s="89">
        <v>40</v>
      </c>
      <c r="D30" s="89">
        <v>0</v>
      </c>
      <c r="E30" s="26">
        <v>0</v>
      </c>
      <c r="F30" s="26">
        <v>0</v>
      </c>
      <c r="G30" s="89">
        <v>0</v>
      </c>
      <c r="H30" s="26">
        <v>4034.32</v>
      </c>
    </row>
    <row r="31" spans="1:8" x14ac:dyDescent="0.3">
      <c r="A31" s="12">
        <v>42703</v>
      </c>
      <c r="B31" s="89">
        <v>0</v>
      </c>
      <c r="C31" s="89">
        <v>40</v>
      </c>
      <c r="D31" s="89">
        <v>0</v>
      </c>
      <c r="E31" s="26">
        <v>0.01</v>
      </c>
      <c r="F31" s="26">
        <v>0</v>
      </c>
      <c r="G31" s="89">
        <v>0</v>
      </c>
      <c r="H31" s="26">
        <v>4034.33</v>
      </c>
    </row>
    <row r="32" spans="1:8" ht="15" thickBot="1" x14ac:dyDescent="0.35">
      <c r="A32" s="12">
        <v>42704</v>
      </c>
      <c r="B32" s="89">
        <v>0</v>
      </c>
      <c r="C32" s="89">
        <v>40</v>
      </c>
      <c r="D32" s="89">
        <v>0</v>
      </c>
      <c r="E32" s="88">
        <v>7.0000000000000007E-2</v>
      </c>
      <c r="F32" s="88">
        <v>0</v>
      </c>
      <c r="G32" s="90">
        <v>0</v>
      </c>
      <c r="H32" s="26">
        <v>4034.34</v>
      </c>
    </row>
    <row r="33" spans="1:15" s="11" customFormat="1" ht="15" thickTop="1" x14ac:dyDescent="0.3">
      <c r="A33" s="16" t="s">
        <v>8</v>
      </c>
      <c r="B33" s="17">
        <f t="shared" ref="B33:G33" si="0">SUM(B3:B32)</f>
        <v>63</v>
      </c>
      <c r="C33" s="17">
        <f t="shared" si="0"/>
        <v>835</v>
      </c>
      <c r="D33" s="17">
        <f t="shared" si="0"/>
        <v>940</v>
      </c>
      <c r="E33" s="18">
        <f t="shared" si="0"/>
        <v>0.48000000000000004</v>
      </c>
      <c r="F33" s="18">
        <f t="shared" si="0"/>
        <v>0</v>
      </c>
      <c r="G33" s="17">
        <f t="shared" si="0"/>
        <v>5794</v>
      </c>
      <c r="H33" s="18"/>
      <c r="I33"/>
    </row>
    <row r="34" spans="1:15" s="11" customFormat="1" x14ac:dyDescent="0.3">
      <c r="A34" s="19" t="s">
        <v>9</v>
      </c>
      <c r="B34" s="20">
        <f>SUM(B33+'Oct 2016'!B35)</f>
        <v>409</v>
      </c>
      <c r="C34" s="20">
        <f>SUM(C33+'Oct 2016'!C35)</f>
        <v>2707</v>
      </c>
      <c r="D34" s="20">
        <f>SUM(D33+'Oct 2016'!D35)</f>
        <v>2909</v>
      </c>
      <c r="E34" s="21">
        <f>SUM(E33+'Oct 2016'!E35)</f>
        <v>1.9400000000000002</v>
      </c>
      <c r="F34" s="21">
        <f>SUM(F33+'Oct 2016'!F35)</f>
        <v>0</v>
      </c>
      <c r="G34" s="20">
        <f>SUM(G33+'Oct 2016'!G35)</f>
        <v>11786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SUM(B3:B32)*1.9835</f>
        <v>124.9605</v>
      </c>
      <c r="C36" s="23">
        <f>SUM(C3:C32)*1.9835</f>
        <v>1656.2225000000001</v>
      </c>
      <c r="D36" s="23">
        <f>SUM(D3:D32)*1.9835</f>
        <v>1864.49</v>
      </c>
      <c r="E36" s="23"/>
      <c r="F36" s="23"/>
      <c r="G36" s="23"/>
      <c r="I36" s="22"/>
    </row>
    <row r="37" spans="1:15" x14ac:dyDescent="0.3">
      <c r="A37"/>
      <c r="B37"/>
      <c r="C37"/>
      <c r="D37"/>
      <c r="G37"/>
    </row>
    <row r="38" spans="1:15" x14ac:dyDescent="0.3">
      <c r="A38" t="s">
        <v>24</v>
      </c>
      <c r="B38" s="23">
        <f>SUM('Oct 2016'!B39+B36)</f>
        <v>811.25150000000008</v>
      </c>
      <c r="C38" s="23">
        <f>SUM('Oct 2016'!C39+C36)</f>
        <v>5369.3344999999999</v>
      </c>
      <c r="D38" s="23">
        <f>SUM('Oct 2016'!D39+D36)</f>
        <v>5770.0015000000003</v>
      </c>
      <c r="E38" s="23"/>
      <c r="F38" s="23"/>
      <c r="G38" s="23"/>
      <c r="I38" s="22"/>
    </row>
    <row r="39" spans="1:15" x14ac:dyDescent="0.3">
      <c r="A39"/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18" t="s">
        <v>23</v>
      </c>
      <c r="B42" s="118"/>
      <c r="C42" s="118"/>
      <c r="D42" s="118"/>
      <c r="E42" s="118"/>
      <c r="F42" s="118"/>
      <c r="G42" s="118"/>
      <c r="H42" s="118"/>
      <c r="I42" s="118"/>
      <c r="J42" s="118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4" x14ac:dyDescent="0.3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/>
      <c r="G53" s="64"/>
      <c r="H53" s="65"/>
    </row>
    <row r="54" spans="1:15" x14ac:dyDescent="0.3">
      <c r="A54" s="67"/>
      <c r="B54" s="68"/>
      <c r="C54" s="69"/>
      <c r="D54" s="61"/>
      <c r="E54" s="72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3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style="2" bestFit="1" customWidth="1"/>
    <col min="2" max="4" width="11.6640625" style="10" customWidth="1"/>
    <col min="5" max="6" width="11.6640625" style="8" customWidth="1"/>
    <col min="7" max="7" width="11.6640625" style="10" customWidth="1"/>
    <col min="8" max="8" width="11.6640625" style="4" customWidth="1"/>
    <col min="9" max="9" width="27.44140625" customWidth="1"/>
  </cols>
  <sheetData>
    <row r="1" spans="1:9" s="1" customFormat="1" ht="31.2" x14ac:dyDescent="0.3">
      <c r="A1" s="94" t="s">
        <v>0</v>
      </c>
      <c r="B1" s="95" t="s">
        <v>5</v>
      </c>
      <c r="C1" s="95" t="s">
        <v>1</v>
      </c>
      <c r="D1" s="95" t="s">
        <v>2</v>
      </c>
      <c r="E1" s="96" t="s">
        <v>6</v>
      </c>
      <c r="F1" s="96" t="s">
        <v>7</v>
      </c>
      <c r="G1" s="95" t="s">
        <v>3</v>
      </c>
      <c r="H1" s="97" t="s">
        <v>4</v>
      </c>
      <c r="I1" s="3" t="s">
        <v>11</v>
      </c>
    </row>
    <row r="2" spans="1:9" s="1" customFormat="1" ht="15.6" x14ac:dyDescent="0.3">
      <c r="A2" s="98"/>
      <c r="B2" s="95" t="s">
        <v>25</v>
      </c>
      <c r="C2" s="95" t="s">
        <v>25</v>
      </c>
      <c r="D2" s="95" t="s">
        <v>25</v>
      </c>
      <c r="E2" s="96"/>
      <c r="F2" s="96"/>
      <c r="G2" s="95" t="s">
        <v>27</v>
      </c>
      <c r="H2" s="97"/>
      <c r="I2" s="85"/>
    </row>
    <row r="3" spans="1:9" ht="15.6" x14ac:dyDescent="0.3">
      <c r="A3" s="105">
        <v>42644</v>
      </c>
      <c r="B3" s="99">
        <v>0</v>
      </c>
      <c r="C3" s="99">
        <v>0</v>
      </c>
      <c r="D3" s="99">
        <v>149</v>
      </c>
      <c r="E3" s="100">
        <v>0</v>
      </c>
      <c r="F3" s="100">
        <v>0</v>
      </c>
      <c r="G3" s="99">
        <v>160</v>
      </c>
      <c r="H3" s="100">
        <v>4034.68</v>
      </c>
    </row>
    <row r="4" spans="1:9" ht="15.6" x14ac:dyDescent="0.3">
      <c r="A4" s="105">
        <v>42645</v>
      </c>
      <c r="B4" s="99">
        <v>0</v>
      </c>
      <c r="C4" s="99">
        <v>18</v>
      </c>
      <c r="D4" s="99">
        <v>145</v>
      </c>
      <c r="E4" s="100">
        <v>0.05</v>
      </c>
      <c r="F4" s="100">
        <v>0</v>
      </c>
      <c r="G4" s="99">
        <v>160</v>
      </c>
      <c r="H4" s="100">
        <v>4034.68</v>
      </c>
    </row>
    <row r="5" spans="1:9" ht="15.6" x14ac:dyDescent="0.3">
      <c r="A5" s="105">
        <v>42646</v>
      </c>
      <c r="B5" s="99">
        <v>0</v>
      </c>
      <c r="C5" s="99">
        <v>44</v>
      </c>
      <c r="D5" s="99">
        <v>138</v>
      </c>
      <c r="E5" s="100">
        <v>0.1</v>
      </c>
      <c r="F5" s="100">
        <v>0</v>
      </c>
      <c r="G5" s="99">
        <v>160</v>
      </c>
      <c r="H5" s="100">
        <v>4034.72</v>
      </c>
    </row>
    <row r="6" spans="1:9" ht="15.6" x14ac:dyDescent="0.3">
      <c r="A6" s="105">
        <v>42647</v>
      </c>
      <c r="B6" s="99">
        <v>0</v>
      </c>
      <c r="C6" s="99">
        <v>41</v>
      </c>
      <c r="D6" s="99">
        <v>126</v>
      </c>
      <c r="E6" s="100">
        <v>0.11</v>
      </c>
      <c r="F6" s="100">
        <v>0</v>
      </c>
      <c r="G6" s="99">
        <v>160</v>
      </c>
      <c r="H6" s="100">
        <v>4034.74</v>
      </c>
    </row>
    <row r="7" spans="1:9" ht="15.6" x14ac:dyDescent="0.3">
      <c r="A7" s="105">
        <v>42648</v>
      </c>
      <c r="B7" s="99">
        <v>0</v>
      </c>
      <c r="C7" s="99">
        <v>31</v>
      </c>
      <c r="D7" s="99">
        <v>118</v>
      </c>
      <c r="E7" s="100">
        <v>0</v>
      </c>
      <c r="F7" s="100">
        <v>0</v>
      </c>
      <c r="G7" s="99">
        <v>160</v>
      </c>
      <c r="H7" s="100">
        <v>4034.76</v>
      </c>
    </row>
    <row r="8" spans="1:9" ht="15.6" x14ac:dyDescent="0.3">
      <c r="A8" s="105">
        <v>42649</v>
      </c>
      <c r="B8" s="99">
        <v>0</v>
      </c>
      <c r="C8" s="99">
        <v>100</v>
      </c>
      <c r="D8" s="99">
        <v>114</v>
      </c>
      <c r="E8" s="100">
        <v>0.03</v>
      </c>
      <c r="F8" s="100">
        <v>0</v>
      </c>
      <c r="G8" s="99">
        <v>160</v>
      </c>
      <c r="H8" s="100">
        <v>4034.78</v>
      </c>
    </row>
    <row r="9" spans="1:9" ht="15.6" x14ac:dyDescent="0.3">
      <c r="A9" s="105">
        <v>42650</v>
      </c>
      <c r="B9" s="99">
        <v>0</v>
      </c>
      <c r="C9" s="99">
        <v>0</v>
      </c>
      <c r="D9" s="99">
        <v>121</v>
      </c>
      <c r="E9" s="100">
        <v>0</v>
      </c>
      <c r="F9" s="100">
        <v>0</v>
      </c>
      <c r="G9" s="99">
        <v>160</v>
      </c>
      <c r="H9" s="100">
        <v>4034.79</v>
      </c>
    </row>
    <row r="10" spans="1:9" ht="15.6" x14ac:dyDescent="0.3">
      <c r="A10" s="105">
        <v>42651</v>
      </c>
      <c r="B10" s="99">
        <v>0</v>
      </c>
      <c r="C10" s="99">
        <v>0</v>
      </c>
      <c r="D10" s="99">
        <v>108</v>
      </c>
      <c r="E10" s="100">
        <v>0</v>
      </c>
      <c r="F10" s="100">
        <v>0</v>
      </c>
      <c r="G10" s="99">
        <v>160</v>
      </c>
      <c r="H10" s="100">
        <v>4034.79</v>
      </c>
    </row>
    <row r="11" spans="1:9" ht="15.6" x14ac:dyDescent="0.3">
      <c r="A11" s="105">
        <v>42652</v>
      </c>
      <c r="B11" s="99">
        <v>0</v>
      </c>
      <c r="C11" s="99">
        <v>19</v>
      </c>
      <c r="D11" s="99">
        <v>86</v>
      </c>
      <c r="E11" s="100">
        <v>0</v>
      </c>
      <c r="F11" s="100">
        <v>0</v>
      </c>
      <c r="G11" s="99">
        <v>160</v>
      </c>
      <c r="H11" s="100">
        <v>4034.79</v>
      </c>
    </row>
    <row r="12" spans="1:9" ht="15.6" x14ac:dyDescent="0.3">
      <c r="A12" s="105">
        <v>42653</v>
      </c>
      <c r="B12" s="99">
        <v>0</v>
      </c>
      <c r="C12" s="99">
        <v>40</v>
      </c>
      <c r="D12" s="99">
        <v>88</v>
      </c>
      <c r="E12" s="100">
        <v>0</v>
      </c>
      <c r="F12" s="100">
        <v>0</v>
      </c>
      <c r="G12" s="99">
        <v>160</v>
      </c>
      <c r="H12" s="100">
        <v>4034.79</v>
      </c>
    </row>
    <row r="13" spans="1:9" ht="15.6" x14ac:dyDescent="0.3">
      <c r="A13" s="105">
        <v>42654</v>
      </c>
      <c r="B13" s="99">
        <v>0</v>
      </c>
      <c r="C13" s="99">
        <v>38</v>
      </c>
      <c r="D13" s="99">
        <v>65</v>
      </c>
      <c r="E13" s="100">
        <v>0</v>
      </c>
      <c r="F13" s="100">
        <v>0</v>
      </c>
      <c r="G13" s="99">
        <v>160</v>
      </c>
      <c r="H13" s="100">
        <v>4034.79</v>
      </c>
    </row>
    <row r="14" spans="1:9" ht="15.6" x14ac:dyDescent="0.3">
      <c r="A14" s="105">
        <v>42655</v>
      </c>
      <c r="B14" s="99">
        <v>0</v>
      </c>
      <c r="C14" s="99">
        <v>50</v>
      </c>
      <c r="D14" s="99">
        <v>61</v>
      </c>
      <c r="E14" s="100">
        <v>0</v>
      </c>
      <c r="F14" s="100">
        <v>0</v>
      </c>
      <c r="G14" s="99">
        <v>160</v>
      </c>
      <c r="H14" s="100">
        <v>4034.79</v>
      </c>
    </row>
    <row r="15" spans="1:9" ht="15.6" x14ac:dyDescent="0.3">
      <c r="A15" s="105">
        <v>42656</v>
      </c>
      <c r="B15" s="99">
        <v>0</v>
      </c>
      <c r="C15" s="99">
        <v>84</v>
      </c>
      <c r="D15" s="99">
        <v>46</v>
      </c>
      <c r="E15" s="100">
        <v>0.03</v>
      </c>
      <c r="F15" s="100">
        <v>0</v>
      </c>
      <c r="G15" s="99">
        <v>93</v>
      </c>
      <c r="H15" s="100">
        <v>4034.8</v>
      </c>
    </row>
    <row r="16" spans="1:9" ht="15.6" x14ac:dyDescent="0.3">
      <c r="A16" s="105">
        <v>42657</v>
      </c>
      <c r="B16" s="99">
        <v>0</v>
      </c>
      <c r="C16" s="99">
        <v>107</v>
      </c>
      <c r="D16" s="99">
        <v>43</v>
      </c>
      <c r="E16" s="100">
        <v>0.54</v>
      </c>
      <c r="F16" s="100">
        <v>0</v>
      </c>
      <c r="G16" s="99">
        <v>0</v>
      </c>
      <c r="H16" s="100">
        <v>4034.82</v>
      </c>
    </row>
    <row r="17" spans="1:9" ht="15.6" x14ac:dyDescent="0.3">
      <c r="A17" s="105">
        <v>42658</v>
      </c>
      <c r="B17" s="99">
        <v>0</v>
      </c>
      <c r="C17" s="99">
        <v>108</v>
      </c>
      <c r="D17" s="99">
        <v>37</v>
      </c>
      <c r="E17" s="100">
        <v>0.01</v>
      </c>
      <c r="F17" s="100">
        <v>0</v>
      </c>
      <c r="G17" s="99">
        <v>0</v>
      </c>
      <c r="H17" s="100">
        <v>4034.84</v>
      </c>
    </row>
    <row r="18" spans="1:9" ht="15.6" x14ac:dyDescent="0.3">
      <c r="A18" s="105">
        <v>42659</v>
      </c>
      <c r="B18" s="99">
        <v>0</v>
      </c>
      <c r="C18" s="99">
        <v>108</v>
      </c>
      <c r="D18" s="99">
        <v>32</v>
      </c>
      <c r="E18" s="100">
        <v>0.14000000000000001</v>
      </c>
      <c r="F18" s="100">
        <v>0</v>
      </c>
      <c r="G18" s="99">
        <v>0</v>
      </c>
      <c r="H18" s="100">
        <v>4034.86</v>
      </c>
    </row>
    <row r="19" spans="1:9" ht="15.6" x14ac:dyDescent="0.3">
      <c r="A19" s="105">
        <v>42660</v>
      </c>
      <c r="B19" s="99">
        <v>0</v>
      </c>
      <c r="C19" s="99">
        <v>106</v>
      </c>
      <c r="D19" s="99">
        <v>32</v>
      </c>
      <c r="E19" s="100">
        <v>0.13</v>
      </c>
      <c r="F19" s="100">
        <v>0</v>
      </c>
      <c r="G19" s="99">
        <v>200</v>
      </c>
      <c r="H19" s="100">
        <v>4034.86</v>
      </c>
      <c r="I19" t="s">
        <v>28</v>
      </c>
    </row>
    <row r="20" spans="1:9" ht="15.6" x14ac:dyDescent="0.3">
      <c r="A20" s="105">
        <v>42661</v>
      </c>
      <c r="B20" s="99">
        <v>0</v>
      </c>
      <c r="C20" s="99">
        <v>82</v>
      </c>
      <c r="D20" s="99">
        <v>32</v>
      </c>
      <c r="E20" s="100">
        <v>0</v>
      </c>
      <c r="F20" s="100">
        <v>0</v>
      </c>
      <c r="G20" s="99">
        <v>320</v>
      </c>
      <c r="H20" s="100">
        <v>4034.88</v>
      </c>
    </row>
    <row r="21" spans="1:9" ht="15.6" x14ac:dyDescent="0.3">
      <c r="A21" s="105">
        <v>42662</v>
      </c>
      <c r="B21" s="99">
        <v>0</v>
      </c>
      <c r="C21" s="99">
        <v>51</v>
      </c>
      <c r="D21" s="99">
        <v>30</v>
      </c>
      <c r="E21" s="100">
        <v>0.01</v>
      </c>
      <c r="F21" s="100">
        <v>0</v>
      </c>
      <c r="G21" s="99">
        <v>320</v>
      </c>
      <c r="H21" s="100">
        <v>4034.9</v>
      </c>
    </row>
    <row r="22" spans="1:9" ht="15.6" x14ac:dyDescent="0.3">
      <c r="A22" s="105">
        <v>42663</v>
      </c>
      <c r="B22" s="99">
        <v>0</v>
      </c>
      <c r="C22" s="99">
        <v>41</v>
      </c>
      <c r="D22" s="99">
        <v>32</v>
      </c>
      <c r="E22" s="100">
        <v>0.01</v>
      </c>
      <c r="F22" s="100">
        <v>0</v>
      </c>
      <c r="G22" s="99">
        <v>320</v>
      </c>
      <c r="H22" s="100">
        <v>4034.88</v>
      </c>
    </row>
    <row r="23" spans="1:9" ht="15.6" x14ac:dyDescent="0.3">
      <c r="A23" s="105">
        <v>42664</v>
      </c>
      <c r="B23" s="99">
        <v>0</v>
      </c>
      <c r="C23" s="99">
        <v>31</v>
      </c>
      <c r="D23" s="99">
        <v>32</v>
      </c>
      <c r="E23" s="100">
        <v>0.01</v>
      </c>
      <c r="F23" s="100">
        <v>0</v>
      </c>
      <c r="G23" s="99">
        <v>320</v>
      </c>
      <c r="H23" s="100">
        <v>4034.86</v>
      </c>
    </row>
    <row r="24" spans="1:9" ht="15.6" x14ac:dyDescent="0.3">
      <c r="A24" s="105">
        <v>42665</v>
      </c>
      <c r="B24" s="99">
        <v>0</v>
      </c>
      <c r="C24" s="99">
        <v>9</v>
      </c>
      <c r="D24" s="99">
        <v>31</v>
      </c>
      <c r="E24" s="100">
        <v>0</v>
      </c>
      <c r="F24" s="100">
        <v>0</v>
      </c>
      <c r="G24" s="99">
        <v>320</v>
      </c>
      <c r="H24" s="100">
        <v>4034.84</v>
      </c>
    </row>
    <row r="25" spans="1:9" ht="15.6" x14ac:dyDescent="0.3">
      <c r="A25" s="105">
        <v>42666</v>
      </c>
      <c r="B25" s="99">
        <v>0</v>
      </c>
      <c r="C25" s="99">
        <v>2</v>
      </c>
      <c r="D25" s="99">
        <v>30</v>
      </c>
      <c r="E25" s="100">
        <v>0</v>
      </c>
      <c r="F25" s="100">
        <v>0</v>
      </c>
      <c r="G25" s="99">
        <v>320</v>
      </c>
      <c r="H25" s="100">
        <v>4034.8</v>
      </c>
    </row>
    <row r="26" spans="1:9" ht="15.6" x14ac:dyDescent="0.3">
      <c r="A26" s="105">
        <v>42667</v>
      </c>
      <c r="B26" s="99">
        <v>23</v>
      </c>
      <c r="C26" s="99">
        <v>5</v>
      </c>
      <c r="D26" s="99">
        <v>35</v>
      </c>
      <c r="E26" s="100">
        <v>0</v>
      </c>
      <c r="F26" s="100">
        <v>0</v>
      </c>
      <c r="G26" s="99">
        <v>182</v>
      </c>
      <c r="H26" s="100">
        <v>4034.79</v>
      </c>
      <c r="I26" s="108" t="s">
        <v>29</v>
      </c>
    </row>
    <row r="27" spans="1:9" ht="15.6" x14ac:dyDescent="0.3">
      <c r="A27" s="105">
        <v>42668</v>
      </c>
      <c r="B27" s="99">
        <v>48</v>
      </c>
      <c r="C27" s="99">
        <v>126</v>
      </c>
      <c r="D27" s="99">
        <v>36</v>
      </c>
      <c r="E27" s="100">
        <v>0.12</v>
      </c>
      <c r="F27" s="100">
        <v>0</v>
      </c>
      <c r="G27" s="99">
        <v>259</v>
      </c>
      <c r="H27" s="100">
        <v>4034.78</v>
      </c>
    </row>
    <row r="28" spans="1:9" ht="15.6" x14ac:dyDescent="0.3">
      <c r="A28" s="105">
        <v>42669</v>
      </c>
      <c r="B28" s="99">
        <v>46</v>
      </c>
      <c r="C28" s="99">
        <v>101</v>
      </c>
      <c r="D28" s="99">
        <v>35</v>
      </c>
      <c r="E28" s="100">
        <v>0.02</v>
      </c>
      <c r="F28" s="100">
        <v>0</v>
      </c>
      <c r="G28" s="99">
        <v>317</v>
      </c>
      <c r="H28" s="100">
        <v>4034.77</v>
      </c>
    </row>
    <row r="29" spans="1:9" ht="15.6" x14ac:dyDescent="0.3">
      <c r="A29" s="105">
        <v>42670</v>
      </c>
      <c r="B29" s="99">
        <v>43</v>
      </c>
      <c r="C29" s="99">
        <v>102</v>
      </c>
      <c r="D29" s="99">
        <v>35</v>
      </c>
      <c r="E29" s="100">
        <v>0.03</v>
      </c>
      <c r="F29" s="100">
        <v>0</v>
      </c>
      <c r="G29" s="99">
        <v>261</v>
      </c>
      <c r="H29" s="100">
        <v>4034.76</v>
      </c>
    </row>
    <row r="30" spans="1:9" ht="15.6" x14ac:dyDescent="0.3">
      <c r="A30" s="105">
        <v>42671</v>
      </c>
      <c r="B30" s="99">
        <v>47</v>
      </c>
      <c r="C30" s="99">
        <v>100</v>
      </c>
      <c r="D30" s="99">
        <v>35</v>
      </c>
      <c r="E30" s="100">
        <v>0</v>
      </c>
      <c r="F30" s="100">
        <v>0</v>
      </c>
      <c r="G30" s="99">
        <v>261</v>
      </c>
      <c r="H30" s="100">
        <v>4034.76</v>
      </c>
    </row>
    <row r="31" spans="1:9" ht="15.6" x14ac:dyDescent="0.3">
      <c r="A31" s="105">
        <v>42672</v>
      </c>
      <c r="B31" s="99">
        <v>43</v>
      </c>
      <c r="C31" s="99">
        <v>101</v>
      </c>
      <c r="D31" s="99">
        <v>33</v>
      </c>
      <c r="E31" s="100">
        <v>0.03</v>
      </c>
      <c r="F31" s="100">
        <v>0</v>
      </c>
      <c r="G31" s="99">
        <v>160</v>
      </c>
      <c r="H31" s="100">
        <v>4034.76</v>
      </c>
    </row>
    <row r="32" spans="1:9" ht="15.6" x14ac:dyDescent="0.3">
      <c r="A32" s="105">
        <v>42673</v>
      </c>
      <c r="B32" s="99">
        <v>49</v>
      </c>
      <c r="C32" s="99">
        <v>111</v>
      </c>
      <c r="D32" s="99">
        <v>32</v>
      </c>
      <c r="E32" s="100">
        <v>7.0000000000000007E-2</v>
      </c>
      <c r="F32" s="100">
        <v>0</v>
      </c>
      <c r="G32" s="99">
        <v>160</v>
      </c>
      <c r="H32" s="100">
        <v>4034.75</v>
      </c>
    </row>
    <row r="33" spans="1:14" ht="16.2" thickBot="1" x14ac:dyDescent="0.35">
      <c r="A33" s="105">
        <v>42674</v>
      </c>
      <c r="B33" s="99">
        <v>47</v>
      </c>
      <c r="C33" s="99">
        <v>116</v>
      </c>
      <c r="D33" s="99">
        <v>32</v>
      </c>
      <c r="E33" s="100">
        <v>0.02</v>
      </c>
      <c r="F33" s="100">
        <v>0</v>
      </c>
      <c r="G33" s="99">
        <v>259</v>
      </c>
      <c r="H33" s="100">
        <v>4034.73</v>
      </c>
      <c r="I33" t="s">
        <v>30</v>
      </c>
    </row>
    <row r="34" spans="1:14" ht="16.2" thickTop="1" x14ac:dyDescent="0.3">
      <c r="A34" s="101" t="s">
        <v>8</v>
      </c>
      <c r="B34" s="99">
        <f t="shared" ref="B34:G34" si="0">SUM(B3:B33)</f>
        <v>346</v>
      </c>
      <c r="C34" s="99">
        <f t="shared" si="0"/>
        <v>1872</v>
      </c>
      <c r="D34" s="99">
        <f t="shared" si="0"/>
        <v>1969</v>
      </c>
      <c r="E34" s="99">
        <f t="shared" si="0"/>
        <v>1.4600000000000002</v>
      </c>
      <c r="F34" s="99">
        <f t="shared" si="0"/>
        <v>0</v>
      </c>
      <c r="G34" s="99">
        <f t="shared" si="0"/>
        <v>5992</v>
      </c>
      <c r="H34" s="99"/>
      <c r="J34" s="11"/>
    </row>
    <row r="35" spans="1:14" s="11" customFormat="1" ht="15.6" x14ac:dyDescent="0.3">
      <c r="A35" s="102" t="s">
        <v>9</v>
      </c>
      <c r="B35" s="103">
        <f>SUM(B34+'Oct 2016'!B36)</f>
        <v>346</v>
      </c>
      <c r="C35" s="103">
        <f>SUM(C34+'Oct 2016'!C36)</f>
        <v>1872</v>
      </c>
      <c r="D35" s="103">
        <f>SUM(D34+'Oct 2016'!D36)</f>
        <v>1969</v>
      </c>
      <c r="E35" s="104">
        <f>SUM(E34+'Oct 2016'!E36)</f>
        <v>1.4600000000000002</v>
      </c>
      <c r="F35" s="104">
        <f>SUM(F34+'Oct 2016'!F36)</f>
        <v>0</v>
      </c>
      <c r="G35" s="103">
        <f>SUM(G34+'Oct 2016'!G36)</f>
        <v>5992</v>
      </c>
      <c r="H35" s="104"/>
    </row>
    <row r="36" spans="1:14" s="11" customFormat="1" x14ac:dyDescent="0.3">
      <c r="A36" s="2"/>
      <c r="B36" s="6"/>
      <c r="C36" s="6"/>
      <c r="D36" s="6"/>
      <c r="E36"/>
      <c r="F36"/>
      <c r="G36" s="6"/>
      <c r="H36"/>
      <c r="J36"/>
    </row>
    <row r="37" spans="1:14" x14ac:dyDescent="0.3">
      <c r="A37" t="s">
        <v>10</v>
      </c>
      <c r="B37" s="23">
        <f>SUM(B3:B33)*1.9835</f>
        <v>686.29100000000005</v>
      </c>
      <c r="C37" s="23">
        <f>SUM(C3:C33)*1.9835</f>
        <v>3713.1120000000001</v>
      </c>
      <c r="D37" s="23">
        <f>SUM(D3:D33)*1.9835</f>
        <v>3905.5115000000001</v>
      </c>
      <c r="E37" s="23"/>
      <c r="F37" s="23"/>
      <c r="G37" s="23"/>
      <c r="H37"/>
      <c r="I37" s="22"/>
    </row>
    <row r="38" spans="1:14" x14ac:dyDescent="0.3">
      <c r="A38"/>
      <c r="B38"/>
      <c r="C38"/>
      <c r="D38"/>
      <c r="E38"/>
      <c r="F38"/>
      <c r="G38"/>
      <c r="H38"/>
    </row>
    <row r="39" spans="1:14" x14ac:dyDescent="0.3">
      <c r="A39" t="s">
        <v>24</v>
      </c>
      <c r="B39" s="23">
        <f>SUM('Oct 2016'!B40+B37)</f>
        <v>686.29100000000005</v>
      </c>
      <c r="C39" s="23">
        <f>SUM('Oct 2016'!C40+C37)</f>
        <v>3713.1120000000001</v>
      </c>
      <c r="D39" s="23">
        <f>SUM('Oct 2016'!D40+D37)</f>
        <v>3905.5115000000001</v>
      </c>
      <c r="E39" s="23"/>
      <c r="F39" s="23"/>
      <c r="G39" s="23"/>
      <c r="H39"/>
      <c r="I39" s="22"/>
    </row>
    <row r="40" spans="1:14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3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</row>
    <row r="42" spans="1:14" ht="17.399999999999999" customHeight="1" x14ac:dyDescent="0.3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6.95" customHeight="1" x14ac:dyDescent="0.3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0"/>
      <c r="L43" s="30"/>
      <c r="M43" s="31"/>
      <c r="N43" s="30"/>
    </row>
    <row r="44" spans="1:14" ht="13.95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2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4" x14ac:dyDescent="0.3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3">
      <c r="A54" s="67"/>
      <c r="B54" s="68"/>
      <c r="C54" s="69"/>
      <c r="D54" s="61"/>
      <c r="E54" s="70"/>
      <c r="F54" s="71"/>
      <c r="G54" s="64"/>
      <c r="H54" s="65"/>
    </row>
    <row r="55" spans="1:14" x14ac:dyDescent="0.3">
      <c r="A55" s="67"/>
      <c r="B55" s="68"/>
      <c r="C55" s="69"/>
      <c r="D55" s="61"/>
      <c r="E55" s="72"/>
      <c r="F55" s="71"/>
      <c r="G55" s="64"/>
      <c r="H55" s="65"/>
    </row>
    <row r="56" spans="1:14" x14ac:dyDescent="0.3">
      <c r="A56" s="67"/>
      <c r="B56" s="68"/>
      <c r="C56" s="69"/>
      <c r="D56" s="61"/>
      <c r="E56" s="72"/>
      <c r="F56" s="71"/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5.8" thickBot="1" x14ac:dyDescent="0.3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3">
      <c r="A59" s="119" t="s">
        <v>21</v>
      </c>
      <c r="B59" s="120"/>
      <c r="C59" s="121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Sep 2017</vt:lpstr>
      <vt:lpstr>Aug 2017</vt:lpstr>
      <vt:lpstr>Jul 2017</vt:lpstr>
      <vt:lpstr>Jun 2017</vt:lpstr>
      <vt:lpstr>May 2017</vt:lpstr>
      <vt:lpstr>Apr 2017</vt:lpstr>
      <vt:lpstr>Mar 2017</vt:lpstr>
      <vt:lpstr>Feb 2017</vt:lpstr>
      <vt:lpstr>Jan 2017</vt:lpstr>
      <vt:lpstr>Dec 2016</vt:lpstr>
      <vt:lpstr>Nov 2016</vt:lpstr>
      <vt:lpstr>Oct 2016</vt:lpstr>
      <vt:lpstr>Sheet1</vt:lpstr>
      <vt:lpstr>'Apr 2017'!Print_Area</vt:lpstr>
      <vt:lpstr>'Aug 2017'!Print_Area</vt:lpstr>
      <vt:lpstr>'Feb 2017'!Print_Area</vt:lpstr>
      <vt:lpstr>'Jan 2017'!Print_Area</vt:lpstr>
      <vt:lpstr>'Jul 2017'!Print_Area</vt:lpstr>
      <vt:lpstr>'Jun 2017'!Print_Area</vt:lpstr>
      <vt:lpstr>'Mar 2017'!Print_Area</vt:lpstr>
      <vt:lpstr>'Nov 2016'!Print_Area</vt:lpstr>
      <vt:lpstr>'Oct 2016'!Print_Area</vt:lpstr>
      <vt:lpstr>'Sep 2017'!Print_Area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Ron</cp:lastModifiedBy>
  <cp:lastPrinted>2017-09-05T15:12:29Z</cp:lastPrinted>
  <dcterms:created xsi:type="dcterms:W3CDTF">2010-05-21T17:05:57Z</dcterms:created>
  <dcterms:modified xsi:type="dcterms:W3CDTF">2017-10-02T16:16:52Z</dcterms:modified>
</cp:coreProperties>
</file>