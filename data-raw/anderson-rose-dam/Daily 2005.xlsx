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 s="1"/>
  <c r="K4" i="6" s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 s="1"/>
  <c r="D39" i="5" s="1"/>
  <c r="E39" i="5" s="1"/>
  <c r="F39" i="5"/>
  <c r="G39" i="5" s="1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/>
  <c r="D53" i="5"/>
  <c r="E53" i="5" s="1"/>
  <c r="F53" i="5" s="1"/>
  <c r="G53" i="5" s="1"/>
  <c r="H53" i="5"/>
  <c r="I53" i="5" s="1"/>
  <c r="J53" i="5" s="1"/>
  <c r="K53" i="5" s="1"/>
  <c r="L53" i="5"/>
  <c r="M53" i="5" s="1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 s="1"/>
  <c r="E37" i="4" s="1"/>
  <c r="F37" i="4" s="1"/>
  <c r="G37" i="4"/>
  <c r="H37" i="4" s="1"/>
  <c r="I37" i="4" s="1"/>
  <c r="J37" i="4" s="1"/>
  <c r="K37" i="4"/>
  <c r="L37" i="4" s="1"/>
  <c r="M37" i="4" s="1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 s="1"/>
  <c r="E38" i="3" s="1"/>
  <c r="F38" i="3" s="1"/>
  <c r="G38" i="3"/>
  <c r="H38" i="3" s="1"/>
  <c r="I38" i="3" s="1"/>
  <c r="J38" i="3" s="1"/>
  <c r="K38" i="3"/>
  <c r="L38" i="3" s="1"/>
  <c r="M38" i="3" s="1"/>
  <c r="N40" i="3"/>
  <c r="N52" i="3" s="1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 s="1"/>
  <c r="D52" i="3" s="1"/>
  <c r="E52" i="3"/>
  <c r="F52" i="3" s="1"/>
  <c r="G52" i="3" s="1"/>
  <c r="H52" i="3" s="1"/>
  <c r="I52" i="3" s="1"/>
  <c r="J52" i="3" s="1"/>
  <c r="K52" i="3" s="1"/>
  <c r="L52" i="3" s="1"/>
  <c r="M52" i="3" s="1"/>
  <c r="B36" i="2"/>
  <c r="C36" i="2"/>
  <c r="D36" i="2"/>
  <c r="E36" i="2"/>
  <c r="F36" i="2"/>
  <c r="G36" i="2"/>
  <c r="H36" i="2"/>
  <c r="I36" i="2"/>
  <c r="J36" i="2"/>
  <c r="K36" i="2"/>
  <c r="K37" i="2" s="1"/>
  <c r="L36" i="2"/>
  <c r="M36" i="2"/>
  <c r="B37" i="2"/>
  <c r="C37" i="2"/>
  <c r="D37" i="2"/>
  <c r="E37" i="2"/>
  <c r="F37" i="2"/>
  <c r="G37" i="2"/>
  <c r="H37" i="2"/>
  <c r="I37" i="2"/>
  <c r="J37" i="2"/>
  <c r="L37" i="2"/>
  <c r="M37" i="2"/>
  <c r="B38" i="2"/>
  <c r="C38" i="2"/>
  <c r="D38" i="2"/>
  <c r="E38" i="2" s="1"/>
  <c r="F38" i="2" s="1"/>
  <c r="G38" i="2" s="1"/>
  <c r="H38" i="2" s="1"/>
  <c r="I38" i="2" s="1"/>
  <c r="J38" i="2" s="1"/>
  <c r="K38" i="2" s="1"/>
  <c r="L38" i="2" s="1"/>
  <c r="M38" i="2" s="1"/>
  <c r="N40" i="2"/>
  <c r="N41" i="2"/>
  <c r="N42" i="2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N52" i="2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E51" i="1"/>
  <c r="F51" i="1"/>
  <c r="G51" i="1"/>
  <c r="H51" i="1"/>
  <c r="I51" i="1"/>
  <c r="J51" i="1"/>
  <c r="K51" i="1"/>
  <c r="L51" i="1"/>
  <c r="M51" i="1"/>
  <c r="D52" i="1"/>
  <c r="E52" i="1"/>
  <c r="F52" i="1" s="1"/>
  <c r="G52" i="1" s="1"/>
  <c r="H52" i="1" s="1"/>
  <c r="I52" i="1" s="1"/>
  <c r="J52" i="1" s="1"/>
  <c r="K52" i="1" s="1"/>
  <c r="L52" i="1" s="1"/>
  <c r="M52" i="1" s="1"/>
  <c r="N52" i="1" l="1"/>
  <c r="N53" i="5"/>
  <c r="J5" i="6"/>
  <c r="J6" i="6" l="1"/>
  <c r="K5" i="6"/>
  <c r="K6" i="6" l="1"/>
  <c r="J7" i="6"/>
  <c r="J8" i="6" l="1"/>
  <c r="K7" i="6"/>
  <c r="K8" i="6" l="1"/>
  <c r="J9" i="6"/>
  <c r="K9" i="6" l="1"/>
  <c r="J10" i="6"/>
  <c r="K10" i="6" l="1"/>
  <c r="J11" i="6"/>
  <c r="J12" i="6" l="1"/>
  <c r="K11" i="6"/>
  <c r="K12" i="6" l="1"/>
  <c r="J13" i="6"/>
  <c r="K13" i="6" l="1"/>
  <c r="J14" i="6"/>
  <c r="K14" i="6" l="1"/>
  <c r="J15" i="6"/>
  <c r="J16" i="6" l="1"/>
  <c r="K15" i="6"/>
  <c r="K16" i="6" l="1"/>
  <c r="J17" i="6"/>
  <c r="K17" i="6" l="1"/>
  <c r="J18" i="6"/>
  <c r="K18" i="6" l="1"/>
  <c r="J19" i="6"/>
  <c r="J20" i="6" l="1"/>
  <c r="K19" i="6"/>
  <c r="K20" i="6" l="1"/>
  <c r="J21" i="6"/>
  <c r="K21" i="6" l="1"/>
  <c r="J22" i="6"/>
  <c r="K22" i="6" l="1"/>
  <c r="J23" i="6"/>
  <c r="J24" i="6" l="1"/>
  <c r="K23" i="6"/>
  <c r="K24" i="6" l="1"/>
  <c r="J25" i="6"/>
  <c r="K25" i="6" l="1"/>
  <c r="J26" i="6"/>
  <c r="K26" i="6" l="1"/>
  <c r="J27" i="6"/>
  <c r="J28" i="6" l="1"/>
  <c r="K27" i="6"/>
  <c r="K28" i="6" l="1"/>
  <c r="J29" i="6"/>
  <c r="K29" i="6" l="1"/>
  <c r="J30" i="6"/>
  <c r="K30" i="6" l="1"/>
  <c r="J31" i="6"/>
  <c r="J32" i="6" l="1"/>
  <c r="K31" i="6"/>
  <c r="K32" i="6" l="1"/>
  <c r="J33" i="6"/>
  <c r="K33" i="6" l="1"/>
  <c r="J34" i="6"/>
  <c r="K34" i="6" l="1"/>
  <c r="J35" i="6"/>
  <c r="J36" i="6" l="1"/>
  <c r="K35" i="6"/>
  <c r="K36" i="6" l="1"/>
  <c r="J37" i="6"/>
  <c r="K37" i="6" l="1"/>
  <c r="J38" i="6"/>
  <c r="K38" i="6" l="1"/>
  <c r="J39" i="6"/>
  <c r="J40" i="6" l="1"/>
  <c r="K39" i="6"/>
  <c r="K40" i="6" l="1"/>
  <c r="J41" i="6"/>
  <c r="K41" i="6" l="1"/>
  <c r="J42" i="6"/>
  <c r="K42" i="6" l="1"/>
  <c r="J43" i="6"/>
  <c r="J44" i="6" l="1"/>
  <c r="K43" i="6"/>
  <c r="K44" i="6" l="1"/>
  <c r="J45" i="6"/>
  <c r="K45" i="6" l="1"/>
  <c r="J46" i="6"/>
  <c r="K46" i="6" l="1"/>
  <c r="J47" i="6"/>
  <c r="J48" i="6" l="1"/>
  <c r="K47" i="6"/>
  <c r="K48" i="6" l="1"/>
  <c r="J49" i="6"/>
  <c r="K49" i="6" l="1"/>
  <c r="J50" i="6"/>
  <c r="K50" i="6" l="1"/>
  <c r="J51" i="6"/>
  <c r="J52" i="6" l="1"/>
  <c r="K51" i="6"/>
  <c r="K52" i="6" l="1"/>
  <c r="J53" i="6"/>
  <c r="K53" i="6" l="1"/>
  <c r="J54" i="6"/>
  <c r="K54" i="6" l="1"/>
  <c r="J55" i="6"/>
  <c r="J56" i="6" l="1"/>
  <c r="K56" i="6" s="1"/>
  <c r="K55" i="6"/>
</calcChain>
</file>

<file path=xl/sharedStrings.xml><?xml version="1.0" encoding="utf-8"?>
<sst xmlns="http://schemas.openxmlformats.org/spreadsheetml/2006/main" count="451" uniqueCount="95">
  <si>
    <t xml:space="preserve"> </t>
  </si>
  <si>
    <t>AVG</t>
  </si>
  <si>
    <t>04</t>
  </si>
  <si>
    <t>03</t>
  </si>
  <si>
    <t>02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</si>
  <si>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</si>
  <si>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</si>
  <si>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</si>
  <si>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</si>
  <si>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</si>
  <si>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</si>
  <si>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</si>
  <si>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</si>
  <si>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</si>
  <si>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</si>
  <si>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</si>
  <si>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</si>
  <si>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</si>
  <si>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</si>
  <si>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</si>
  <si>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</si>
  <si>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</si>
  <si>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</si>
  <si>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2005</t>
  </si>
  <si>
    <t>STATION 48 2005</t>
  </si>
  <si>
    <t>JAN</t>
  </si>
  <si>
    <t>LOST RIVER SPILL-AND-ROSE-DAM 2005</t>
  </si>
  <si>
    <t>ACCUHRS</t>
  </si>
  <si>
    <t>HRS</t>
  </si>
  <si>
    <t>D-PLANT HOURS 2005</t>
  </si>
  <si>
    <t>D-PLANT ACRE FEET 2005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</si>
  <si>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</si>
  <si>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</si>
  <si>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</si>
  <si>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</si>
  <si>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</si>
  <si>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</si>
  <si>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</si>
  <si>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</si>
  <si>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</si>
  <si>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</si>
  <si>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</si>
  <si>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</si>
  <si>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</si>
  <si>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</si>
  <si>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</si>
  <si>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</si>
  <si>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</si>
  <si>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</si>
  <si>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</si>
  <si>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</si>
  <si>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</si>
  <si>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</si>
  <si>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</si>
  <si>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</si>
  <si>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</si>
  <si>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</si>
  <si>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</si>
  <si>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</si>
  <si>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</si>
  <si>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</si>
  <si>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</si>
  <si>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</si>
  <si>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</si>
  <si>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</si>
  <si>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</si>
  <si>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</si>
  <si>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</si>
  <si>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</si>
  <si>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</si>
  <si>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</si>
  <si>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</si>
  <si>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</si>
  <si>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</si>
  <si>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</si>
  <si>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</si>
  <si>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</si>
  <si>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</si>
  <si>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</si>
  <si>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</si>
  <si>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</si>
  <si>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</si>
  <si>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</si>
  <si>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</si>
  <si>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</si>
  <si>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</si>
  <si>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</si>
  <si>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</si>
  <si>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</si>
  <si>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</si>
  <si>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</si>
  <si>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</si>
  <si>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</si>
  <si>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</si>
  <si>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 xml:space="preserve">         TO STRAITS DRAIN @ REFUGE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</si>
</sst>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23</v>
      </c>
      <c r="K1" s="9" t="s">
        <v>23</v>
      </c>
    </row>
    <row r="3" spans="1:13" x14ac:dyDescent="0.2">
      <c r="A3" s="8" t="s">
        <v>22</v>
      </c>
      <c r="B3" s="8" t="s">
        <v>21</v>
      </c>
      <c r="C3" s="8" t="s">
        <v>20</v>
      </c>
      <c r="D3" s="8" t="s">
        <v>19</v>
      </c>
      <c r="E3" s="8" t="s">
        <v>18</v>
      </c>
      <c r="F3" s="8" t="s">
        <v>17</v>
      </c>
      <c r="G3" s="8" t="s">
        <v>16</v>
      </c>
      <c r="H3" s="8" t="s">
        <v>15</v>
      </c>
      <c r="I3" s="8" t="s">
        <v>14</v>
      </c>
      <c r="J3" s="8" t="s">
        <v>13</v>
      </c>
      <c r="K3" s="8" t="s">
        <v>12</v>
      </c>
      <c r="L3" s="8" t="s">
        <v>11</v>
      </c>
      <c r="M3" s="8" t="s">
        <v>10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133</v>
      </c>
      <c r="F4" s="6">
        <v>122</v>
      </c>
      <c r="G4" s="6">
        <v>195</v>
      </c>
      <c r="H4" s="6">
        <v>493</v>
      </c>
      <c r="I4" s="6">
        <v>320</v>
      </c>
      <c r="J4" s="6">
        <v>328</v>
      </c>
      <c r="K4" s="6">
        <v>103</v>
      </c>
      <c r="L4" s="6">
        <v>108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133</v>
      </c>
      <c r="F5" s="6">
        <v>114</v>
      </c>
      <c r="G5" s="6">
        <v>225</v>
      </c>
      <c r="H5" s="6">
        <v>483</v>
      </c>
      <c r="I5" s="6">
        <v>323</v>
      </c>
      <c r="J5" s="6">
        <v>320</v>
      </c>
      <c r="K5" s="6">
        <v>96</v>
      </c>
      <c r="L5" s="6">
        <v>110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134</v>
      </c>
      <c r="F6" s="6">
        <v>114</v>
      </c>
      <c r="G6" s="6">
        <v>230</v>
      </c>
      <c r="H6" s="6">
        <v>452</v>
      </c>
      <c r="I6" s="6">
        <v>361</v>
      </c>
      <c r="J6" s="6">
        <v>335</v>
      </c>
      <c r="K6" s="6">
        <v>112</v>
      </c>
      <c r="L6" s="6">
        <v>100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133</v>
      </c>
      <c r="F7" s="6">
        <v>115</v>
      </c>
      <c r="G7" s="6">
        <v>232</v>
      </c>
      <c r="H7" s="6">
        <v>445</v>
      </c>
      <c r="I7" s="6">
        <v>322</v>
      </c>
      <c r="J7" s="6">
        <v>327</v>
      </c>
      <c r="K7" s="6">
        <v>86</v>
      </c>
      <c r="L7" s="6">
        <v>110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136</v>
      </c>
      <c r="F8" s="6">
        <v>118</v>
      </c>
      <c r="G8" s="6">
        <v>237</v>
      </c>
      <c r="H8" s="6">
        <v>487</v>
      </c>
      <c r="I8" s="6">
        <v>313</v>
      </c>
      <c r="J8" s="6">
        <v>327</v>
      </c>
      <c r="K8" s="6">
        <v>78</v>
      </c>
      <c r="L8" s="6">
        <v>110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143</v>
      </c>
      <c r="F9" s="6">
        <v>117</v>
      </c>
      <c r="G9" s="6">
        <v>238</v>
      </c>
      <c r="H9" s="6">
        <v>504</v>
      </c>
      <c r="I9" s="6">
        <v>287</v>
      </c>
      <c r="J9" s="6">
        <v>315</v>
      </c>
      <c r="K9" s="6">
        <v>83</v>
      </c>
      <c r="L9" s="6">
        <v>114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145</v>
      </c>
      <c r="F10" s="6">
        <v>114</v>
      </c>
      <c r="G10" s="6">
        <v>268</v>
      </c>
      <c r="H10" s="6">
        <v>547</v>
      </c>
      <c r="I10" s="6">
        <v>276</v>
      </c>
      <c r="J10" s="6">
        <v>319</v>
      </c>
      <c r="K10" s="6">
        <v>87</v>
      </c>
      <c r="L10" s="6">
        <v>120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128</v>
      </c>
      <c r="F11" s="6">
        <v>114</v>
      </c>
      <c r="G11" s="6">
        <v>264</v>
      </c>
      <c r="H11" s="6">
        <v>557</v>
      </c>
      <c r="I11" s="6">
        <v>284</v>
      </c>
      <c r="J11" s="6">
        <v>311</v>
      </c>
      <c r="K11" s="6">
        <v>61</v>
      </c>
      <c r="L11" s="6">
        <v>85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120</v>
      </c>
      <c r="F12" s="6">
        <v>119</v>
      </c>
      <c r="G12" s="6">
        <v>271</v>
      </c>
      <c r="H12" s="6">
        <v>468</v>
      </c>
      <c r="I12" s="6">
        <v>309</v>
      </c>
      <c r="J12" s="6">
        <v>301</v>
      </c>
      <c r="K12" s="6">
        <v>60</v>
      </c>
      <c r="L12" s="6">
        <v>65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120</v>
      </c>
      <c r="F13" s="6">
        <v>117</v>
      </c>
      <c r="G13" s="6">
        <v>290</v>
      </c>
      <c r="H13" s="6">
        <v>453</v>
      </c>
      <c r="I13" s="6">
        <v>334</v>
      </c>
      <c r="J13" s="6">
        <v>300</v>
      </c>
      <c r="K13" s="6">
        <v>90</v>
      </c>
      <c r="L13" s="6">
        <v>52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126</v>
      </c>
      <c r="F14" s="6">
        <v>115</v>
      </c>
      <c r="G14" s="6">
        <v>315</v>
      </c>
      <c r="H14" s="6">
        <v>458</v>
      </c>
      <c r="I14" s="6">
        <v>329</v>
      </c>
      <c r="J14" s="6">
        <v>293</v>
      </c>
      <c r="K14" s="6">
        <v>88</v>
      </c>
      <c r="L14" s="6">
        <v>50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19</v>
      </c>
      <c r="E15" s="6">
        <v>130</v>
      </c>
      <c r="F15" s="6">
        <v>121</v>
      </c>
      <c r="G15" s="6">
        <v>332</v>
      </c>
      <c r="H15" s="6">
        <v>467</v>
      </c>
      <c r="I15" s="6">
        <v>345</v>
      </c>
      <c r="J15" s="6">
        <v>295</v>
      </c>
      <c r="K15" s="6">
        <v>82</v>
      </c>
      <c r="L15" s="6">
        <v>47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45</v>
      </c>
      <c r="E16" s="6">
        <v>131</v>
      </c>
      <c r="F16" s="6">
        <v>117</v>
      </c>
      <c r="G16" s="6">
        <v>385</v>
      </c>
      <c r="H16" s="6">
        <v>463</v>
      </c>
      <c r="I16" s="6">
        <v>309</v>
      </c>
      <c r="J16" s="6">
        <v>254</v>
      </c>
      <c r="K16" s="6">
        <v>86</v>
      </c>
      <c r="L16" s="6">
        <v>45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45</v>
      </c>
      <c r="E17" s="6">
        <v>130</v>
      </c>
      <c r="F17" s="6">
        <v>118</v>
      </c>
      <c r="G17" s="6">
        <v>435</v>
      </c>
      <c r="H17" s="6">
        <v>429</v>
      </c>
      <c r="I17" s="6">
        <v>279</v>
      </c>
      <c r="J17" s="6">
        <v>205</v>
      </c>
      <c r="K17" s="6">
        <v>88</v>
      </c>
      <c r="L17" s="6">
        <v>17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44</v>
      </c>
      <c r="E18" s="6">
        <v>126</v>
      </c>
      <c r="F18" s="6">
        <v>116</v>
      </c>
      <c r="G18" s="6">
        <v>451</v>
      </c>
      <c r="H18" s="6">
        <v>394</v>
      </c>
      <c r="I18" s="6">
        <v>280</v>
      </c>
      <c r="J18" s="6">
        <v>190</v>
      </c>
      <c r="K18" s="6">
        <v>79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55</v>
      </c>
      <c r="E19" s="6">
        <v>135</v>
      </c>
      <c r="F19" s="6">
        <v>111</v>
      </c>
      <c r="G19" s="6">
        <v>483</v>
      </c>
      <c r="H19" s="6">
        <v>412</v>
      </c>
      <c r="I19" s="6">
        <v>279</v>
      </c>
      <c r="J19" s="6">
        <v>188</v>
      </c>
      <c r="K19" s="6">
        <v>68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64</v>
      </c>
      <c r="E20" s="6">
        <v>155</v>
      </c>
      <c r="F20" s="6">
        <v>110</v>
      </c>
      <c r="G20" s="6">
        <v>439</v>
      </c>
      <c r="H20" s="6">
        <v>419</v>
      </c>
      <c r="I20" s="6">
        <v>286</v>
      </c>
      <c r="J20" s="6">
        <v>172</v>
      </c>
      <c r="K20" s="6">
        <v>67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80</v>
      </c>
      <c r="E21" s="6">
        <v>150</v>
      </c>
      <c r="F21" s="6">
        <v>113</v>
      </c>
      <c r="G21" s="6">
        <v>421</v>
      </c>
      <c r="H21" s="6">
        <v>407</v>
      </c>
      <c r="I21" s="6">
        <v>266</v>
      </c>
      <c r="J21" s="6">
        <v>160</v>
      </c>
      <c r="K21" s="6">
        <v>64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120</v>
      </c>
      <c r="E22" s="6">
        <v>149</v>
      </c>
      <c r="F22" s="6">
        <v>103</v>
      </c>
      <c r="G22" s="6">
        <v>397</v>
      </c>
      <c r="H22" s="6">
        <v>423</v>
      </c>
      <c r="I22" s="6">
        <v>252</v>
      </c>
      <c r="J22" s="6">
        <v>159</v>
      </c>
      <c r="K22" s="6">
        <v>63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127</v>
      </c>
      <c r="E23" s="6">
        <v>153</v>
      </c>
      <c r="F23" s="6">
        <v>87</v>
      </c>
      <c r="G23" s="6">
        <v>433</v>
      </c>
      <c r="H23" s="6">
        <v>433</v>
      </c>
      <c r="I23" s="6">
        <v>295</v>
      </c>
      <c r="J23" s="6">
        <v>163</v>
      </c>
      <c r="K23" s="6">
        <v>61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133</v>
      </c>
      <c r="E24" s="6">
        <v>155</v>
      </c>
      <c r="F24" s="6">
        <v>85</v>
      </c>
      <c r="G24" s="6">
        <v>462</v>
      </c>
      <c r="H24" s="6">
        <v>462</v>
      </c>
      <c r="I24" s="6">
        <v>316</v>
      </c>
      <c r="J24" s="6">
        <v>159</v>
      </c>
      <c r="K24" s="6">
        <v>29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136</v>
      </c>
      <c r="E25" s="6">
        <v>157</v>
      </c>
      <c r="F25" s="6">
        <v>90</v>
      </c>
      <c r="G25" s="6">
        <v>472</v>
      </c>
      <c r="H25" s="6">
        <v>421</v>
      </c>
      <c r="I25" s="6">
        <v>322</v>
      </c>
      <c r="J25" s="6">
        <v>148</v>
      </c>
      <c r="K25" s="6">
        <v>59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130</v>
      </c>
      <c r="E26" s="6">
        <v>148</v>
      </c>
      <c r="F26" s="6">
        <v>95</v>
      </c>
      <c r="G26" s="6">
        <v>453</v>
      </c>
      <c r="H26" s="6">
        <v>378</v>
      </c>
      <c r="I26" s="6">
        <v>320</v>
      </c>
      <c r="J26" s="6">
        <v>131</v>
      </c>
      <c r="K26" s="6">
        <v>58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127</v>
      </c>
      <c r="E27" s="6">
        <v>145</v>
      </c>
      <c r="F27" s="6">
        <v>115</v>
      </c>
      <c r="G27" s="6">
        <v>481</v>
      </c>
      <c r="H27" s="6">
        <v>359</v>
      </c>
      <c r="I27" s="6">
        <v>303</v>
      </c>
      <c r="J27" s="6">
        <v>109</v>
      </c>
      <c r="K27" s="6">
        <v>65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125</v>
      </c>
      <c r="E28" s="6">
        <v>151</v>
      </c>
      <c r="F28" s="6">
        <v>115</v>
      </c>
      <c r="G28" s="6">
        <v>478</v>
      </c>
      <c r="H28" s="6">
        <v>391</v>
      </c>
      <c r="I28" s="6">
        <v>277</v>
      </c>
      <c r="J28" s="6">
        <v>105</v>
      </c>
      <c r="K28" s="6">
        <v>65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122</v>
      </c>
      <c r="E29" s="6">
        <v>158</v>
      </c>
      <c r="F29" s="6">
        <v>125</v>
      </c>
      <c r="G29" s="6">
        <v>446</v>
      </c>
      <c r="H29" s="6">
        <v>411</v>
      </c>
      <c r="I29" s="6">
        <v>336</v>
      </c>
      <c r="J29" s="6">
        <v>99</v>
      </c>
      <c r="K29" s="6">
        <v>65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119</v>
      </c>
      <c r="E30" s="6">
        <v>168</v>
      </c>
      <c r="F30" s="6">
        <v>130</v>
      </c>
      <c r="G30" s="6">
        <v>458</v>
      </c>
      <c r="H30" s="6">
        <v>398</v>
      </c>
      <c r="I30" s="6">
        <v>338</v>
      </c>
      <c r="J30" s="6">
        <v>124</v>
      </c>
      <c r="K30" s="6">
        <v>100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135</v>
      </c>
      <c r="E31" s="6">
        <v>140</v>
      </c>
      <c r="F31" s="6">
        <v>130</v>
      </c>
      <c r="G31" s="6">
        <v>474</v>
      </c>
      <c r="H31" s="6">
        <v>364</v>
      </c>
      <c r="I31" s="6">
        <v>343</v>
      </c>
      <c r="J31" s="6">
        <v>141</v>
      </c>
      <c r="K31" s="6">
        <v>125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152</v>
      </c>
      <c r="E32" s="6">
        <v>114</v>
      </c>
      <c r="F32" s="6">
        <v>135</v>
      </c>
      <c r="G32" s="6">
        <v>474</v>
      </c>
      <c r="H32" s="6">
        <v>362</v>
      </c>
      <c r="I32" s="6">
        <v>334</v>
      </c>
      <c r="J32" s="6">
        <v>130</v>
      </c>
      <c r="K32" s="6">
        <v>133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132</v>
      </c>
      <c r="E33" s="6">
        <v>121</v>
      </c>
      <c r="F33" s="6">
        <v>118</v>
      </c>
      <c r="G33" s="6">
        <v>488</v>
      </c>
      <c r="H33" s="6">
        <v>345</v>
      </c>
      <c r="I33" s="6">
        <v>351</v>
      </c>
      <c r="J33" s="6">
        <v>109</v>
      </c>
      <c r="K33" s="6">
        <v>132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141</v>
      </c>
      <c r="E34" t="s">
        <v>0</v>
      </c>
      <c r="F34" s="6">
        <v>168</v>
      </c>
      <c r="G34" t="s">
        <v>0</v>
      </c>
      <c r="H34" s="6">
        <v>330</v>
      </c>
      <c r="I34" s="6">
        <v>340</v>
      </c>
      <c r="J34" t="s">
        <v>0</v>
      </c>
      <c r="K34" s="6">
        <v>120</v>
      </c>
      <c r="L34" t="s">
        <v>0</v>
      </c>
      <c r="M34" s="6">
        <v>0</v>
      </c>
    </row>
    <row r="36" spans="1:14" x14ac:dyDescent="0.2">
      <c r="A36" t="s">
        <v>9</v>
      </c>
      <c r="B36" s="2">
        <f>SUM(B4:B35)</f>
        <v>0</v>
      </c>
      <c r="C36" s="2">
        <f>SUM(C4:C35)</f>
        <v>0</v>
      </c>
      <c r="D36" s="2">
        <f>SUM(D4:D35)</f>
        <v>2051</v>
      </c>
      <c r="E36" s="2">
        <f>SUM(E4:E35)</f>
        <v>4167</v>
      </c>
      <c r="F36" s="2">
        <f>SUM(F4:F35)</f>
        <v>3581</v>
      </c>
      <c r="G36" s="2">
        <f>SUM(G4:G35)</f>
        <v>11227</v>
      </c>
      <c r="H36" s="2">
        <f>SUM(H4:H35)</f>
        <v>13415</v>
      </c>
      <c r="I36" s="2">
        <f>SUM(I4:I35)</f>
        <v>9629</v>
      </c>
      <c r="J36" s="2">
        <f>SUM(J4:J35)</f>
        <v>6517</v>
      </c>
      <c r="K36" s="2">
        <f>SUM(K4:K35)</f>
        <v>2553</v>
      </c>
      <c r="L36" s="2">
        <f>SUM(L4:L35)</f>
        <v>1133</v>
      </c>
      <c r="M36" s="2">
        <f>SUM(M4:M35)</f>
        <v>0</v>
      </c>
      <c r="N36" s="2"/>
    </row>
    <row r="37" spans="1:14" x14ac:dyDescent="0.2">
      <c r="A37" t="s">
        <v>8</v>
      </c>
      <c r="B37" s="2">
        <f>+B36*1.98</f>
        <v>0</v>
      </c>
      <c r="C37" s="2">
        <f>+C36*1.98</f>
        <v>0</v>
      </c>
      <c r="D37" s="2">
        <f>+D36*1.98</f>
        <v>4060.98</v>
      </c>
      <c r="E37" s="2">
        <f>+E36*1.98</f>
        <v>8250.66</v>
      </c>
      <c r="F37" s="2">
        <f>+F36*1.98</f>
        <v>7090.38</v>
      </c>
      <c r="G37" s="2">
        <f>+G36*1.98</f>
        <v>22229.46</v>
      </c>
      <c r="H37" s="2">
        <f>+H36*1.98</f>
        <v>26561.7</v>
      </c>
      <c r="I37" s="2">
        <f>+I36*1.98</f>
        <v>19065.419999999998</v>
      </c>
      <c r="J37" s="2">
        <f>+J36*1.98</f>
        <v>12903.66</v>
      </c>
      <c r="K37" s="2">
        <f>+K36*1.98</f>
        <v>5054.9399999999996</v>
      </c>
      <c r="L37" s="2">
        <f>+L36*1.98</f>
        <v>2243.34</v>
      </c>
      <c r="M37" s="2">
        <f>+M36*1.98</f>
        <v>0</v>
      </c>
      <c r="N37" s="2"/>
    </row>
    <row r="38" spans="1:14" x14ac:dyDescent="0.2">
      <c r="A38" t="s">
        <v>7</v>
      </c>
      <c r="B38" s="2">
        <f>+B37</f>
        <v>0</v>
      </c>
      <c r="C38" s="2">
        <f>+B38+C37</f>
        <v>0</v>
      </c>
      <c r="D38" s="2">
        <f>+C38+D37</f>
        <v>4060.98</v>
      </c>
      <c r="E38" s="2">
        <f>+D38+E37</f>
        <v>12311.64</v>
      </c>
      <c r="F38" s="2">
        <f>+E38+F37</f>
        <v>19402.02</v>
      </c>
      <c r="G38" s="2">
        <f>+F38+G37</f>
        <v>41631.479999999996</v>
      </c>
      <c r="H38" s="2">
        <f>+G38+H37</f>
        <v>68193.179999999993</v>
      </c>
      <c r="I38" s="2">
        <f>+H38+I37</f>
        <v>87258.599999999991</v>
      </c>
      <c r="J38" s="2">
        <f>+I38+J37</f>
        <v>100162.26</v>
      </c>
      <c r="K38" s="2">
        <f>+J38+K37</f>
        <v>105217.2</v>
      </c>
      <c r="L38" s="2">
        <f>+K38+L37</f>
        <v>107460.54</v>
      </c>
      <c r="M38" s="2">
        <f>+L38+M37</f>
        <v>107460.54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>
        <v>95</v>
      </c>
      <c r="B40" s="2">
        <v>0</v>
      </c>
      <c r="C40" s="2">
        <v>0</v>
      </c>
      <c r="D40" s="2">
        <v>1327</v>
      </c>
      <c r="E40" s="2">
        <v>6061</v>
      </c>
      <c r="F40" s="2">
        <v>12098</v>
      </c>
      <c r="G40" s="2">
        <v>22386</v>
      </c>
      <c r="H40" s="2">
        <v>28211</v>
      </c>
      <c r="I40" s="2">
        <v>26130</v>
      </c>
      <c r="J40" s="2">
        <v>17173</v>
      </c>
      <c r="K40" s="2">
        <v>5718</v>
      </c>
      <c r="L40" s="2">
        <v>596</v>
      </c>
      <c r="M40" s="2">
        <v>0</v>
      </c>
      <c r="N40" s="2">
        <f>SUM(B40:M40)</f>
        <v>119700</v>
      </c>
    </row>
    <row r="41" spans="1:14" x14ac:dyDescent="0.2">
      <c r="A41">
        <v>96</v>
      </c>
      <c r="B41" s="2">
        <v>0</v>
      </c>
      <c r="C41" s="2">
        <v>0</v>
      </c>
      <c r="D41" s="2">
        <v>752</v>
      </c>
      <c r="E41" s="2">
        <v>7884</v>
      </c>
      <c r="F41" s="2">
        <v>16547</v>
      </c>
      <c r="G41" s="2">
        <v>32777</v>
      </c>
      <c r="H41" s="2">
        <v>30375</v>
      </c>
      <c r="I41" s="2">
        <v>23459</v>
      </c>
      <c r="J41" s="2">
        <v>16133</v>
      </c>
      <c r="K41" s="2">
        <v>5199</v>
      </c>
      <c r="L41" s="2">
        <v>723</v>
      </c>
      <c r="M41" s="2">
        <v>0</v>
      </c>
      <c r="N41" s="2">
        <f>SUM(B41:M41)</f>
        <v>133849</v>
      </c>
    </row>
    <row r="42" spans="1:14" x14ac:dyDescent="0.2">
      <c r="A42">
        <v>97</v>
      </c>
      <c r="B42" s="2">
        <v>0</v>
      </c>
      <c r="C42" s="2">
        <v>0</v>
      </c>
      <c r="D42" s="3">
        <v>4099</v>
      </c>
      <c r="E42" s="3">
        <v>12850</v>
      </c>
      <c r="F42" s="3">
        <v>23186</v>
      </c>
      <c r="G42" s="3">
        <v>28078</v>
      </c>
      <c r="H42" s="3">
        <v>28805</v>
      </c>
      <c r="I42" s="3">
        <v>23819</v>
      </c>
      <c r="J42" s="3">
        <v>11973</v>
      </c>
      <c r="K42" s="3">
        <v>4019</v>
      </c>
      <c r="L42" s="3">
        <v>366</v>
      </c>
      <c r="M42" s="2">
        <v>0</v>
      </c>
      <c r="N42" s="2">
        <f>SUM(B42:M42)</f>
        <v>137195</v>
      </c>
    </row>
    <row r="43" spans="1:14" x14ac:dyDescent="0.2">
      <c r="A43">
        <v>98</v>
      </c>
      <c r="B43" s="2">
        <v>0</v>
      </c>
      <c r="C43" s="2">
        <v>0</v>
      </c>
      <c r="D43" s="3">
        <v>2235</v>
      </c>
      <c r="E43" s="3">
        <v>5918</v>
      </c>
      <c r="F43" s="3">
        <v>6928</v>
      </c>
      <c r="G43" s="3">
        <v>13058</v>
      </c>
      <c r="H43" s="3">
        <v>29627</v>
      </c>
      <c r="I43" s="3">
        <v>25702</v>
      </c>
      <c r="J43" s="3">
        <v>15713</v>
      </c>
      <c r="K43" s="3">
        <v>4178</v>
      </c>
      <c r="L43" s="3">
        <v>877</v>
      </c>
      <c r="M43" s="2">
        <v>0</v>
      </c>
      <c r="N43" s="2">
        <f>SUM(B43:M43)</f>
        <v>104236</v>
      </c>
    </row>
    <row r="44" spans="1:14" x14ac:dyDescent="0.2">
      <c r="A44">
        <v>99</v>
      </c>
      <c r="B44" s="2">
        <v>0</v>
      </c>
      <c r="C44" s="2">
        <v>0</v>
      </c>
      <c r="D44" s="3">
        <v>1618</v>
      </c>
      <c r="E44" s="3">
        <v>7150</v>
      </c>
      <c r="F44" s="3">
        <v>21964</v>
      </c>
      <c r="G44" s="3">
        <v>29619</v>
      </c>
      <c r="H44" s="3">
        <v>31086</v>
      </c>
      <c r="I44" s="3">
        <v>21693</v>
      </c>
      <c r="J44" s="3">
        <v>14937</v>
      </c>
      <c r="K44" s="3">
        <v>6102</v>
      </c>
      <c r="L44" s="3">
        <v>2366</v>
      </c>
      <c r="M44" s="2">
        <v>0</v>
      </c>
      <c r="N44" s="2">
        <f>SUM(B44:M44)</f>
        <v>136535</v>
      </c>
    </row>
    <row r="45" spans="1:14" x14ac:dyDescent="0.2">
      <c r="A45" s="5" t="s">
        <v>6</v>
      </c>
      <c r="B45" s="2">
        <v>0</v>
      </c>
      <c r="C45" s="2">
        <v>0</v>
      </c>
      <c r="D45" s="3">
        <v>2273</v>
      </c>
      <c r="E45" s="3">
        <v>8417</v>
      </c>
      <c r="F45" s="3">
        <v>21313</v>
      </c>
      <c r="G45" s="3">
        <v>31512</v>
      </c>
      <c r="H45" s="3">
        <v>28474</v>
      </c>
      <c r="I45" s="3">
        <v>25174</v>
      </c>
      <c r="J45" s="3">
        <v>9286</v>
      </c>
      <c r="K45" s="3">
        <v>4419</v>
      </c>
      <c r="L45" s="3">
        <v>962</v>
      </c>
      <c r="M45" s="2">
        <v>0</v>
      </c>
      <c r="N45" s="2">
        <f>SUM(B45:M45)</f>
        <v>131830</v>
      </c>
    </row>
    <row r="46" spans="1:14" x14ac:dyDescent="0.2">
      <c r="A46" s="4" t="s">
        <v>5</v>
      </c>
      <c r="B46" s="2">
        <v>0</v>
      </c>
      <c r="C46" s="2">
        <v>0</v>
      </c>
      <c r="D46" s="3">
        <v>778</v>
      </c>
      <c r="E46" s="3">
        <v>1358</v>
      </c>
      <c r="F46" s="3">
        <v>230</v>
      </c>
      <c r="G46" s="3">
        <v>980</v>
      </c>
      <c r="H46" s="3">
        <v>3509</v>
      </c>
      <c r="I46" s="3">
        <v>17276</v>
      </c>
      <c r="J46" s="3">
        <v>511</v>
      </c>
      <c r="K46" s="3">
        <v>3132</v>
      </c>
      <c r="L46" s="3">
        <v>5477</v>
      </c>
      <c r="M46" s="2">
        <v>0</v>
      </c>
      <c r="N46" s="2">
        <f>SUM(B46:M46)</f>
        <v>33251</v>
      </c>
    </row>
    <row r="47" spans="1:14" x14ac:dyDescent="0.2">
      <c r="A47" s="4" t="s">
        <v>4</v>
      </c>
      <c r="B47" s="2">
        <v>0</v>
      </c>
      <c r="C47" s="2">
        <v>0</v>
      </c>
      <c r="D47" s="3">
        <v>4912</v>
      </c>
      <c r="E47" s="3">
        <v>14084</v>
      </c>
      <c r="F47" s="3">
        <v>19465</v>
      </c>
      <c r="G47" s="3">
        <v>30427</v>
      </c>
      <c r="H47" s="3">
        <v>26922</v>
      </c>
      <c r="I47" s="3">
        <v>18545</v>
      </c>
      <c r="J47" s="3">
        <v>8657</v>
      </c>
      <c r="K47" s="3">
        <v>7370</v>
      </c>
      <c r="L47" s="3">
        <v>3427</v>
      </c>
      <c r="M47" s="2">
        <v>0</v>
      </c>
      <c r="N47" s="2">
        <f>SUM(B47:M47)</f>
        <v>133809</v>
      </c>
    </row>
    <row r="48" spans="1:14" x14ac:dyDescent="0.2">
      <c r="A48" s="4" t="s">
        <v>3</v>
      </c>
      <c r="B48" s="2">
        <v>0</v>
      </c>
      <c r="C48" s="2">
        <v>0</v>
      </c>
      <c r="D48" s="3">
        <v>6288</v>
      </c>
      <c r="E48" s="3">
        <v>5774</v>
      </c>
      <c r="F48" s="3">
        <v>10175</v>
      </c>
      <c r="G48" s="3">
        <v>27966</v>
      </c>
      <c r="H48" s="3">
        <v>18681</v>
      </c>
      <c r="I48" s="3">
        <v>13702</v>
      </c>
      <c r="J48" s="3">
        <v>12223</v>
      </c>
      <c r="K48" s="3">
        <v>7833</v>
      </c>
      <c r="L48" s="3">
        <v>2560</v>
      </c>
      <c r="M48" s="2">
        <v>0</v>
      </c>
      <c r="N48" s="2">
        <f>SUM(B48:M48)</f>
        <v>105202</v>
      </c>
    </row>
    <row r="49" spans="1:14" x14ac:dyDescent="0.2">
      <c r="A49" s="4" t="s">
        <v>2</v>
      </c>
      <c r="B49" s="2">
        <v>0</v>
      </c>
      <c r="C49" s="2">
        <v>0</v>
      </c>
      <c r="D49" s="3">
        <v>3683</v>
      </c>
      <c r="E49" s="3">
        <v>17832</v>
      </c>
      <c r="F49" s="3">
        <v>19475</v>
      </c>
      <c r="G49" s="3">
        <v>29078</v>
      </c>
      <c r="H49" s="3">
        <v>25132</v>
      </c>
      <c r="I49" s="3">
        <v>23948</v>
      </c>
      <c r="J49" s="3">
        <v>12817</v>
      </c>
      <c r="K49" s="3">
        <v>5330</v>
      </c>
      <c r="L49" s="3">
        <v>204</v>
      </c>
      <c r="M49" s="2">
        <v>0</v>
      </c>
      <c r="N49" s="2">
        <f>SUM(B49:M49)</f>
        <v>137499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2796.5</v>
      </c>
      <c r="E51" s="1">
        <f>AVERAGE(E40:E49)</f>
        <v>8732.7999999999993</v>
      </c>
      <c r="F51" s="1">
        <f>AVERAGE(F40:F49)</f>
        <v>15138.1</v>
      </c>
      <c r="G51" s="1">
        <f>AVERAGE(G40:G49)</f>
        <v>24588.1</v>
      </c>
      <c r="H51" s="1">
        <f>AVERAGE(H40:H49)</f>
        <v>25082.2</v>
      </c>
      <c r="I51" s="1">
        <f>AVERAGE(I40:I49)</f>
        <v>21944.799999999999</v>
      </c>
      <c r="J51" s="1">
        <f>AVERAGE(J40:J49)</f>
        <v>11942.3</v>
      </c>
      <c r="K51" s="1">
        <f>AVERAGE(K40:K49)</f>
        <v>5330</v>
      </c>
      <c r="L51" s="1">
        <f>AVERAGE(L40:L49)</f>
        <v>1755.8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2796.5</v>
      </c>
      <c r="E52" s="1">
        <f>+D52+E51</f>
        <v>11529.3</v>
      </c>
      <c r="F52" s="1">
        <f>+E52+F51</f>
        <v>26667.4</v>
      </c>
      <c r="G52" s="1">
        <f>+F52+G51</f>
        <v>51255.5</v>
      </c>
      <c r="H52" s="1">
        <f>+G52+H51</f>
        <v>76337.7</v>
      </c>
      <c r="I52" s="1">
        <f>+H52+I51</f>
        <v>98282.5</v>
      </c>
      <c r="J52" s="1">
        <f>+I52+J51</f>
        <v>110224.8</v>
      </c>
      <c r="K52" s="1">
        <f>+J52+K51</f>
        <v>115554.8</v>
      </c>
      <c r="L52" s="1">
        <f>+K52+L51</f>
        <v>117310.6</v>
      </c>
      <c r="M52" s="1">
        <f>+L52+M51</f>
        <v>117310.6</v>
      </c>
      <c r="N52" s="1">
        <f>AVERAGE(N40:N49)</f>
        <v>117310.6</v>
      </c>
    </row>
  </sheetData>
  <sheetProtection sheet="1" objects="1" scenarios="1"/>
  <pageMargins left="0.16" right="0.12" top="1" bottom="1" header="0.44" footer="0.5"/>
  <pageSetup scale="75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24</v>
      </c>
      <c r="K1" s="9" t="s">
        <v>24</v>
      </c>
    </row>
    <row r="3" spans="1:13" x14ac:dyDescent="0.2">
      <c r="A3" s="12" t="s">
        <v>22</v>
      </c>
      <c r="B3" s="12" t="s">
        <v>21</v>
      </c>
      <c r="C3" s="12" t="s">
        <v>20</v>
      </c>
      <c r="D3" s="12" t="s">
        <v>19</v>
      </c>
      <c r="E3" s="12" t="s">
        <v>18</v>
      </c>
      <c r="F3" s="12" t="s">
        <v>17</v>
      </c>
      <c r="G3" s="12" t="s">
        <v>16</v>
      </c>
      <c r="H3" s="12" t="s">
        <v>15</v>
      </c>
      <c r="I3" s="12" t="s">
        <v>14</v>
      </c>
      <c r="J3" s="12" t="s">
        <v>13</v>
      </c>
      <c r="K3" s="12" t="s">
        <v>12</v>
      </c>
      <c r="L3" s="12" t="s">
        <v>11</v>
      </c>
      <c r="M3" s="12" t="s">
        <v>10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200</v>
      </c>
      <c r="F4" s="6">
        <v>0</v>
      </c>
      <c r="G4" s="6">
        <v>67</v>
      </c>
      <c r="H4" s="6">
        <v>250</v>
      </c>
      <c r="I4" s="6">
        <v>100</v>
      </c>
      <c r="J4" s="6">
        <v>115</v>
      </c>
      <c r="K4" s="6">
        <v>0</v>
      </c>
      <c r="L4" s="6">
        <v>89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200</v>
      </c>
      <c r="F5" s="6">
        <v>0</v>
      </c>
      <c r="G5" s="6">
        <v>121</v>
      </c>
      <c r="H5" s="6">
        <v>283</v>
      </c>
      <c r="I5" s="6">
        <v>131</v>
      </c>
      <c r="J5" s="6">
        <v>182</v>
      </c>
      <c r="K5" s="6">
        <v>0</v>
      </c>
      <c r="L5" s="6">
        <v>40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200</v>
      </c>
      <c r="F6" s="6">
        <v>0</v>
      </c>
      <c r="G6" s="6">
        <v>150</v>
      </c>
      <c r="H6" s="6">
        <v>267</v>
      </c>
      <c r="I6" s="6">
        <v>150</v>
      </c>
      <c r="J6" s="6">
        <v>175</v>
      </c>
      <c r="K6" s="6">
        <v>0</v>
      </c>
      <c r="L6" s="6">
        <v>52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200</v>
      </c>
      <c r="F7" s="6">
        <v>0</v>
      </c>
      <c r="G7" s="6">
        <v>117</v>
      </c>
      <c r="H7" s="6">
        <v>250</v>
      </c>
      <c r="I7" s="6">
        <v>150</v>
      </c>
      <c r="J7" s="6">
        <v>135</v>
      </c>
      <c r="K7" s="6">
        <v>0</v>
      </c>
      <c r="L7" s="6">
        <v>75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200</v>
      </c>
      <c r="F8" s="6">
        <v>0</v>
      </c>
      <c r="G8" s="6">
        <v>100</v>
      </c>
      <c r="H8" s="6">
        <v>250</v>
      </c>
      <c r="I8" s="6">
        <v>150</v>
      </c>
      <c r="J8" s="6">
        <v>85</v>
      </c>
      <c r="K8" s="6">
        <v>0</v>
      </c>
      <c r="L8" s="6">
        <v>75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200</v>
      </c>
      <c r="F9" s="6">
        <v>0</v>
      </c>
      <c r="G9" s="6">
        <v>81</v>
      </c>
      <c r="H9" s="6">
        <v>250</v>
      </c>
      <c r="I9" s="6">
        <v>115</v>
      </c>
      <c r="J9" s="6">
        <v>98</v>
      </c>
      <c r="K9" s="6">
        <v>0</v>
      </c>
      <c r="L9" s="6">
        <v>58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133</v>
      </c>
      <c r="F10" s="6">
        <v>0</v>
      </c>
      <c r="G10" s="6">
        <v>42</v>
      </c>
      <c r="H10" s="6">
        <v>320</v>
      </c>
      <c r="I10" s="6">
        <v>100</v>
      </c>
      <c r="J10" s="6">
        <v>150</v>
      </c>
      <c r="K10" s="6">
        <v>0</v>
      </c>
      <c r="L10" s="6">
        <v>19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89</v>
      </c>
      <c r="F11" s="6">
        <v>0</v>
      </c>
      <c r="G11" s="6">
        <v>31</v>
      </c>
      <c r="H11" s="6">
        <v>375</v>
      </c>
      <c r="I11" s="6">
        <v>100</v>
      </c>
      <c r="J11" s="6">
        <v>150</v>
      </c>
      <c r="K11" s="6">
        <v>0</v>
      </c>
      <c r="L11" s="6">
        <v>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28</v>
      </c>
      <c r="F12" s="6">
        <v>0</v>
      </c>
      <c r="G12" s="6">
        <v>133</v>
      </c>
      <c r="H12" s="6">
        <v>288</v>
      </c>
      <c r="I12" s="6">
        <v>148</v>
      </c>
      <c r="J12" s="6">
        <v>127</v>
      </c>
      <c r="K12" s="6">
        <v>0</v>
      </c>
      <c r="L12" s="6">
        <v>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50</v>
      </c>
      <c r="F13" s="6">
        <v>0</v>
      </c>
      <c r="G13" s="6">
        <v>213</v>
      </c>
      <c r="H13" s="6">
        <v>283</v>
      </c>
      <c r="I13" s="6">
        <v>179</v>
      </c>
      <c r="J13" s="6">
        <v>123</v>
      </c>
      <c r="K13" s="6">
        <v>0</v>
      </c>
      <c r="L13" s="6">
        <v>0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97</v>
      </c>
      <c r="E14" s="6">
        <v>33</v>
      </c>
      <c r="F14" s="6">
        <v>0</v>
      </c>
      <c r="G14" s="6">
        <v>290</v>
      </c>
      <c r="H14" s="6">
        <v>300</v>
      </c>
      <c r="I14" s="6">
        <v>150</v>
      </c>
      <c r="J14" s="6">
        <v>117</v>
      </c>
      <c r="K14" s="6">
        <v>0</v>
      </c>
      <c r="L14" s="6">
        <v>0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150</v>
      </c>
      <c r="E15" s="6">
        <v>25</v>
      </c>
      <c r="F15" s="6">
        <v>0</v>
      </c>
      <c r="G15" s="6">
        <v>233</v>
      </c>
      <c r="H15" s="6">
        <v>300</v>
      </c>
      <c r="I15" s="6">
        <v>125</v>
      </c>
      <c r="J15" s="6">
        <v>100</v>
      </c>
      <c r="K15" s="6">
        <v>0</v>
      </c>
      <c r="L15" s="6">
        <v>0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150</v>
      </c>
      <c r="E16" s="6">
        <v>25</v>
      </c>
      <c r="F16" s="6">
        <v>0</v>
      </c>
      <c r="G16" s="6">
        <v>238</v>
      </c>
      <c r="H16" s="6">
        <v>300</v>
      </c>
      <c r="I16" s="6">
        <v>100</v>
      </c>
      <c r="J16" s="6">
        <v>39</v>
      </c>
      <c r="K16" s="6">
        <v>0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150</v>
      </c>
      <c r="E17" s="6">
        <v>25</v>
      </c>
      <c r="F17" s="6">
        <v>0</v>
      </c>
      <c r="G17" s="6">
        <v>300</v>
      </c>
      <c r="H17" s="6">
        <v>300</v>
      </c>
      <c r="I17" s="6">
        <v>100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150</v>
      </c>
      <c r="E18" s="6">
        <v>41</v>
      </c>
      <c r="F18" s="6">
        <v>0</v>
      </c>
      <c r="G18" s="6">
        <v>315</v>
      </c>
      <c r="H18" s="6">
        <v>269</v>
      </c>
      <c r="I18" s="6">
        <v>100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150</v>
      </c>
      <c r="E19" s="6">
        <v>50</v>
      </c>
      <c r="F19" s="6">
        <v>0</v>
      </c>
      <c r="G19" s="6">
        <v>269</v>
      </c>
      <c r="H19" s="6">
        <v>250</v>
      </c>
      <c r="I19" s="6">
        <v>73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150</v>
      </c>
      <c r="E20" s="6">
        <v>50</v>
      </c>
      <c r="F20" s="6">
        <v>0</v>
      </c>
      <c r="G20" s="6">
        <v>177</v>
      </c>
      <c r="H20" s="6">
        <v>250</v>
      </c>
      <c r="I20" s="6">
        <v>63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150</v>
      </c>
      <c r="E21" s="6">
        <v>50</v>
      </c>
      <c r="F21" s="6">
        <v>0</v>
      </c>
      <c r="G21" s="6">
        <v>150</v>
      </c>
      <c r="H21" s="6">
        <v>250</v>
      </c>
      <c r="I21" s="6">
        <v>100</v>
      </c>
      <c r="J21" s="6">
        <v>0</v>
      </c>
      <c r="K21" s="6">
        <v>0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150</v>
      </c>
      <c r="E22" s="6">
        <v>50</v>
      </c>
      <c r="F22" s="6">
        <v>0</v>
      </c>
      <c r="G22" s="6">
        <v>177</v>
      </c>
      <c r="H22" s="6">
        <v>250</v>
      </c>
      <c r="I22" s="6">
        <v>123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150</v>
      </c>
      <c r="E23" s="6">
        <v>50</v>
      </c>
      <c r="F23" s="6">
        <v>0</v>
      </c>
      <c r="G23" s="6">
        <v>213</v>
      </c>
      <c r="H23" s="6">
        <v>250</v>
      </c>
      <c r="I23" s="6">
        <v>150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150</v>
      </c>
      <c r="E24" s="6">
        <v>40</v>
      </c>
      <c r="F24" s="6">
        <v>0</v>
      </c>
      <c r="G24" s="6">
        <v>250</v>
      </c>
      <c r="H24" s="6">
        <v>250</v>
      </c>
      <c r="I24" s="6">
        <v>127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150</v>
      </c>
      <c r="E25" s="6">
        <v>25</v>
      </c>
      <c r="F25" s="6">
        <v>0</v>
      </c>
      <c r="G25" s="6">
        <v>263</v>
      </c>
      <c r="H25" s="6">
        <v>218</v>
      </c>
      <c r="I25" s="6">
        <v>117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121</v>
      </c>
      <c r="E26" s="6">
        <v>25</v>
      </c>
      <c r="F26" s="6">
        <v>0</v>
      </c>
      <c r="G26" s="6">
        <v>300</v>
      </c>
      <c r="H26" s="6">
        <v>200</v>
      </c>
      <c r="I26" s="6">
        <v>123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100</v>
      </c>
      <c r="E27" s="6">
        <v>42</v>
      </c>
      <c r="F27" s="6">
        <v>9</v>
      </c>
      <c r="G27" s="6">
        <v>300</v>
      </c>
      <c r="H27" s="6">
        <v>200</v>
      </c>
      <c r="I27" s="6">
        <v>127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100</v>
      </c>
      <c r="E28" s="6">
        <v>50</v>
      </c>
      <c r="F28" s="6">
        <v>25</v>
      </c>
      <c r="G28" s="6">
        <v>277</v>
      </c>
      <c r="H28" s="6">
        <v>188</v>
      </c>
      <c r="I28" s="6">
        <v>113</v>
      </c>
      <c r="J28" s="6">
        <v>0</v>
      </c>
      <c r="K28" s="6">
        <v>8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100</v>
      </c>
      <c r="E29" s="6">
        <v>50</v>
      </c>
      <c r="F29" s="6">
        <v>25</v>
      </c>
      <c r="G29" s="6">
        <v>263</v>
      </c>
      <c r="H29" s="6">
        <v>206</v>
      </c>
      <c r="I29" s="6">
        <v>150</v>
      </c>
      <c r="J29" s="6">
        <v>0</v>
      </c>
      <c r="K29" s="6">
        <v>25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100</v>
      </c>
      <c r="E30" s="6">
        <v>42</v>
      </c>
      <c r="F30" s="6">
        <v>25</v>
      </c>
      <c r="G30" s="6">
        <v>264</v>
      </c>
      <c r="H30" s="6">
        <v>188</v>
      </c>
      <c r="I30" s="6">
        <v>138</v>
      </c>
      <c r="J30" s="6">
        <v>0</v>
      </c>
      <c r="K30" s="6">
        <v>87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128</v>
      </c>
      <c r="E31" s="6">
        <v>14</v>
      </c>
      <c r="F31" s="6">
        <v>25</v>
      </c>
      <c r="G31" s="6">
        <v>275</v>
      </c>
      <c r="H31" s="6">
        <v>150</v>
      </c>
      <c r="I31" s="6">
        <v>100</v>
      </c>
      <c r="J31" s="6">
        <v>0</v>
      </c>
      <c r="K31" s="6">
        <v>140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122</v>
      </c>
      <c r="E32" s="6">
        <v>0</v>
      </c>
      <c r="F32" s="6">
        <v>25</v>
      </c>
      <c r="G32" s="6">
        <v>321</v>
      </c>
      <c r="H32" s="6">
        <v>150</v>
      </c>
      <c r="I32" s="6">
        <v>100</v>
      </c>
      <c r="J32" s="6">
        <v>0</v>
      </c>
      <c r="K32" s="6">
        <v>108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128</v>
      </c>
      <c r="E33" s="6">
        <v>0</v>
      </c>
      <c r="F33" s="6">
        <v>33</v>
      </c>
      <c r="G33" s="6">
        <v>273</v>
      </c>
      <c r="H33" s="6">
        <v>117</v>
      </c>
      <c r="I33" s="6">
        <v>100</v>
      </c>
      <c r="J33" s="6">
        <v>0</v>
      </c>
      <c r="K33" s="6">
        <v>100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200</v>
      </c>
      <c r="E34" s="9" t="s">
        <v>0</v>
      </c>
      <c r="F34" s="6">
        <v>50</v>
      </c>
      <c r="G34" s="9" t="s">
        <v>0</v>
      </c>
      <c r="H34" s="6">
        <v>100</v>
      </c>
      <c r="I34" s="6">
        <v>100</v>
      </c>
      <c r="J34" s="9" t="s">
        <v>0</v>
      </c>
      <c r="K34" s="6">
        <v>100</v>
      </c>
      <c r="L34" s="9" t="s">
        <v>0</v>
      </c>
      <c r="M34" s="6">
        <v>0</v>
      </c>
    </row>
    <row r="36" spans="1:14" x14ac:dyDescent="0.2">
      <c r="A36" s="9" t="s">
        <v>9</v>
      </c>
      <c r="B36" s="2">
        <f>SUM(B4:B35)</f>
        <v>0</v>
      </c>
      <c r="C36" s="2">
        <f>SUM(C4:C35)</f>
        <v>0</v>
      </c>
      <c r="D36" s="2">
        <f>SUM(D4:D35)</f>
        <v>2846</v>
      </c>
      <c r="E36" s="2">
        <f>SUM(E4:E35)</f>
        <v>2187</v>
      </c>
      <c r="F36" s="2">
        <f>SUM(F4:F35)</f>
        <v>217</v>
      </c>
      <c r="G36" s="2">
        <f>SUM(G4:G35)</f>
        <v>6203</v>
      </c>
      <c r="H36" s="2">
        <f>SUM(H4:H35)</f>
        <v>7502</v>
      </c>
      <c r="I36" s="2">
        <f>SUM(I4:I35)</f>
        <v>3702</v>
      </c>
      <c r="J36" s="2">
        <f>SUM(J4:J35)</f>
        <v>1596</v>
      </c>
      <c r="K36" s="2">
        <f>SUM(K4:K35)</f>
        <v>568</v>
      </c>
      <c r="L36" s="2">
        <f>SUM(L4:L35)</f>
        <v>408</v>
      </c>
      <c r="M36" s="2">
        <f>SUM(M4:M35)</f>
        <v>0</v>
      </c>
      <c r="N36" s="2"/>
    </row>
    <row r="37" spans="1:14" x14ac:dyDescent="0.2">
      <c r="A37" s="9" t="s">
        <v>8</v>
      </c>
      <c r="B37" s="2">
        <f>B36*1.98</f>
        <v>0</v>
      </c>
      <c r="C37" s="2">
        <f>C36*1.98</f>
        <v>0</v>
      </c>
      <c r="D37" s="2">
        <f>D36*1.98</f>
        <v>5635.08</v>
      </c>
      <c r="E37" s="2">
        <f>E36*1.98</f>
        <v>4330.26</v>
      </c>
      <c r="F37" s="2">
        <f>F36*1.98</f>
        <v>429.65999999999997</v>
      </c>
      <c r="G37" s="2">
        <f>G36*1.98</f>
        <v>12281.94</v>
      </c>
      <c r="H37" s="2">
        <f>H36*1.98</f>
        <v>14853.96</v>
      </c>
      <c r="I37" s="2">
        <f>I36*1.98</f>
        <v>7329.96</v>
      </c>
      <c r="J37" s="2">
        <f>J36*1.98</f>
        <v>3160.08</v>
      </c>
      <c r="K37" s="2">
        <f>K36*1.98</f>
        <v>1124.6400000000001</v>
      </c>
      <c r="L37" s="2">
        <f>L36*1.98</f>
        <v>807.84</v>
      </c>
      <c r="M37" s="2">
        <f>M36*1.98</f>
        <v>0</v>
      </c>
      <c r="N37" s="2"/>
    </row>
    <row r="38" spans="1:14" x14ac:dyDescent="0.2">
      <c r="A38" s="9" t="s">
        <v>7</v>
      </c>
      <c r="B38" s="2">
        <f>+B37</f>
        <v>0</v>
      </c>
      <c r="C38" s="2">
        <f>+B38+C37</f>
        <v>0</v>
      </c>
      <c r="D38" s="2">
        <f>+C38+D37</f>
        <v>5635.08</v>
      </c>
      <c r="E38" s="2">
        <f>+D38+E37</f>
        <v>9965.34</v>
      </c>
      <c r="F38" s="2">
        <f>+E38+F37</f>
        <v>10395</v>
      </c>
      <c r="G38" s="2">
        <f>+F38+G37</f>
        <v>22676.940000000002</v>
      </c>
      <c r="H38" s="2">
        <f>+G38+H37</f>
        <v>37530.9</v>
      </c>
      <c r="I38" s="2">
        <f>+H38+I37</f>
        <v>44860.86</v>
      </c>
      <c r="J38" s="2">
        <f>+I38+J37</f>
        <v>48020.94</v>
      </c>
      <c r="K38" s="2">
        <f>+J38+K37</f>
        <v>49145.58</v>
      </c>
      <c r="L38" s="2">
        <f>+K38+L37</f>
        <v>49953.42</v>
      </c>
      <c r="M38" s="2">
        <f>+L38+M37</f>
        <v>49953.42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95</v>
      </c>
      <c r="B40" s="10">
        <v>1501</v>
      </c>
      <c r="C40" s="11">
        <v>0</v>
      </c>
      <c r="D40" s="3">
        <v>99</v>
      </c>
      <c r="E40" s="3">
        <v>2378</v>
      </c>
      <c r="F40" s="3">
        <v>5265</v>
      </c>
      <c r="G40" s="3">
        <v>13953</v>
      </c>
      <c r="H40" s="3">
        <v>19715</v>
      </c>
      <c r="I40" s="3">
        <v>16624</v>
      </c>
      <c r="J40" s="3">
        <v>3928</v>
      </c>
      <c r="K40" s="3">
        <v>430</v>
      </c>
      <c r="L40" s="3">
        <v>127</v>
      </c>
      <c r="M40" s="3">
        <v>0</v>
      </c>
      <c r="N40" s="2">
        <f>SUM(B40:M40)</f>
        <v>64020</v>
      </c>
    </row>
    <row r="41" spans="1:14" x14ac:dyDescent="0.2">
      <c r="A41">
        <v>96</v>
      </c>
      <c r="B41" s="10">
        <v>0</v>
      </c>
      <c r="C41" s="11">
        <v>0</v>
      </c>
      <c r="D41" s="3">
        <v>238</v>
      </c>
      <c r="E41" s="3">
        <v>4473</v>
      </c>
      <c r="F41" s="3">
        <v>6397</v>
      </c>
      <c r="G41" s="3">
        <v>20905</v>
      </c>
      <c r="H41" s="3">
        <v>22820</v>
      </c>
      <c r="I41" s="3">
        <v>13369</v>
      </c>
      <c r="J41" s="3">
        <v>3388</v>
      </c>
      <c r="K41" s="3">
        <v>97</v>
      </c>
      <c r="L41" s="3">
        <v>0</v>
      </c>
      <c r="M41" s="3">
        <v>0</v>
      </c>
      <c r="N41" s="2">
        <f>SUM(B41:M41)</f>
        <v>71687</v>
      </c>
    </row>
    <row r="42" spans="1:14" x14ac:dyDescent="0.2">
      <c r="A42">
        <v>97</v>
      </c>
      <c r="B42" s="10">
        <v>0</v>
      </c>
      <c r="C42" s="10">
        <v>0</v>
      </c>
      <c r="D42" s="10">
        <v>3497</v>
      </c>
      <c r="E42" s="10">
        <v>8999</v>
      </c>
      <c r="F42" s="10">
        <v>14216</v>
      </c>
      <c r="G42" s="10">
        <v>17537</v>
      </c>
      <c r="H42" s="10">
        <v>17068</v>
      </c>
      <c r="I42" s="10">
        <v>13965</v>
      </c>
      <c r="J42" s="10">
        <v>3675</v>
      </c>
      <c r="K42" s="10">
        <v>0</v>
      </c>
      <c r="L42" s="10">
        <v>0</v>
      </c>
      <c r="M42" s="10">
        <v>0</v>
      </c>
      <c r="N42" s="2">
        <f>SUM(B42:M42)</f>
        <v>78957</v>
      </c>
    </row>
    <row r="43" spans="1:14" x14ac:dyDescent="0.2">
      <c r="A43">
        <v>98</v>
      </c>
      <c r="B43" s="10">
        <v>0</v>
      </c>
      <c r="C43" s="10">
        <v>0</v>
      </c>
      <c r="D43" s="10">
        <v>743</v>
      </c>
      <c r="E43" s="10">
        <v>2063</v>
      </c>
      <c r="F43" s="10">
        <v>744</v>
      </c>
      <c r="G43" s="10">
        <v>4025</v>
      </c>
      <c r="H43" s="10">
        <v>22208</v>
      </c>
      <c r="I43" s="10">
        <v>10248</v>
      </c>
      <c r="J43" s="10">
        <v>1932</v>
      </c>
      <c r="K43" s="10">
        <v>0</v>
      </c>
      <c r="L43" s="10">
        <v>87</v>
      </c>
      <c r="M43" s="10">
        <v>0</v>
      </c>
      <c r="N43" s="2">
        <f>SUM(B43:M43)</f>
        <v>42050</v>
      </c>
    </row>
    <row r="44" spans="1:14" x14ac:dyDescent="0.2">
      <c r="A44">
        <v>99</v>
      </c>
      <c r="B44" s="10">
        <v>0</v>
      </c>
      <c r="C44" s="10">
        <v>0</v>
      </c>
      <c r="D44" s="10">
        <v>246</v>
      </c>
      <c r="E44" s="10">
        <v>1552</v>
      </c>
      <c r="F44" s="10">
        <v>12187</v>
      </c>
      <c r="G44" s="10">
        <v>18723</v>
      </c>
      <c r="H44" s="10">
        <v>20960</v>
      </c>
      <c r="I44" s="10">
        <v>9615</v>
      </c>
      <c r="J44" s="10">
        <v>2685</v>
      </c>
      <c r="K44" s="10">
        <v>1243</v>
      </c>
      <c r="L44" s="10">
        <v>1333</v>
      </c>
      <c r="M44" s="10">
        <v>0</v>
      </c>
      <c r="N44" s="2">
        <f>SUM(B44:M44)</f>
        <v>68544</v>
      </c>
    </row>
    <row r="45" spans="1:14" x14ac:dyDescent="0.2">
      <c r="A45" s="5" t="s">
        <v>6</v>
      </c>
      <c r="B45" s="10">
        <v>0</v>
      </c>
      <c r="C45" s="10">
        <v>0</v>
      </c>
      <c r="D45" s="10">
        <v>1289</v>
      </c>
      <c r="E45" s="10">
        <v>4164</v>
      </c>
      <c r="F45" s="10">
        <v>12832</v>
      </c>
      <c r="G45" s="10">
        <v>23326</v>
      </c>
      <c r="H45" s="10">
        <v>19341</v>
      </c>
      <c r="I45" s="10">
        <v>15490</v>
      </c>
      <c r="J45" s="10">
        <v>305</v>
      </c>
      <c r="K45" s="10">
        <v>4750</v>
      </c>
      <c r="L45" s="10">
        <v>0</v>
      </c>
      <c r="M45" s="10">
        <v>0</v>
      </c>
      <c r="N45" s="2">
        <f>SUM(B45:M45)</f>
        <v>81497</v>
      </c>
    </row>
    <row r="46" spans="1:14" x14ac:dyDescent="0.2">
      <c r="A46" s="5" t="s">
        <v>5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3">
        <v>3705</v>
      </c>
      <c r="I46" s="3">
        <v>15838</v>
      </c>
      <c r="J46" s="3">
        <v>836</v>
      </c>
      <c r="K46" s="10">
        <v>0</v>
      </c>
      <c r="L46" s="10">
        <v>0</v>
      </c>
      <c r="M46" s="10">
        <v>0</v>
      </c>
      <c r="N46" s="2">
        <f>SUM(B46:M46)</f>
        <v>20379</v>
      </c>
    </row>
    <row r="47" spans="1:14" x14ac:dyDescent="0.2">
      <c r="A47" s="5" t="s">
        <v>4</v>
      </c>
      <c r="B47" s="10">
        <v>5174</v>
      </c>
      <c r="C47" s="10">
        <v>3570</v>
      </c>
      <c r="D47" s="10">
        <v>7684</v>
      </c>
      <c r="E47" s="10">
        <v>10833</v>
      </c>
      <c r="F47" s="10">
        <v>11262</v>
      </c>
      <c r="G47" s="10">
        <v>25287</v>
      </c>
      <c r="H47" s="3">
        <v>22372</v>
      </c>
      <c r="I47" s="3">
        <v>7504</v>
      </c>
      <c r="J47" s="3">
        <v>3697</v>
      </c>
      <c r="K47" s="10">
        <v>3344</v>
      </c>
      <c r="L47" s="10">
        <v>2554</v>
      </c>
      <c r="M47" s="10">
        <v>0</v>
      </c>
      <c r="N47" s="2">
        <f>SUM(B47:M47)</f>
        <v>103281</v>
      </c>
    </row>
    <row r="48" spans="1:14" x14ac:dyDescent="0.2">
      <c r="A48" s="5" t="s">
        <v>3</v>
      </c>
      <c r="B48" s="10">
        <v>0</v>
      </c>
      <c r="C48" s="10">
        <v>0</v>
      </c>
      <c r="D48" s="10">
        <v>6774</v>
      </c>
      <c r="E48" s="10">
        <v>4182</v>
      </c>
      <c r="F48" s="10">
        <v>5687</v>
      </c>
      <c r="G48" s="10">
        <v>22382</v>
      </c>
      <c r="H48" s="3">
        <v>11995</v>
      </c>
      <c r="I48" s="3">
        <v>2627</v>
      </c>
      <c r="J48" s="3">
        <v>2287</v>
      </c>
      <c r="K48" s="10">
        <v>5198</v>
      </c>
      <c r="L48" s="10">
        <v>1572</v>
      </c>
      <c r="M48" s="10">
        <v>0</v>
      </c>
      <c r="N48" s="2">
        <f>SUM(B48:M48)</f>
        <v>62704</v>
      </c>
    </row>
    <row r="49" spans="1:14" x14ac:dyDescent="0.2">
      <c r="A49" s="5" t="s">
        <v>2</v>
      </c>
      <c r="B49" s="10">
        <v>746</v>
      </c>
      <c r="C49" s="10">
        <v>0</v>
      </c>
      <c r="D49" s="10">
        <v>2352</v>
      </c>
      <c r="E49" s="10">
        <v>13129</v>
      </c>
      <c r="F49" s="10">
        <v>6609</v>
      </c>
      <c r="G49" s="10">
        <v>18422</v>
      </c>
      <c r="H49" s="3">
        <v>13565</v>
      </c>
      <c r="I49" s="3">
        <v>13215</v>
      </c>
      <c r="J49" s="3">
        <v>4045</v>
      </c>
      <c r="K49" s="10">
        <v>2123</v>
      </c>
      <c r="L49" s="10">
        <v>0</v>
      </c>
      <c r="M49" s="10">
        <v>0</v>
      </c>
      <c r="N49" s="2">
        <f>SUM(B49:M49)</f>
        <v>74206</v>
      </c>
    </row>
    <row r="51" spans="1:14" x14ac:dyDescent="0.2">
      <c r="A51" s="9" t="s">
        <v>1</v>
      </c>
      <c r="B51" s="1">
        <f>AVERAGE(B40:B49)</f>
        <v>742.1</v>
      </c>
      <c r="C51" s="1">
        <f>AVERAGE(C40:C49)</f>
        <v>357</v>
      </c>
      <c r="D51" s="1">
        <f>AVERAGE(D40:D49)</f>
        <v>2292.1999999999998</v>
      </c>
      <c r="E51" s="1">
        <f>AVERAGE(E40:E49)</f>
        <v>5177.3</v>
      </c>
      <c r="F51" s="1">
        <f>AVERAGE(F40:F49)</f>
        <v>7519.9</v>
      </c>
      <c r="G51" s="1">
        <f>AVERAGE(G40:G49)</f>
        <v>16456</v>
      </c>
      <c r="H51" s="1">
        <f>AVERAGE(H40:H49)</f>
        <v>17374.900000000001</v>
      </c>
      <c r="I51" s="1">
        <f>AVERAGE(I40:I49)</f>
        <v>11849.5</v>
      </c>
      <c r="J51" s="1">
        <f>AVERAGE(J40:J49)</f>
        <v>2677.8</v>
      </c>
      <c r="K51" s="1">
        <f>AVERAGE(K40:K49)</f>
        <v>1718.5</v>
      </c>
      <c r="L51" s="1">
        <f>AVERAGE(L40:L49)</f>
        <v>567.29999999999995</v>
      </c>
      <c r="M51" s="1">
        <f>AVERAGE(M40:M49)</f>
        <v>0</v>
      </c>
    </row>
    <row r="52" spans="1:14" x14ac:dyDescent="0.2">
      <c r="B52" s="1">
        <f>+B51</f>
        <v>742.1</v>
      </c>
      <c r="C52" s="1">
        <f>+B52+C51</f>
        <v>1099.0999999999999</v>
      </c>
      <c r="D52" s="1">
        <f>+C52+D51</f>
        <v>3391.2999999999997</v>
      </c>
      <c r="E52" s="1">
        <f>+D52+E51</f>
        <v>8568.6</v>
      </c>
      <c r="F52" s="1">
        <f>+E52+F51</f>
        <v>16088.5</v>
      </c>
      <c r="G52" s="1">
        <f>+F52+G51</f>
        <v>32544.5</v>
      </c>
      <c r="H52" s="1">
        <f>+G52+H51</f>
        <v>49919.4</v>
      </c>
      <c r="I52" s="1">
        <f>+H52+I51</f>
        <v>61768.9</v>
      </c>
      <c r="J52" s="1">
        <f>+I52+J51</f>
        <v>64446.700000000004</v>
      </c>
      <c r="K52" s="1">
        <f>+J52+K51</f>
        <v>66165.200000000012</v>
      </c>
      <c r="L52" s="1">
        <f>+K52+L51</f>
        <v>66732.500000000015</v>
      </c>
      <c r="M52" s="1">
        <f>+L52+M51</f>
        <v>66732.500000000015</v>
      </c>
      <c r="N52" s="1">
        <f>AVERAGE(N40:N49)</f>
        <v>66732.5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26</v>
      </c>
      <c r="J1" s="9" t="s">
        <v>26</v>
      </c>
    </row>
    <row r="3" spans="1:13" x14ac:dyDescent="0.2">
      <c r="A3" s="12" t="s">
        <v>22</v>
      </c>
      <c r="B3" s="13" t="s">
        <v>25</v>
      </c>
      <c r="C3" s="13" t="s">
        <v>20</v>
      </c>
      <c r="D3" s="13" t="s">
        <v>19</v>
      </c>
      <c r="E3" s="13" t="s">
        <v>18</v>
      </c>
      <c r="F3" s="13" t="s">
        <v>17</v>
      </c>
      <c r="G3" s="13" t="s">
        <v>16</v>
      </c>
      <c r="H3" s="13" t="s">
        <v>15</v>
      </c>
      <c r="I3" s="13" t="s">
        <v>14</v>
      </c>
      <c r="J3" s="13" t="s">
        <v>13</v>
      </c>
      <c r="K3" s="13" t="s">
        <v>12</v>
      </c>
      <c r="L3" s="13" t="s">
        <v>11</v>
      </c>
      <c r="M3" s="13" t="s">
        <v>10</v>
      </c>
    </row>
    <row r="4" spans="1:13" x14ac:dyDescent="0.2">
      <c r="A4" s="7">
        <v>1</v>
      </c>
      <c r="B4" s="6">
        <v>60</v>
      </c>
      <c r="C4" s="6">
        <v>35</v>
      </c>
      <c r="D4" s="6">
        <v>0</v>
      </c>
      <c r="E4" s="6">
        <v>84</v>
      </c>
      <c r="F4" s="6">
        <v>59</v>
      </c>
      <c r="G4" s="6">
        <v>0</v>
      </c>
      <c r="H4" s="6">
        <v>13</v>
      </c>
      <c r="I4" s="6">
        <v>0</v>
      </c>
      <c r="J4" s="6">
        <v>0</v>
      </c>
      <c r="K4" s="6">
        <v>39</v>
      </c>
      <c r="L4" s="6">
        <v>0</v>
      </c>
      <c r="M4" s="6">
        <v>30</v>
      </c>
    </row>
    <row r="5" spans="1:13" x14ac:dyDescent="0.2">
      <c r="A5" s="7">
        <v>2</v>
      </c>
      <c r="B5" s="6">
        <v>33</v>
      </c>
      <c r="C5" s="6">
        <v>35</v>
      </c>
      <c r="D5" s="6">
        <v>0</v>
      </c>
      <c r="E5" s="6">
        <v>77</v>
      </c>
      <c r="F5" s="6">
        <v>50</v>
      </c>
      <c r="G5" s="6">
        <v>0</v>
      </c>
      <c r="H5" s="6">
        <v>0</v>
      </c>
      <c r="I5" s="6">
        <v>0</v>
      </c>
      <c r="J5" s="6">
        <v>0</v>
      </c>
      <c r="K5" s="6">
        <v>72</v>
      </c>
      <c r="L5" s="6">
        <v>0</v>
      </c>
      <c r="M5" s="6">
        <v>43</v>
      </c>
    </row>
    <row r="6" spans="1:13" x14ac:dyDescent="0.2">
      <c r="A6" s="7">
        <v>3</v>
      </c>
      <c r="B6" s="6">
        <v>20</v>
      </c>
      <c r="C6" s="6">
        <v>35</v>
      </c>
      <c r="D6" s="6">
        <v>0</v>
      </c>
      <c r="E6" s="6">
        <v>70</v>
      </c>
      <c r="F6" s="6">
        <v>21</v>
      </c>
      <c r="G6" s="6">
        <v>0</v>
      </c>
      <c r="H6" s="6">
        <v>37</v>
      </c>
      <c r="I6" s="6">
        <v>0</v>
      </c>
      <c r="J6" s="6">
        <v>0</v>
      </c>
      <c r="K6" s="6">
        <v>76</v>
      </c>
      <c r="L6" s="6">
        <v>0</v>
      </c>
      <c r="M6" s="6">
        <v>60</v>
      </c>
    </row>
    <row r="7" spans="1:13" x14ac:dyDescent="0.2">
      <c r="A7" s="7">
        <v>4</v>
      </c>
      <c r="B7" s="6">
        <v>20</v>
      </c>
      <c r="C7" s="6">
        <v>35</v>
      </c>
      <c r="D7" s="6">
        <v>0</v>
      </c>
      <c r="E7" s="6">
        <v>70</v>
      </c>
      <c r="F7" s="6">
        <v>10</v>
      </c>
      <c r="G7" s="6">
        <v>11</v>
      </c>
      <c r="H7" s="6">
        <v>77</v>
      </c>
      <c r="I7" s="6">
        <v>0</v>
      </c>
      <c r="J7" s="6">
        <v>20</v>
      </c>
      <c r="K7" s="6">
        <v>60</v>
      </c>
      <c r="L7" s="6">
        <v>0</v>
      </c>
      <c r="M7" s="6">
        <v>60</v>
      </c>
    </row>
    <row r="8" spans="1:13" x14ac:dyDescent="0.2">
      <c r="A8" s="7">
        <v>5</v>
      </c>
      <c r="B8" s="6">
        <v>30</v>
      </c>
      <c r="C8" s="6">
        <v>35</v>
      </c>
      <c r="D8" s="6">
        <v>0</v>
      </c>
      <c r="E8" s="6">
        <v>52</v>
      </c>
      <c r="F8" s="6">
        <v>29</v>
      </c>
      <c r="G8" s="6">
        <v>27</v>
      </c>
      <c r="H8" s="6">
        <v>65</v>
      </c>
      <c r="I8" s="6">
        <v>0</v>
      </c>
      <c r="J8" s="6">
        <v>65</v>
      </c>
      <c r="K8" s="6">
        <v>76</v>
      </c>
      <c r="L8" s="6">
        <v>0</v>
      </c>
      <c r="M8" s="6">
        <v>47</v>
      </c>
    </row>
    <row r="9" spans="1:13" x14ac:dyDescent="0.2">
      <c r="A9" s="7">
        <v>6</v>
      </c>
      <c r="B9" s="6">
        <v>40</v>
      </c>
      <c r="C9" s="6">
        <v>35</v>
      </c>
      <c r="D9" s="6">
        <v>20</v>
      </c>
      <c r="E9" s="6">
        <v>59</v>
      </c>
      <c r="F9" s="6">
        <v>34</v>
      </c>
      <c r="G9" s="6">
        <v>35</v>
      </c>
      <c r="H9" s="6">
        <v>40</v>
      </c>
      <c r="I9" s="6">
        <v>0</v>
      </c>
      <c r="J9" s="6">
        <v>0</v>
      </c>
      <c r="K9" s="6">
        <v>74</v>
      </c>
      <c r="L9" s="6">
        <v>0</v>
      </c>
      <c r="M9" s="6">
        <v>40</v>
      </c>
    </row>
    <row r="10" spans="1:13" x14ac:dyDescent="0.2">
      <c r="A10" s="7">
        <v>7</v>
      </c>
      <c r="B10" s="6">
        <v>31</v>
      </c>
      <c r="C10" s="6">
        <v>35</v>
      </c>
      <c r="D10" s="6">
        <v>29</v>
      </c>
      <c r="E10" s="6">
        <v>98</v>
      </c>
      <c r="F10" s="6">
        <v>50</v>
      </c>
      <c r="G10" s="6">
        <v>35</v>
      </c>
      <c r="H10" s="6">
        <v>0</v>
      </c>
      <c r="I10" s="6">
        <v>8</v>
      </c>
      <c r="J10" s="6">
        <v>0</v>
      </c>
      <c r="K10" s="6">
        <v>60</v>
      </c>
      <c r="L10" s="6">
        <v>0</v>
      </c>
      <c r="M10" s="6">
        <v>40</v>
      </c>
    </row>
    <row r="11" spans="1:13" x14ac:dyDescent="0.2">
      <c r="A11" s="7">
        <v>8</v>
      </c>
      <c r="B11" s="6">
        <v>22</v>
      </c>
      <c r="C11" s="6">
        <v>35</v>
      </c>
      <c r="D11" s="6">
        <v>32</v>
      </c>
      <c r="E11" s="6">
        <v>148</v>
      </c>
      <c r="F11" s="6">
        <v>50</v>
      </c>
      <c r="G11" s="6">
        <v>10</v>
      </c>
      <c r="H11" s="6">
        <v>0</v>
      </c>
      <c r="I11" s="6">
        <v>15</v>
      </c>
      <c r="J11" s="6">
        <v>0</v>
      </c>
      <c r="K11" s="6">
        <v>72</v>
      </c>
      <c r="L11" s="6">
        <v>0</v>
      </c>
      <c r="M11" s="6">
        <v>40</v>
      </c>
    </row>
    <row r="12" spans="1:13" x14ac:dyDescent="0.2">
      <c r="A12" s="7">
        <v>9</v>
      </c>
      <c r="B12" s="6">
        <v>20</v>
      </c>
      <c r="C12" s="6">
        <v>35</v>
      </c>
      <c r="D12" s="6">
        <v>39</v>
      </c>
      <c r="E12" s="6">
        <v>13</v>
      </c>
      <c r="F12" s="6">
        <v>73</v>
      </c>
      <c r="G12" s="6">
        <v>0</v>
      </c>
      <c r="H12" s="6">
        <v>0</v>
      </c>
      <c r="I12" s="6">
        <v>0</v>
      </c>
      <c r="J12" s="6">
        <v>0</v>
      </c>
      <c r="K12" s="6">
        <v>80</v>
      </c>
      <c r="L12" s="6">
        <v>12</v>
      </c>
      <c r="M12" s="6">
        <v>40</v>
      </c>
    </row>
    <row r="13" spans="1:13" x14ac:dyDescent="0.2">
      <c r="A13" s="7">
        <v>10</v>
      </c>
      <c r="B13" s="6">
        <v>20</v>
      </c>
      <c r="C13" s="6">
        <v>35</v>
      </c>
      <c r="D13" s="6">
        <v>32</v>
      </c>
      <c r="E13" s="6">
        <v>7</v>
      </c>
      <c r="F13" s="6">
        <v>82</v>
      </c>
      <c r="G13" s="6">
        <v>0</v>
      </c>
      <c r="H13" s="6">
        <v>0</v>
      </c>
      <c r="I13" s="6">
        <v>0</v>
      </c>
      <c r="J13" s="6">
        <v>0</v>
      </c>
      <c r="K13" s="6">
        <v>75</v>
      </c>
      <c r="L13" s="6">
        <v>65</v>
      </c>
      <c r="M13" s="6">
        <v>40</v>
      </c>
    </row>
    <row r="14" spans="1:13" x14ac:dyDescent="0.2">
      <c r="A14" s="7">
        <v>11</v>
      </c>
      <c r="B14" s="6">
        <v>28</v>
      </c>
      <c r="C14" s="6">
        <v>35</v>
      </c>
      <c r="D14" s="6">
        <v>94</v>
      </c>
      <c r="E14" s="6">
        <v>19</v>
      </c>
      <c r="F14" s="6">
        <v>28</v>
      </c>
      <c r="G14" s="6">
        <v>0</v>
      </c>
      <c r="H14" s="6">
        <v>0</v>
      </c>
      <c r="I14" s="6">
        <v>0</v>
      </c>
      <c r="J14" s="6">
        <v>27</v>
      </c>
      <c r="K14" s="6">
        <v>99</v>
      </c>
      <c r="L14" s="6">
        <v>76</v>
      </c>
      <c r="M14" s="6">
        <v>40</v>
      </c>
    </row>
    <row r="15" spans="1:13" x14ac:dyDescent="0.2">
      <c r="A15" s="7">
        <v>12</v>
      </c>
      <c r="B15" s="6">
        <v>33</v>
      </c>
      <c r="C15" s="6">
        <v>35</v>
      </c>
      <c r="D15" s="6">
        <v>139</v>
      </c>
      <c r="E15" s="6">
        <v>11</v>
      </c>
      <c r="F15" s="6">
        <v>16</v>
      </c>
      <c r="G15" s="6">
        <v>80</v>
      </c>
      <c r="H15" s="6">
        <v>0</v>
      </c>
      <c r="I15" s="6">
        <v>36</v>
      </c>
      <c r="J15" s="6">
        <v>100</v>
      </c>
      <c r="K15" s="6">
        <v>97</v>
      </c>
      <c r="L15" s="6">
        <v>40</v>
      </c>
      <c r="M15" s="6">
        <v>40</v>
      </c>
    </row>
    <row r="16" spans="1:13" x14ac:dyDescent="0.2">
      <c r="A16" s="7">
        <v>13</v>
      </c>
      <c r="B16" s="6">
        <v>20</v>
      </c>
      <c r="C16" s="6">
        <v>35</v>
      </c>
      <c r="D16" s="6">
        <v>120</v>
      </c>
      <c r="E16" s="6">
        <v>0</v>
      </c>
      <c r="F16" s="6">
        <v>15</v>
      </c>
      <c r="G16" s="6">
        <v>70</v>
      </c>
      <c r="H16" s="6">
        <v>0</v>
      </c>
      <c r="I16" s="6">
        <v>13</v>
      </c>
      <c r="J16" s="6">
        <v>39</v>
      </c>
      <c r="K16" s="6">
        <v>88</v>
      </c>
      <c r="L16" s="6">
        <v>0</v>
      </c>
      <c r="M16" s="6">
        <v>40</v>
      </c>
    </row>
    <row r="17" spans="1:13" x14ac:dyDescent="0.2">
      <c r="A17" s="7">
        <v>14</v>
      </c>
      <c r="B17" s="6">
        <v>20</v>
      </c>
      <c r="C17" s="6">
        <v>35</v>
      </c>
      <c r="D17" s="6">
        <v>113</v>
      </c>
      <c r="E17" s="6">
        <v>0</v>
      </c>
      <c r="F17" s="6">
        <v>10</v>
      </c>
      <c r="G17" s="6">
        <v>23</v>
      </c>
      <c r="H17" s="6">
        <v>0</v>
      </c>
      <c r="I17" s="6">
        <v>10</v>
      </c>
      <c r="J17" s="6">
        <v>0</v>
      </c>
      <c r="K17" s="6">
        <v>86</v>
      </c>
      <c r="L17" s="6">
        <v>31</v>
      </c>
      <c r="M17" s="6">
        <v>40</v>
      </c>
    </row>
    <row r="18" spans="1:13" x14ac:dyDescent="0.2">
      <c r="A18" s="7">
        <v>15</v>
      </c>
      <c r="B18" s="6">
        <v>20</v>
      </c>
      <c r="C18" s="6">
        <v>35</v>
      </c>
      <c r="D18" s="6">
        <v>100</v>
      </c>
      <c r="E18" s="6">
        <v>0</v>
      </c>
      <c r="F18" s="6">
        <v>22</v>
      </c>
      <c r="G18" s="6">
        <v>20</v>
      </c>
      <c r="H18" s="6">
        <v>0</v>
      </c>
      <c r="I18" s="6">
        <v>37</v>
      </c>
      <c r="J18" s="6">
        <v>0</v>
      </c>
      <c r="K18" s="6">
        <v>66</v>
      </c>
      <c r="L18" s="6">
        <v>50</v>
      </c>
      <c r="M18" s="6">
        <v>40</v>
      </c>
    </row>
    <row r="19" spans="1:13" x14ac:dyDescent="0.2">
      <c r="A19" s="7">
        <v>16</v>
      </c>
      <c r="B19" s="6">
        <v>20</v>
      </c>
      <c r="C19" s="6">
        <v>35</v>
      </c>
      <c r="D19" s="6">
        <v>100</v>
      </c>
      <c r="E19" s="6">
        <v>0</v>
      </c>
      <c r="F19" s="6">
        <v>40</v>
      </c>
      <c r="G19" s="6">
        <v>2</v>
      </c>
      <c r="H19" s="6">
        <v>27</v>
      </c>
      <c r="I19" s="6">
        <v>60</v>
      </c>
      <c r="J19" s="6">
        <v>0</v>
      </c>
      <c r="K19" s="6">
        <v>42</v>
      </c>
      <c r="L19" s="6">
        <v>62</v>
      </c>
      <c r="M19" s="6">
        <v>40</v>
      </c>
    </row>
    <row r="20" spans="1:13" x14ac:dyDescent="0.2">
      <c r="A20" s="7">
        <v>17</v>
      </c>
      <c r="B20" s="6">
        <v>20</v>
      </c>
      <c r="C20" s="6">
        <v>51</v>
      </c>
      <c r="D20" s="6">
        <v>96</v>
      </c>
      <c r="E20" s="6">
        <v>0</v>
      </c>
      <c r="F20" s="6">
        <v>21</v>
      </c>
      <c r="G20" s="6">
        <v>8</v>
      </c>
      <c r="H20" s="6">
        <v>20</v>
      </c>
      <c r="I20" s="6">
        <v>14</v>
      </c>
      <c r="J20" s="6">
        <v>0</v>
      </c>
      <c r="K20" s="6">
        <v>20</v>
      </c>
      <c r="L20" s="6">
        <v>70</v>
      </c>
      <c r="M20" s="6">
        <v>40</v>
      </c>
    </row>
    <row r="21" spans="1:13" x14ac:dyDescent="0.2">
      <c r="A21" s="7">
        <v>18</v>
      </c>
      <c r="B21" s="6">
        <v>31</v>
      </c>
      <c r="C21" s="6">
        <v>48</v>
      </c>
      <c r="D21" s="6">
        <v>81</v>
      </c>
      <c r="E21" s="6">
        <v>0</v>
      </c>
      <c r="F21" s="6">
        <v>23</v>
      </c>
      <c r="G21" s="6">
        <v>0</v>
      </c>
      <c r="H21" s="6">
        <v>57</v>
      </c>
      <c r="I21" s="6">
        <v>0</v>
      </c>
      <c r="J21" s="6">
        <v>0</v>
      </c>
      <c r="K21" s="6">
        <v>26</v>
      </c>
      <c r="L21" s="6">
        <v>70</v>
      </c>
      <c r="M21" s="6">
        <v>40</v>
      </c>
    </row>
    <row r="22" spans="1:13" x14ac:dyDescent="0.2">
      <c r="A22" s="7">
        <v>19</v>
      </c>
      <c r="B22" s="6">
        <v>40</v>
      </c>
      <c r="C22" s="6">
        <v>10</v>
      </c>
      <c r="D22" s="6">
        <v>51</v>
      </c>
      <c r="E22" s="6">
        <v>0</v>
      </c>
      <c r="F22" s="6">
        <v>30</v>
      </c>
      <c r="G22" s="6">
        <v>0</v>
      </c>
      <c r="H22" s="6">
        <v>30</v>
      </c>
      <c r="I22" s="6">
        <v>0</v>
      </c>
      <c r="J22" s="6">
        <v>86</v>
      </c>
      <c r="K22" s="6">
        <v>27</v>
      </c>
      <c r="L22" s="6">
        <v>70</v>
      </c>
      <c r="M22" s="6">
        <v>40</v>
      </c>
    </row>
    <row r="23" spans="1:13" x14ac:dyDescent="0.2">
      <c r="A23" s="7">
        <v>20</v>
      </c>
      <c r="B23" s="6">
        <v>40</v>
      </c>
      <c r="C23" s="6">
        <v>10</v>
      </c>
      <c r="D23" s="6">
        <v>40</v>
      </c>
      <c r="E23" s="6">
        <v>0</v>
      </c>
      <c r="F23" s="6">
        <v>30</v>
      </c>
      <c r="G23" s="6">
        <v>8</v>
      </c>
      <c r="H23" s="6">
        <v>21</v>
      </c>
      <c r="I23" s="6">
        <v>0</v>
      </c>
      <c r="J23" s="6">
        <v>65</v>
      </c>
      <c r="K23" s="6">
        <v>20</v>
      </c>
      <c r="L23" s="6">
        <v>70</v>
      </c>
      <c r="M23" s="6">
        <v>132</v>
      </c>
    </row>
    <row r="24" spans="1:13" x14ac:dyDescent="0.2">
      <c r="A24" s="7">
        <v>21</v>
      </c>
      <c r="B24" s="6">
        <v>32</v>
      </c>
      <c r="C24" s="6">
        <v>10</v>
      </c>
      <c r="D24" s="6">
        <v>35</v>
      </c>
      <c r="E24" s="6">
        <v>0</v>
      </c>
      <c r="F24" s="6">
        <v>10</v>
      </c>
      <c r="G24" s="6">
        <v>0</v>
      </c>
      <c r="H24" s="6">
        <v>53</v>
      </c>
      <c r="I24" s="6">
        <v>0</v>
      </c>
      <c r="J24" s="6">
        <v>100</v>
      </c>
      <c r="K24" s="6">
        <v>18</v>
      </c>
      <c r="L24" s="6">
        <v>51</v>
      </c>
      <c r="M24" s="6">
        <v>213</v>
      </c>
    </row>
    <row r="25" spans="1:13" x14ac:dyDescent="0.2">
      <c r="A25" s="7">
        <v>22</v>
      </c>
      <c r="B25" s="6">
        <v>25</v>
      </c>
      <c r="C25" s="6">
        <v>45</v>
      </c>
      <c r="D25" s="6">
        <v>30</v>
      </c>
      <c r="E25" s="6">
        <v>0</v>
      </c>
      <c r="F25" s="6">
        <v>0</v>
      </c>
      <c r="G25" s="6">
        <v>0</v>
      </c>
      <c r="H25" s="6">
        <v>45</v>
      </c>
      <c r="I25" s="6">
        <v>0</v>
      </c>
      <c r="J25" s="6">
        <v>102</v>
      </c>
      <c r="K25" s="6">
        <v>12</v>
      </c>
      <c r="L25" s="6">
        <v>40</v>
      </c>
      <c r="M25" s="6">
        <v>181</v>
      </c>
    </row>
    <row r="26" spans="1:13" x14ac:dyDescent="0.2">
      <c r="A26" s="7">
        <v>23</v>
      </c>
      <c r="B26" s="6">
        <v>25</v>
      </c>
      <c r="C26" s="6">
        <v>176</v>
      </c>
      <c r="D26" s="6">
        <v>30</v>
      </c>
      <c r="E26" s="6">
        <v>0</v>
      </c>
      <c r="F26" s="6">
        <v>0</v>
      </c>
      <c r="G26" s="6">
        <v>0</v>
      </c>
      <c r="H26" s="6">
        <v>5</v>
      </c>
      <c r="I26" s="6">
        <v>0</v>
      </c>
      <c r="J26" s="6">
        <v>120</v>
      </c>
      <c r="K26" s="6">
        <v>5</v>
      </c>
      <c r="L26" s="6">
        <v>34</v>
      </c>
      <c r="M26" s="6">
        <v>150</v>
      </c>
    </row>
    <row r="27" spans="1:13" x14ac:dyDescent="0.2">
      <c r="A27" s="7">
        <v>24</v>
      </c>
      <c r="B27" s="6">
        <v>25</v>
      </c>
      <c r="C27" s="6">
        <v>100</v>
      </c>
      <c r="D27" s="6">
        <v>11</v>
      </c>
      <c r="E27" s="6">
        <v>0</v>
      </c>
      <c r="F27" s="6">
        <v>0</v>
      </c>
      <c r="G27" s="6">
        <v>0</v>
      </c>
      <c r="H27" s="6">
        <v>35</v>
      </c>
      <c r="I27" s="6">
        <v>0</v>
      </c>
      <c r="J27" s="6">
        <v>142</v>
      </c>
      <c r="K27" s="6">
        <v>0</v>
      </c>
      <c r="L27" s="6">
        <v>30</v>
      </c>
      <c r="M27" s="6">
        <v>123</v>
      </c>
    </row>
    <row r="28" spans="1:13" x14ac:dyDescent="0.2">
      <c r="A28" s="7">
        <v>25</v>
      </c>
      <c r="B28" s="6">
        <v>25</v>
      </c>
      <c r="C28" s="6">
        <v>11</v>
      </c>
      <c r="D28" s="6">
        <v>0</v>
      </c>
      <c r="E28" s="6">
        <v>0</v>
      </c>
      <c r="F28" s="6">
        <v>0</v>
      </c>
      <c r="G28" s="6">
        <v>0</v>
      </c>
      <c r="H28" s="6">
        <v>53</v>
      </c>
      <c r="I28" s="6">
        <v>0</v>
      </c>
      <c r="J28" s="6">
        <v>141</v>
      </c>
      <c r="K28" s="6">
        <v>0</v>
      </c>
      <c r="L28" s="6">
        <v>30</v>
      </c>
      <c r="M28" s="6">
        <v>110</v>
      </c>
    </row>
    <row r="29" spans="1:13" x14ac:dyDescent="0.2">
      <c r="A29" s="7">
        <v>26</v>
      </c>
      <c r="B29" s="6">
        <v>25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112</v>
      </c>
      <c r="K29" s="6">
        <v>0</v>
      </c>
      <c r="L29" s="6">
        <v>30</v>
      </c>
      <c r="M29" s="6">
        <v>110</v>
      </c>
    </row>
    <row r="30" spans="1:13" x14ac:dyDescent="0.2">
      <c r="A30" s="7">
        <v>27</v>
      </c>
      <c r="B30" s="6">
        <v>25</v>
      </c>
      <c r="C30" s="6">
        <v>0</v>
      </c>
      <c r="D30" s="6">
        <v>0</v>
      </c>
      <c r="E30" s="6">
        <v>0</v>
      </c>
      <c r="F30" s="6">
        <v>0</v>
      </c>
      <c r="G30" s="6">
        <v>25</v>
      </c>
      <c r="H30" s="6">
        <v>3</v>
      </c>
      <c r="I30" s="6">
        <v>0</v>
      </c>
      <c r="J30" s="6">
        <v>68</v>
      </c>
      <c r="K30" s="6">
        <v>0</v>
      </c>
      <c r="L30" s="6">
        <v>30</v>
      </c>
      <c r="M30" s="6">
        <v>93</v>
      </c>
    </row>
    <row r="31" spans="1:13" x14ac:dyDescent="0.2">
      <c r="A31" s="7">
        <v>28</v>
      </c>
      <c r="B31" s="6">
        <v>25</v>
      </c>
      <c r="C31" s="6">
        <v>0</v>
      </c>
      <c r="D31" s="6">
        <v>0</v>
      </c>
      <c r="E31" s="6">
        <v>50</v>
      </c>
      <c r="F31" s="6">
        <v>0</v>
      </c>
      <c r="G31" s="6">
        <v>1</v>
      </c>
      <c r="H31" s="6">
        <v>0</v>
      </c>
      <c r="I31" s="6">
        <v>4</v>
      </c>
      <c r="J31" s="6">
        <v>55</v>
      </c>
      <c r="K31" s="6">
        <v>0</v>
      </c>
      <c r="L31" s="6">
        <v>30</v>
      </c>
      <c r="M31" s="6">
        <v>107</v>
      </c>
    </row>
    <row r="32" spans="1:13" x14ac:dyDescent="0.2">
      <c r="A32" s="7">
        <v>29</v>
      </c>
      <c r="B32" s="6">
        <v>25</v>
      </c>
      <c r="C32" s="6">
        <v>0</v>
      </c>
      <c r="D32" s="6">
        <v>0</v>
      </c>
      <c r="E32" s="6">
        <v>64</v>
      </c>
      <c r="F32" s="6">
        <v>0</v>
      </c>
      <c r="G32" s="6">
        <v>0</v>
      </c>
      <c r="H32" s="6">
        <v>0</v>
      </c>
      <c r="I32" s="6">
        <v>50</v>
      </c>
      <c r="J32" s="6">
        <v>38</v>
      </c>
      <c r="K32" s="6">
        <v>0</v>
      </c>
      <c r="L32" s="6">
        <v>30</v>
      </c>
      <c r="M32" s="6">
        <v>140</v>
      </c>
    </row>
    <row r="33" spans="1:14" x14ac:dyDescent="0.2">
      <c r="A33" s="7">
        <v>30</v>
      </c>
      <c r="B33" s="6">
        <v>25</v>
      </c>
      <c r="C33" s="9" t="s">
        <v>0</v>
      </c>
      <c r="D33" s="6">
        <v>0</v>
      </c>
      <c r="E33" s="6">
        <v>34</v>
      </c>
      <c r="F33" s="6">
        <v>0</v>
      </c>
      <c r="G33" s="6">
        <v>0</v>
      </c>
      <c r="H33" s="6">
        <v>20</v>
      </c>
      <c r="I33" s="6">
        <v>29</v>
      </c>
      <c r="J33" s="6">
        <v>24</v>
      </c>
      <c r="K33" s="6">
        <v>0</v>
      </c>
      <c r="L33" s="6">
        <v>30</v>
      </c>
      <c r="M33" s="6">
        <v>153</v>
      </c>
    </row>
    <row r="34" spans="1:14" x14ac:dyDescent="0.2">
      <c r="A34" s="7">
        <v>31</v>
      </c>
      <c r="B34" s="6">
        <v>29</v>
      </c>
      <c r="C34" s="9" t="s">
        <v>0</v>
      </c>
      <c r="D34" s="6">
        <v>58</v>
      </c>
      <c r="E34" s="9" t="s">
        <v>0</v>
      </c>
      <c r="F34" s="6">
        <v>0</v>
      </c>
      <c r="G34" s="9" t="s">
        <v>0</v>
      </c>
      <c r="H34" s="6">
        <v>0</v>
      </c>
      <c r="I34" s="6">
        <v>0</v>
      </c>
      <c r="J34" s="9" t="s">
        <v>0</v>
      </c>
      <c r="K34" s="6">
        <v>0</v>
      </c>
      <c r="L34" s="9" t="s">
        <v>0</v>
      </c>
      <c r="M34" s="6">
        <v>547</v>
      </c>
    </row>
    <row r="36" spans="1:14" x14ac:dyDescent="0.2">
      <c r="A36" s="9" t="s">
        <v>9</v>
      </c>
      <c r="B36" s="2">
        <f>SUM(B4:B35)</f>
        <v>854</v>
      </c>
      <c r="C36" s="2">
        <f>SUM(C4:C35)</f>
        <v>1021</v>
      </c>
      <c r="D36" s="2">
        <f>SUM(D4:D35)</f>
        <v>1250</v>
      </c>
      <c r="E36" s="2">
        <f>SUM(E4:E35)</f>
        <v>856</v>
      </c>
      <c r="F36" s="2">
        <f>SUM(F4:F35)</f>
        <v>703</v>
      </c>
      <c r="G36" s="2">
        <f>SUM(G4:G35)</f>
        <v>355</v>
      </c>
      <c r="H36" s="2">
        <f>SUM(H4:H35)</f>
        <v>601</v>
      </c>
      <c r="I36" s="2">
        <f>SUM(I4:I35)</f>
        <v>276</v>
      </c>
      <c r="J36" s="2">
        <f>SUM(J4:J35)</f>
        <v>1304</v>
      </c>
      <c r="K36" s="2">
        <f>SUM(K4:K35)</f>
        <v>1290</v>
      </c>
      <c r="L36" s="2">
        <f>SUM(L4:L35)</f>
        <v>951</v>
      </c>
      <c r="M36" s="2">
        <f>SUM(M4:M35)</f>
        <v>2859</v>
      </c>
      <c r="N36" s="2"/>
    </row>
    <row r="37" spans="1:14" x14ac:dyDescent="0.2">
      <c r="A37" s="9" t="s">
        <v>8</v>
      </c>
      <c r="B37" s="2">
        <f>B36*1.98</f>
        <v>1690.92</v>
      </c>
      <c r="C37" s="2">
        <f>C36*1.98</f>
        <v>2021.58</v>
      </c>
      <c r="D37" s="2">
        <f>D36*1.98</f>
        <v>2475</v>
      </c>
      <c r="E37" s="2">
        <f>E36*1.98</f>
        <v>1694.8799999999999</v>
      </c>
      <c r="F37" s="2">
        <f>F36*1.98</f>
        <v>1391.94</v>
      </c>
      <c r="G37" s="2">
        <f>G36*1.98</f>
        <v>702.9</v>
      </c>
      <c r="H37" s="2">
        <f>H36*1.98</f>
        <v>1189.98</v>
      </c>
      <c r="I37" s="2">
        <f>I36*1.98</f>
        <v>546.48</v>
      </c>
      <c r="J37" s="2">
        <f>J36*1.98</f>
        <v>2581.92</v>
      </c>
      <c r="K37" s="2">
        <f>K36*1.98</f>
        <v>2554.1999999999998</v>
      </c>
      <c r="L37" s="2">
        <f>L36*1.98</f>
        <v>1882.98</v>
      </c>
      <c r="M37" s="2">
        <f>M36*1.98</f>
        <v>5660.82</v>
      </c>
      <c r="N37" s="2"/>
    </row>
    <row r="38" spans="1:14" x14ac:dyDescent="0.2">
      <c r="A38" s="9" t="s">
        <v>7</v>
      </c>
      <c r="B38" s="2">
        <f>+B37</f>
        <v>1690.92</v>
      </c>
      <c r="C38" s="2">
        <f>+B38+C37</f>
        <v>3712.5</v>
      </c>
      <c r="D38" s="2">
        <f>+C38+D37</f>
        <v>6187.5</v>
      </c>
      <c r="E38" s="2">
        <f>+D38+E37</f>
        <v>7882.38</v>
      </c>
      <c r="F38" s="2">
        <f>+E38+F37</f>
        <v>9274.32</v>
      </c>
      <c r="G38" s="2">
        <f>+F38+G37</f>
        <v>9977.2199999999993</v>
      </c>
      <c r="H38" s="2">
        <f>+G38+H37</f>
        <v>11167.199999999999</v>
      </c>
      <c r="I38" s="2">
        <f>+H38+I37</f>
        <v>11713.679999999998</v>
      </c>
      <c r="J38" s="2">
        <f>+I38+J37</f>
        <v>14295.599999999999</v>
      </c>
      <c r="K38" s="2">
        <f>+J38+K37</f>
        <v>16849.8</v>
      </c>
      <c r="L38" s="2">
        <f>+K38+L37</f>
        <v>18732.78</v>
      </c>
      <c r="M38" s="2">
        <f>+L38+M37</f>
        <v>24393.599999999999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95</v>
      </c>
      <c r="B40" s="2">
        <v>6235</v>
      </c>
      <c r="C40" s="2">
        <v>3572</v>
      </c>
      <c r="D40" s="2">
        <v>2404</v>
      </c>
      <c r="E40" s="2">
        <v>1788</v>
      </c>
      <c r="F40" s="2">
        <v>1893</v>
      </c>
      <c r="G40" s="2">
        <v>616</v>
      </c>
      <c r="H40" s="2">
        <v>600</v>
      </c>
      <c r="I40" s="2">
        <v>158</v>
      </c>
      <c r="J40" s="2">
        <v>1178</v>
      </c>
      <c r="K40" s="2">
        <v>2429</v>
      </c>
      <c r="L40" s="2">
        <v>1093</v>
      </c>
      <c r="M40" s="2">
        <v>3039</v>
      </c>
      <c r="N40" s="2">
        <f>SUM(B40:M40)</f>
        <v>25005</v>
      </c>
    </row>
    <row r="41" spans="1:14" x14ac:dyDescent="0.2">
      <c r="A41">
        <v>96</v>
      </c>
      <c r="B41" s="2">
        <v>3647</v>
      </c>
      <c r="C41" s="2">
        <v>14125</v>
      </c>
      <c r="D41" s="2">
        <v>3051</v>
      </c>
      <c r="E41" s="2">
        <v>2873</v>
      </c>
      <c r="F41" s="2">
        <v>3233</v>
      </c>
      <c r="G41" s="2">
        <v>756</v>
      </c>
      <c r="H41" s="2">
        <v>386</v>
      </c>
      <c r="I41" s="2">
        <v>265</v>
      </c>
      <c r="J41" s="2">
        <v>378</v>
      </c>
      <c r="K41" s="2">
        <v>1867</v>
      </c>
      <c r="L41" s="2">
        <v>1697</v>
      </c>
      <c r="M41" s="2">
        <v>3612</v>
      </c>
      <c r="N41" s="2">
        <f>SUM(B41:M41)</f>
        <v>35890</v>
      </c>
    </row>
    <row r="42" spans="1:14" x14ac:dyDescent="0.2">
      <c r="A42">
        <v>97</v>
      </c>
      <c r="B42" s="3">
        <v>11302</v>
      </c>
      <c r="C42" s="3">
        <v>4360</v>
      </c>
      <c r="D42" s="3">
        <v>1689</v>
      </c>
      <c r="E42" s="3">
        <v>3722</v>
      </c>
      <c r="F42" s="3">
        <v>2740</v>
      </c>
      <c r="G42" s="3">
        <v>432</v>
      </c>
      <c r="H42" s="3">
        <v>774</v>
      </c>
      <c r="I42" s="3">
        <v>107</v>
      </c>
      <c r="J42" s="3">
        <v>2469</v>
      </c>
      <c r="K42" s="3">
        <v>3057</v>
      </c>
      <c r="L42" s="3">
        <v>1818</v>
      </c>
      <c r="M42" s="3">
        <v>1964</v>
      </c>
      <c r="N42" s="2">
        <f>SUM(B42:M42)</f>
        <v>34434</v>
      </c>
    </row>
    <row r="43" spans="1:14" x14ac:dyDescent="0.2">
      <c r="A43">
        <v>98</v>
      </c>
      <c r="B43" s="3">
        <v>5162</v>
      </c>
      <c r="C43" s="3">
        <v>3612</v>
      </c>
      <c r="D43" s="3">
        <v>1675</v>
      </c>
      <c r="E43" s="3">
        <v>1679</v>
      </c>
      <c r="F43" s="3">
        <v>4998</v>
      </c>
      <c r="G43" s="3">
        <v>929</v>
      </c>
      <c r="H43" s="3">
        <v>1667</v>
      </c>
      <c r="I43" s="3">
        <v>257</v>
      </c>
      <c r="J43" s="3">
        <v>1394</v>
      </c>
      <c r="K43" s="3">
        <v>4263</v>
      </c>
      <c r="L43" s="3">
        <v>3091</v>
      </c>
      <c r="M43" s="3">
        <v>4722</v>
      </c>
      <c r="N43" s="2">
        <f>SUM(B43:M43)</f>
        <v>33449</v>
      </c>
    </row>
    <row r="44" spans="1:14" x14ac:dyDescent="0.2">
      <c r="A44">
        <v>99</v>
      </c>
      <c r="B44" s="3">
        <v>3378</v>
      </c>
      <c r="C44" s="3">
        <v>6334</v>
      </c>
      <c r="D44" s="3">
        <v>5595</v>
      </c>
      <c r="E44" s="3">
        <v>1139</v>
      </c>
      <c r="F44" s="3">
        <v>2045</v>
      </c>
      <c r="G44" s="3">
        <v>604</v>
      </c>
      <c r="H44" s="3">
        <v>461</v>
      </c>
      <c r="I44" s="3">
        <v>911</v>
      </c>
      <c r="J44" s="3">
        <v>754</v>
      </c>
      <c r="K44" s="3">
        <v>2144</v>
      </c>
      <c r="L44" s="3">
        <v>834</v>
      </c>
      <c r="M44" s="3">
        <v>1736</v>
      </c>
      <c r="N44" s="2">
        <f>SUM(B44:M44)</f>
        <v>25935</v>
      </c>
    </row>
    <row r="45" spans="1:14" x14ac:dyDescent="0.2">
      <c r="A45" s="5" t="s">
        <v>6</v>
      </c>
      <c r="B45" s="3">
        <v>3774</v>
      </c>
      <c r="C45" s="3">
        <v>3507</v>
      </c>
      <c r="D45" s="3">
        <v>1121</v>
      </c>
      <c r="E45" s="3">
        <v>1445</v>
      </c>
      <c r="F45" s="3">
        <v>2311</v>
      </c>
      <c r="G45" s="3">
        <v>606</v>
      </c>
      <c r="H45" s="3">
        <v>628</v>
      </c>
      <c r="I45" s="3">
        <v>331</v>
      </c>
      <c r="J45" s="3">
        <v>2412</v>
      </c>
      <c r="K45" s="3">
        <v>8039</v>
      </c>
      <c r="L45" s="3">
        <v>1000</v>
      </c>
      <c r="M45" s="3">
        <v>1907</v>
      </c>
      <c r="N45" s="2">
        <f>SUM(B45:M45)</f>
        <v>27081</v>
      </c>
    </row>
    <row r="46" spans="1:14" x14ac:dyDescent="0.2">
      <c r="A46" s="5" t="s">
        <v>5</v>
      </c>
      <c r="B46" s="3">
        <v>1521</v>
      </c>
      <c r="C46" s="3">
        <v>911</v>
      </c>
      <c r="D46" s="3">
        <v>305</v>
      </c>
      <c r="E46" s="3">
        <v>1756</v>
      </c>
      <c r="F46" s="3">
        <v>3926</v>
      </c>
      <c r="G46" s="3">
        <v>6405</v>
      </c>
      <c r="H46" s="3">
        <v>8047</v>
      </c>
      <c r="I46" s="3">
        <v>13258</v>
      </c>
      <c r="J46" s="3">
        <v>9653</v>
      </c>
      <c r="K46" s="3">
        <v>6166</v>
      </c>
      <c r="L46" s="3">
        <v>711</v>
      </c>
      <c r="M46" s="3">
        <v>2540</v>
      </c>
      <c r="N46" s="2">
        <f>SUM(B46:M46)</f>
        <v>55199</v>
      </c>
    </row>
    <row r="47" spans="1:14" x14ac:dyDescent="0.2">
      <c r="A47" s="5" t="s">
        <v>4</v>
      </c>
      <c r="B47" s="3">
        <v>7809</v>
      </c>
      <c r="C47" s="3">
        <v>6067</v>
      </c>
      <c r="D47" s="3">
        <v>3536</v>
      </c>
      <c r="E47" s="3">
        <v>1503</v>
      </c>
      <c r="F47" s="3">
        <v>89</v>
      </c>
      <c r="G47" s="3">
        <v>582</v>
      </c>
      <c r="H47" s="3">
        <v>1428</v>
      </c>
      <c r="I47" s="3">
        <v>1578</v>
      </c>
      <c r="J47" s="3">
        <v>5405</v>
      </c>
      <c r="K47" s="3">
        <v>2006</v>
      </c>
      <c r="L47" s="3">
        <v>354</v>
      </c>
      <c r="M47" s="3">
        <v>1841</v>
      </c>
      <c r="N47" s="2">
        <f>SUM(B47:M47)</f>
        <v>32198</v>
      </c>
    </row>
    <row r="48" spans="1:14" x14ac:dyDescent="0.2">
      <c r="A48" s="5" t="s">
        <v>3</v>
      </c>
      <c r="B48" s="3">
        <v>2564</v>
      </c>
      <c r="C48" s="3">
        <v>1430</v>
      </c>
      <c r="D48" s="3">
        <v>1065</v>
      </c>
      <c r="E48" s="3">
        <v>4716</v>
      </c>
      <c r="F48" s="3">
        <v>842</v>
      </c>
      <c r="G48" s="3">
        <v>1018</v>
      </c>
      <c r="H48" s="3">
        <v>230</v>
      </c>
      <c r="I48" s="3">
        <v>449</v>
      </c>
      <c r="J48" s="3">
        <v>1461</v>
      </c>
      <c r="K48" s="3">
        <v>3964</v>
      </c>
      <c r="L48" s="3">
        <v>929</v>
      </c>
      <c r="M48" s="3">
        <v>1861</v>
      </c>
      <c r="N48" s="2">
        <f>SUM(B48:M48)</f>
        <v>20529</v>
      </c>
    </row>
    <row r="49" spans="1:14" x14ac:dyDescent="0.2">
      <c r="A49" s="5" t="s">
        <v>2</v>
      </c>
      <c r="B49" s="3">
        <v>3322</v>
      </c>
      <c r="C49" s="3">
        <v>3140</v>
      </c>
      <c r="D49" s="3">
        <v>1491</v>
      </c>
      <c r="E49" s="3">
        <v>103</v>
      </c>
      <c r="F49" s="3">
        <v>604</v>
      </c>
      <c r="G49" s="3">
        <v>933</v>
      </c>
      <c r="H49" s="3">
        <v>1727</v>
      </c>
      <c r="I49" s="3">
        <v>1394</v>
      </c>
      <c r="J49" s="3">
        <v>1495</v>
      </c>
      <c r="K49" s="3">
        <v>4281</v>
      </c>
      <c r="L49" s="3">
        <v>2148</v>
      </c>
      <c r="M49" s="3">
        <v>3071</v>
      </c>
      <c r="N49" s="2">
        <f>SUM(B49:M49)</f>
        <v>23709</v>
      </c>
    </row>
    <row r="51" spans="1:14" x14ac:dyDescent="0.2">
      <c r="A51" s="9" t="s">
        <v>1</v>
      </c>
      <c r="B51" s="1">
        <f>AVERAGE(B40:B49)</f>
        <v>4871.3999999999996</v>
      </c>
      <c r="C51" s="1">
        <f>AVERAGE(C40:C49)</f>
        <v>4705.8</v>
      </c>
      <c r="D51" s="1">
        <f>AVERAGE(D40:D49)</f>
        <v>2193.1999999999998</v>
      </c>
      <c r="E51" s="1">
        <f>AVERAGE(E40:E49)</f>
        <v>2072.4</v>
      </c>
      <c r="F51" s="1">
        <f>AVERAGE(F40:F49)</f>
        <v>2268.1</v>
      </c>
      <c r="G51" s="1">
        <f>AVERAGE(G40:G49)</f>
        <v>1288.0999999999999</v>
      </c>
      <c r="H51" s="1">
        <f>AVERAGE(H40:H49)</f>
        <v>1594.8</v>
      </c>
      <c r="I51" s="1">
        <f>AVERAGE(I40:I49)</f>
        <v>1870.8</v>
      </c>
      <c r="J51" s="1">
        <f>AVERAGE(J40:J49)</f>
        <v>2659.9</v>
      </c>
      <c r="K51" s="1">
        <f>AVERAGE(K40:K49)</f>
        <v>3821.6</v>
      </c>
      <c r="L51" s="1">
        <f>AVERAGE(L40:L49)</f>
        <v>1367.5</v>
      </c>
      <c r="M51" s="1">
        <f>AVERAGE(M40:M49)</f>
        <v>2629.3</v>
      </c>
    </row>
    <row r="52" spans="1:14" x14ac:dyDescent="0.2">
      <c r="B52" s="1">
        <f>+B51</f>
        <v>4871.3999999999996</v>
      </c>
      <c r="C52" s="1">
        <f>+B52+C51</f>
        <v>9577.2000000000007</v>
      </c>
      <c r="D52" s="1">
        <f>+C52+D51</f>
        <v>11770.400000000001</v>
      </c>
      <c r="E52" s="1">
        <f>+D52+E51</f>
        <v>13842.800000000001</v>
      </c>
      <c r="F52" s="1">
        <f>+E52+F51</f>
        <v>16110.900000000001</v>
      </c>
      <c r="G52" s="1">
        <f>+F52+G51</f>
        <v>17399</v>
      </c>
      <c r="H52" s="1">
        <f>+G52+H51</f>
        <v>18993.8</v>
      </c>
      <c r="I52" s="1">
        <f>+H52+I51</f>
        <v>20864.599999999999</v>
      </c>
      <c r="J52" s="1">
        <f>+I52+J51</f>
        <v>23524.5</v>
      </c>
      <c r="K52" s="1">
        <f>+J52+K51</f>
        <v>27346.1</v>
      </c>
      <c r="L52" s="1">
        <f>+K52+L51</f>
        <v>28713.599999999999</v>
      </c>
      <c r="M52" s="1">
        <f>+L52+M51</f>
        <v>31342.899999999998</v>
      </c>
      <c r="N52" s="1">
        <f>AVERAGE(N40:N49)</f>
        <v>31342.9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29</v>
      </c>
      <c r="K1" s="9" t="s">
        <v>29</v>
      </c>
    </row>
    <row r="3" spans="1:13" x14ac:dyDescent="0.2">
      <c r="A3" s="12" t="s">
        <v>22</v>
      </c>
      <c r="B3" s="12" t="s">
        <v>21</v>
      </c>
      <c r="C3" s="12" t="s">
        <v>20</v>
      </c>
      <c r="D3" s="12" t="s">
        <v>19</v>
      </c>
      <c r="E3" s="12" t="s">
        <v>18</v>
      </c>
      <c r="F3" s="12" t="s">
        <v>17</v>
      </c>
      <c r="G3" s="12" t="s">
        <v>16</v>
      </c>
      <c r="H3" s="12" t="s">
        <v>15</v>
      </c>
      <c r="I3" s="12" t="s">
        <v>14</v>
      </c>
      <c r="J3" s="12" t="s">
        <v>13</v>
      </c>
      <c r="K3" s="12" t="s">
        <v>12</v>
      </c>
      <c r="L3" s="12" t="s">
        <v>11</v>
      </c>
      <c r="M3" s="12" t="s">
        <v>10</v>
      </c>
    </row>
    <row r="4" spans="1:13" x14ac:dyDescent="0.2">
      <c r="A4" s="7">
        <v>1</v>
      </c>
      <c r="B4" s="16">
        <v>0</v>
      </c>
      <c r="C4" s="16">
        <v>0</v>
      </c>
      <c r="D4" s="16">
        <v>0</v>
      </c>
      <c r="E4" s="16">
        <v>0</v>
      </c>
      <c r="F4" s="16">
        <v>48</v>
      </c>
      <c r="G4" s="16">
        <v>48</v>
      </c>
      <c r="H4" s="16">
        <v>0</v>
      </c>
      <c r="I4" s="16">
        <v>24</v>
      </c>
      <c r="J4" s="16">
        <v>24</v>
      </c>
      <c r="K4" s="16">
        <v>72</v>
      </c>
      <c r="L4" s="16">
        <v>48</v>
      </c>
      <c r="M4" s="16">
        <v>72</v>
      </c>
    </row>
    <row r="5" spans="1:13" x14ac:dyDescent="0.2">
      <c r="A5" s="7">
        <v>2</v>
      </c>
      <c r="B5" s="16">
        <v>0</v>
      </c>
      <c r="C5" s="16">
        <v>0</v>
      </c>
      <c r="D5" s="16">
        <v>0</v>
      </c>
      <c r="E5" s="16">
        <v>0</v>
      </c>
      <c r="F5" s="16">
        <v>48</v>
      </c>
      <c r="G5" s="16">
        <v>48</v>
      </c>
      <c r="H5" s="16">
        <v>0</v>
      </c>
      <c r="I5" s="16">
        <v>24</v>
      </c>
      <c r="J5" s="16">
        <v>24</v>
      </c>
      <c r="K5" s="16">
        <v>72</v>
      </c>
      <c r="L5" s="16">
        <v>48</v>
      </c>
      <c r="M5" s="16">
        <v>72</v>
      </c>
    </row>
    <row r="6" spans="1:13" x14ac:dyDescent="0.2">
      <c r="A6" s="7">
        <v>3</v>
      </c>
      <c r="B6" s="16">
        <v>14.5</v>
      </c>
      <c r="C6" s="16">
        <v>0</v>
      </c>
      <c r="D6" s="16">
        <v>0</v>
      </c>
      <c r="E6" s="16">
        <v>0</v>
      </c>
      <c r="F6" s="16">
        <v>48</v>
      </c>
      <c r="G6" s="16">
        <v>48</v>
      </c>
      <c r="H6" s="16">
        <v>0</v>
      </c>
      <c r="I6" s="16">
        <v>24</v>
      </c>
      <c r="J6" s="16">
        <v>24</v>
      </c>
      <c r="K6" s="16">
        <v>72</v>
      </c>
      <c r="L6" s="16">
        <v>48</v>
      </c>
      <c r="M6" s="16">
        <v>72</v>
      </c>
    </row>
    <row r="7" spans="1:13" x14ac:dyDescent="0.2">
      <c r="A7" s="7">
        <v>4</v>
      </c>
      <c r="B7" s="16">
        <v>38.4</v>
      </c>
      <c r="C7" s="16">
        <v>0</v>
      </c>
      <c r="D7" s="16">
        <v>0</v>
      </c>
      <c r="E7" s="16">
        <v>0</v>
      </c>
      <c r="F7" s="16">
        <v>47.9</v>
      </c>
      <c r="G7" s="16">
        <v>48</v>
      </c>
      <c r="H7" s="16">
        <v>0</v>
      </c>
      <c r="I7" s="16">
        <v>24</v>
      </c>
      <c r="J7" s="16">
        <v>24</v>
      </c>
      <c r="K7" s="16">
        <v>68.599999999999994</v>
      </c>
      <c r="L7" s="16">
        <v>48</v>
      </c>
      <c r="M7" s="16">
        <v>72</v>
      </c>
    </row>
    <row r="8" spans="1:13" x14ac:dyDescent="0.2">
      <c r="A8" s="7">
        <v>5</v>
      </c>
      <c r="B8" s="16">
        <v>48</v>
      </c>
      <c r="C8" s="16">
        <v>0</v>
      </c>
      <c r="D8" s="16">
        <v>0</v>
      </c>
      <c r="E8" s="16">
        <v>0</v>
      </c>
      <c r="F8" s="16">
        <v>62.7</v>
      </c>
      <c r="G8" s="16">
        <v>48</v>
      </c>
      <c r="H8" s="16">
        <v>0</v>
      </c>
      <c r="I8" s="16">
        <v>24</v>
      </c>
      <c r="J8" s="16">
        <v>24</v>
      </c>
      <c r="K8" s="16">
        <v>72</v>
      </c>
      <c r="L8" s="16">
        <v>48</v>
      </c>
      <c r="M8" s="16">
        <v>72</v>
      </c>
    </row>
    <row r="9" spans="1:13" x14ac:dyDescent="0.2">
      <c r="A9" s="7">
        <v>6</v>
      </c>
      <c r="B9" s="16">
        <v>48</v>
      </c>
      <c r="C9" s="16">
        <v>0</v>
      </c>
      <c r="D9" s="16">
        <v>0</v>
      </c>
      <c r="E9" s="16">
        <v>0</v>
      </c>
      <c r="F9" s="16">
        <v>72</v>
      </c>
      <c r="G9" s="16">
        <v>48</v>
      </c>
      <c r="H9" s="16">
        <v>0</v>
      </c>
      <c r="I9" s="16">
        <v>24</v>
      </c>
      <c r="J9" s="16">
        <v>24</v>
      </c>
      <c r="K9" s="16">
        <v>72</v>
      </c>
      <c r="L9" s="16">
        <v>48</v>
      </c>
      <c r="M9" s="16">
        <v>72</v>
      </c>
    </row>
    <row r="10" spans="1:13" x14ac:dyDescent="0.2">
      <c r="A10" s="7">
        <v>7</v>
      </c>
      <c r="B10" s="16">
        <v>48</v>
      </c>
      <c r="C10" s="16">
        <v>14.7</v>
      </c>
      <c r="D10" s="16">
        <v>0</v>
      </c>
      <c r="E10" s="16">
        <v>0</v>
      </c>
      <c r="F10" s="16">
        <v>72</v>
      </c>
      <c r="G10" s="16">
        <v>48</v>
      </c>
      <c r="H10" s="16">
        <v>0</v>
      </c>
      <c r="I10" s="16">
        <v>24</v>
      </c>
      <c r="J10" s="16">
        <v>24</v>
      </c>
      <c r="K10" s="16">
        <v>72</v>
      </c>
      <c r="L10" s="16">
        <v>46.3</v>
      </c>
      <c r="M10" s="16">
        <v>72</v>
      </c>
    </row>
    <row r="11" spans="1:13" x14ac:dyDescent="0.2">
      <c r="A11" s="7">
        <v>8</v>
      </c>
      <c r="B11" s="16">
        <v>48</v>
      </c>
      <c r="C11" s="16">
        <v>24</v>
      </c>
      <c r="D11" s="16">
        <v>0</v>
      </c>
      <c r="E11" s="16">
        <v>0</v>
      </c>
      <c r="F11" s="16">
        <v>72</v>
      </c>
      <c r="G11" s="16">
        <v>48</v>
      </c>
      <c r="H11" s="16">
        <v>0</v>
      </c>
      <c r="I11" s="16">
        <v>24</v>
      </c>
      <c r="J11" s="16">
        <v>24</v>
      </c>
      <c r="K11" s="16">
        <v>72</v>
      </c>
      <c r="L11" s="16">
        <v>14.1</v>
      </c>
      <c r="M11" s="16">
        <v>72</v>
      </c>
    </row>
    <row r="12" spans="1:13" x14ac:dyDescent="0.2">
      <c r="A12" s="7">
        <v>9</v>
      </c>
      <c r="B12" s="16">
        <v>48</v>
      </c>
      <c r="C12" s="16">
        <v>24</v>
      </c>
      <c r="D12" s="16">
        <v>0</v>
      </c>
      <c r="E12" s="16">
        <v>0</v>
      </c>
      <c r="F12" s="16">
        <v>72</v>
      </c>
      <c r="G12" s="16">
        <v>33.4</v>
      </c>
      <c r="H12" s="16">
        <v>0</v>
      </c>
      <c r="I12" s="16">
        <v>24</v>
      </c>
      <c r="J12" s="16">
        <v>24</v>
      </c>
      <c r="K12" s="16">
        <v>72</v>
      </c>
      <c r="L12" s="16">
        <v>72</v>
      </c>
      <c r="M12" s="16">
        <v>72</v>
      </c>
    </row>
    <row r="13" spans="1:13" x14ac:dyDescent="0.2">
      <c r="A13" s="7">
        <v>10</v>
      </c>
      <c r="B13" s="16">
        <v>48</v>
      </c>
      <c r="C13" s="16">
        <v>24</v>
      </c>
      <c r="D13" s="16">
        <v>0</v>
      </c>
      <c r="E13" s="16">
        <v>0</v>
      </c>
      <c r="F13" s="16">
        <v>72</v>
      </c>
      <c r="G13" s="16">
        <v>24</v>
      </c>
      <c r="H13" s="16">
        <v>0</v>
      </c>
      <c r="I13" s="16">
        <v>24</v>
      </c>
      <c r="J13" s="16">
        <v>24</v>
      </c>
      <c r="K13" s="16">
        <v>72</v>
      </c>
      <c r="L13" s="16">
        <v>72</v>
      </c>
      <c r="M13" s="16">
        <v>72</v>
      </c>
    </row>
    <row r="14" spans="1:13" x14ac:dyDescent="0.2">
      <c r="A14" s="7">
        <v>11</v>
      </c>
      <c r="B14" s="16">
        <v>48</v>
      </c>
      <c r="C14" s="16">
        <v>15</v>
      </c>
      <c r="D14" s="16">
        <v>0</v>
      </c>
      <c r="E14" s="16">
        <v>0</v>
      </c>
      <c r="F14" s="16">
        <v>72</v>
      </c>
      <c r="G14" s="16">
        <v>24</v>
      </c>
      <c r="H14" s="16">
        <v>0</v>
      </c>
      <c r="I14" s="16">
        <v>24</v>
      </c>
      <c r="J14" s="16">
        <v>24</v>
      </c>
      <c r="K14" s="16">
        <v>72</v>
      </c>
      <c r="L14" s="16">
        <v>72</v>
      </c>
      <c r="M14" s="16">
        <v>72</v>
      </c>
    </row>
    <row r="15" spans="1:13" x14ac:dyDescent="0.2">
      <c r="A15" s="7">
        <v>12</v>
      </c>
      <c r="B15" s="16">
        <v>48</v>
      </c>
      <c r="C15" s="16">
        <v>0</v>
      </c>
      <c r="D15" s="16">
        <v>0</v>
      </c>
      <c r="E15" s="16">
        <v>0</v>
      </c>
      <c r="F15" s="16">
        <v>72</v>
      </c>
      <c r="G15" s="16">
        <v>24</v>
      </c>
      <c r="H15" s="16">
        <v>0</v>
      </c>
      <c r="I15" s="16">
        <v>24</v>
      </c>
      <c r="J15" s="16">
        <v>24</v>
      </c>
      <c r="K15" s="16">
        <v>72</v>
      </c>
      <c r="L15" s="16">
        <v>72</v>
      </c>
      <c r="M15" s="16">
        <v>72</v>
      </c>
    </row>
    <row r="16" spans="1:13" x14ac:dyDescent="0.2">
      <c r="A16" s="7">
        <v>13</v>
      </c>
      <c r="B16" s="16">
        <v>48</v>
      </c>
      <c r="C16" s="16">
        <v>0</v>
      </c>
      <c r="D16" s="16">
        <v>0</v>
      </c>
      <c r="E16" s="16">
        <v>0</v>
      </c>
      <c r="F16" s="16">
        <v>72</v>
      </c>
      <c r="G16" s="16">
        <v>24</v>
      </c>
      <c r="H16" s="16">
        <v>0</v>
      </c>
      <c r="I16" s="16">
        <v>24</v>
      </c>
      <c r="J16" s="16">
        <v>24</v>
      </c>
      <c r="K16" s="16">
        <v>72</v>
      </c>
      <c r="L16" s="16">
        <v>72</v>
      </c>
      <c r="M16" s="16">
        <v>72</v>
      </c>
    </row>
    <row r="17" spans="1:13" x14ac:dyDescent="0.2">
      <c r="A17" s="7">
        <v>14</v>
      </c>
      <c r="B17" s="16">
        <v>48</v>
      </c>
      <c r="C17" s="16">
        <v>11</v>
      </c>
      <c r="D17" s="16">
        <v>0</v>
      </c>
      <c r="E17" s="16">
        <v>0</v>
      </c>
      <c r="F17" s="16">
        <v>72</v>
      </c>
      <c r="G17" s="16">
        <v>24</v>
      </c>
      <c r="H17" s="16">
        <v>0</v>
      </c>
      <c r="I17" s="16">
        <v>24</v>
      </c>
      <c r="J17" s="16">
        <v>38.5</v>
      </c>
      <c r="K17" s="16">
        <v>61.8</v>
      </c>
      <c r="L17" s="16">
        <v>72</v>
      </c>
      <c r="M17" s="16">
        <v>72</v>
      </c>
    </row>
    <row r="18" spans="1:13" x14ac:dyDescent="0.2">
      <c r="A18" s="7">
        <v>15</v>
      </c>
      <c r="B18" s="16">
        <v>48</v>
      </c>
      <c r="C18" s="16">
        <v>24</v>
      </c>
      <c r="D18" s="16">
        <v>0</v>
      </c>
      <c r="E18" s="16">
        <v>0</v>
      </c>
      <c r="F18" s="16">
        <v>85.5</v>
      </c>
      <c r="G18" s="16">
        <v>24</v>
      </c>
      <c r="H18" s="16">
        <v>0</v>
      </c>
      <c r="I18" s="16">
        <v>24</v>
      </c>
      <c r="J18" s="16">
        <v>48</v>
      </c>
      <c r="K18" s="16">
        <v>28.6</v>
      </c>
      <c r="L18" s="16">
        <v>72</v>
      </c>
      <c r="M18" s="16">
        <v>72</v>
      </c>
    </row>
    <row r="19" spans="1:13" x14ac:dyDescent="0.2">
      <c r="A19" s="7">
        <v>16</v>
      </c>
      <c r="B19" s="16">
        <v>48</v>
      </c>
      <c r="C19" s="16">
        <v>24</v>
      </c>
      <c r="D19" s="16">
        <v>0</v>
      </c>
      <c r="E19" s="16">
        <v>0</v>
      </c>
      <c r="F19" s="16">
        <v>96</v>
      </c>
      <c r="G19" s="16">
        <v>9</v>
      </c>
      <c r="H19" s="16">
        <v>0</v>
      </c>
      <c r="I19" s="16">
        <v>24</v>
      </c>
      <c r="J19" s="16">
        <v>57.9</v>
      </c>
      <c r="K19" s="16">
        <v>37.700000000000003</v>
      </c>
      <c r="L19" s="16">
        <v>72</v>
      </c>
      <c r="M19" s="16">
        <v>72</v>
      </c>
    </row>
    <row r="20" spans="1:13" x14ac:dyDescent="0.2">
      <c r="A20" s="7">
        <v>17</v>
      </c>
      <c r="B20" s="16">
        <v>48</v>
      </c>
      <c r="C20" s="16">
        <v>24</v>
      </c>
      <c r="D20" s="16">
        <v>0</v>
      </c>
      <c r="E20" s="16">
        <v>0</v>
      </c>
      <c r="F20" s="16">
        <v>96</v>
      </c>
      <c r="G20" s="16">
        <v>0</v>
      </c>
      <c r="H20" s="16">
        <v>0</v>
      </c>
      <c r="I20" s="16">
        <v>24</v>
      </c>
      <c r="J20" s="16">
        <v>63.4</v>
      </c>
      <c r="K20" s="16">
        <v>63.2</v>
      </c>
      <c r="L20" s="16">
        <v>72</v>
      </c>
      <c r="M20" s="16">
        <v>72</v>
      </c>
    </row>
    <row r="21" spans="1:13" x14ac:dyDescent="0.2">
      <c r="A21" s="7">
        <v>18</v>
      </c>
      <c r="B21" s="16">
        <v>48</v>
      </c>
      <c r="C21" s="16">
        <v>15.1</v>
      </c>
      <c r="D21" s="16">
        <v>0</v>
      </c>
      <c r="E21" s="16">
        <v>0</v>
      </c>
      <c r="F21" s="16">
        <v>96</v>
      </c>
      <c r="G21" s="16">
        <v>0</v>
      </c>
      <c r="H21" s="16">
        <v>0</v>
      </c>
      <c r="I21" s="16">
        <v>24</v>
      </c>
      <c r="J21" s="16">
        <v>71.5</v>
      </c>
      <c r="K21" s="16">
        <v>72</v>
      </c>
      <c r="L21" s="16">
        <v>72</v>
      </c>
      <c r="M21" s="16">
        <v>72</v>
      </c>
    </row>
    <row r="22" spans="1:13" x14ac:dyDescent="0.2">
      <c r="A22" s="7">
        <v>19</v>
      </c>
      <c r="B22" s="16">
        <v>48</v>
      </c>
      <c r="C22" s="16">
        <v>0</v>
      </c>
      <c r="D22" s="16">
        <v>0</v>
      </c>
      <c r="E22" s="16">
        <v>0</v>
      </c>
      <c r="F22" s="16">
        <v>96</v>
      </c>
      <c r="G22" s="16">
        <v>0</v>
      </c>
      <c r="H22" s="16">
        <v>0</v>
      </c>
      <c r="I22" s="16">
        <v>24</v>
      </c>
      <c r="J22" s="16">
        <v>70.8</v>
      </c>
      <c r="K22" s="16">
        <v>69</v>
      </c>
      <c r="L22" s="16">
        <v>72</v>
      </c>
      <c r="M22" s="16">
        <v>72</v>
      </c>
    </row>
    <row r="23" spans="1:13" x14ac:dyDescent="0.2">
      <c r="A23" s="7">
        <v>20</v>
      </c>
      <c r="B23" s="16">
        <v>30.2</v>
      </c>
      <c r="C23" s="16">
        <v>0</v>
      </c>
      <c r="D23" s="16">
        <v>0</v>
      </c>
      <c r="E23" s="16">
        <v>0</v>
      </c>
      <c r="F23" s="16">
        <v>96</v>
      </c>
      <c r="G23" s="16">
        <v>0</v>
      </c>
      <c r="H23" s="16">
        <v>0</v>
      </c>
      <c r="I23" s="16">
        <v>24</v>
      </c>
      <c r="J23" s="16">
        <v>72</v>
      </c>
      <c r="K23" s="16">
        <v>72</v>
      </c>
      <c r="L23" s="16">
        <v>72</v>
      </c>
      <c r="M23" s="16">
        <v>72</v>
      </c>
    </row>
    <row r="24" spans="1:13" x14ac:dyDescent="0.2">
      <c r="A24" s="7">
        <v>21</v>
      </c>
      <c r="B24" s="16">
        <v>0</v>
      </c>
      <c r="C24" s="16">
        <v>0</v>
      </c>
      <c r="D24" s="16">
        <v>0</v>
      </c>
      <c r="E24" s="16">
        <v>0</v>
      </c>
      <c r="F24" s="16">
        <v>96</v>
      </c>
      <c r="G24" s="16">
        <v>0</v>
      </c>
      <c r="H24" s="16">
        <v>0</v>
      </c>
      <c r="I24" s="16">
        <v>24</v>
      </c>
      <c r="J24" s="16">
        <v>72</v>
      </c>
      <c r="K24" s="16">
        <v>72</v>
      </c>
      <c r="L24" s="16">
        <v>72</v>
      </c>
      <c r="M24" s="16">
        <v>72</v>
      </c>
    </row>
    <row r="25" spans="1:13" x14ac:dyDescent="0.2">
      <c r="A25" s="7">
        <v>22</v>
      </c>
      <c r="B25" s="16">
        <v>0</v>
      </c>
      <c r="C25" s="16">
        <v>0</v>
      </c>
      <c r="D25" s="16">
        <v>0</v>
      </c>
      <c r="E25" s="16">
        <v>15.2</v>
      </c>
      <c r="F25" s="16">
        <v>96</v>
      </c>
      <c r="G25" s="16">
        <v>0</v>
      </c>
      <c r="H25" s="16">
        <v>0</v>
      </c>
      <c r="I25" s="16">
        <v>24</v>
      </c>
      <c r="J25" s="16">
        <v>72</v>
      </c>
      <c r="K25" s="16">
        <v>72</v>
      </c>
      <c r="L25" s="16">
        <v>72</v>
      </c>
      <c r="M25" s="16">
        <v>72</v>
      </c>
    </row>
    <row r="26" spans="1:13" x14ac:dyDescent="0.2">
      <c r="A26" s="7">
        <v>23</v>
      </c>
      <c r="B26" s="16">
        <v>0</v>
      </c>
      <c r="C26" s="16">
        <v>0</v>
      </c>
      <c r="D26" s="16">
        <v>0</v>
      </c>
      <c r="E26" s="16">
        <v>24</v>
      </c>
      <c r="F26" s="16">
        <v>96</v>
      </c>
      <c r="G26" s="16">
        <v>0</v>
      </c>
      <c r="H26" s="16">
        <v>0</v>
      </c>
      <c r="I26" s="16">
        <v>24</v>
      </c>
      <c r="J26" s="16">
        <v>72</v>
      </c>
      <c r="K26" s="16">
        <v>72</v>
      </c>
      <c r="L26" s="16">
        <v>72</v>
      </c>
      <c r="M26" s="16">
        <v>72</v>
      </c>
    </row>
    <row r="27" spans="1:13" x14ac:dyDescent="0.2">
      <c r="A27" s="7">
        <v>24</v>
      </c>
      <c r="B27" s="16">
        <v>0</v>
      </c>
      <c r="C27" s="16">
        <v>0</v>
      </c>
      <c r="D27" s="16">
        <v>0</v>
      </c>
      <c r="E27" s="16">
        <v>24</v>
      </c>
      <c r="F27" s="16">
        <v>96</v>
      </c>
      <c r="G27" s="16">
        <v>0</v>
      </c>
      <c r="H27" s="16">
        <v>0</v>
      </c>
      <c r="I27" s="16">
        <v>24</v>
      </c>
      <c r="J27" s="16">
        <v>72</v>
      </c>
      <c r="K27" s="16">
        <v>72</v>
      </c>
      <c r="L27" s="16">
        <v>72</v>
      </c>
      <c r="M27" s="16">
        <v>72</v>
      </c>
    </row>
    <row r="28" spans="1:13" x14ac:dyDescent="0.2">
      <c r="A28" s="7">
        <v>25</v>
      </c>
      <c r="B28" s="16">
        <v>0</v>
      </c>
      <c r="C28" s="16">
        <v>0</v>
      </c>
      <c r="D28" s="16">
        <v>0</v>
      </c>
      <c r="E28" s="16">
        <v>24</v>
      </c>
      <c r="F28" s="16">
        <v>85.8</v>
      </c>
      <c r="G28" s="16">
        <v>0.6</v>
      </c>
      <c r="H28" s="16">
        <v>0</v>
      </c>
      <c r="I28" s="16">
        <v>24</v>
      </c>
      <c r="J28" s="16">
        <v>72</v>
      </c>
      <c r="K28" s="16">
        <v>69.3</v>
      </c>
      <c r="L28" s="16">
        <v>72</v>
      </c>
      <c r="M28" s="16">
        <v>72</v>
      </c>
    </row>
    <row r="29" spans="1:13" x14ac:dyDescent="0.2">
      <c r="A29" s="7">
        <v>26</v>
      </c>
      <c r="B29" s="16">
        <v>0</v>
      </c>
      <c r="C29" s="16">
        <v>0</v>
      </c>
      <c r="D29" s="16">
        <v>0</v>
      </c>
      <c r="E29" s="16">
        <v>24</v>
      </c>
      <c r="F29" s="16">
        <v>63.2</v>
      </c>
      <c r="G29" s="16">
        <v>0</v>
      </c>
      <c r="H29" s="16">
        <v>0</v>
      </c>
      <c r="I29" s="16">
        <v>24</v>
      </c>
      <c r="J29" s="16">
        <v>72</v>
      </c>
      <c r="K29" s="16">
        <v>48</v>
      </c>
      <c r="L29" s="16">
        <v>55</v>
      </c>
      <c r="M29" s="16">
        <v>72</v>
      </c>
    </row>
    <row r="30" spans="1:13" x14ac:dyDescent="0.2">
      <c r="A30" s="7">
        <v>27</v>
      </c>
      <c r="B30" s="16">
        <v>0</v>
      </c>
      <c r="C30" s="16">
        <v>0</v>
      </c>
      <c r="D30" s="16">
        <v>0</v>
      </c>
      <c r="E30" s="16">
        <v>24</v>
      </c>
      <c r="F30" s="16">
        <v>48</v>
      </c>
      <c r="G30" s="16">
        <v>0</v>
      </c>
      <c r="H30" s="16">
        <v>0</v>
      </c>
      <c r="I30" s="16">
        <v>24</v>
      </c>
      <c r="J30" s="16">
        <v>72</v>
      </c>
      <c r="K30" s="16">
        <v>62.9</v>
      </c>
      <c r="L30" s="16">
        <v>48</v>
      </c>
      <c r="M30" s="16">
        <v>72</v>
      </c>
    </row>
    <row r="31" spans="1:13" x14ac:dyDescent="0.2">
      <c r="A31" s="7">
        <v>28</v>
      </c>
      <c r="B31" s="16">
        <v>0</v>
      </c>
      <c r="C31" s="16">
        <v>0</v>
      </c>
      <c r="D31" s="16">
        <v>0</v>
      </c>
      <c r="E31" s="16">
        <v>24</v>
      </c>
      <c r="F31" s="16">
        <v>46.8</v>
      </c>
      <c r="G31" s="16">
        <v>0</v>
      </c>
      <c r="H31" s="16">
        <v>0</v>
      </c>
      <c r="I31" s="16">
        <v>24</v>
      </c>
      <c r="J31" s="16">
        <v>72</v>
      </c>
      <c r="K31" s="16">
        <v>72</v>
      </c>
      <c r="L31" s="16">
        <v>62.9</v>
      </c>
      <c r="M31" s="16">
        <v>72</v>
      </c>
    </row>
    <row r="32" spans="1:13" x14ac:dyDescent="0.2">
      <c r="A32" s="7">
        <v>29</v>
      </c>
      <c r="B32" s="16">
        <v>0</v>
      </c>
      <c r="C32" s="16">
        <v>0</v>
      </c>
      <c r="D32" s="16">
        <v>0</v>
      </c>
      <c r="E32" s="16">
        <v>38.799999999999997</v>
      </c>
      <c r="F32" s="16">
        <v>46.7</v>
      </c>
      <c r="G32" s="16">
        <v>0</v>
      </c>
      <c r="H32" s="16">
        <v>8</v>
      </c>
      <c r="I32" s="16">
        <v>24</v>
      </c>
      <c r="J32" s="16">
        <v>72</v>
      </c>
      <c r="K32" s="16">
        <v>72</v>
      </c>
      <c r="L32" s="16">
        <v>72</v>
      </c>
      <c r="M32" s="16">
        <v>72</v>
      </c>
    </row>
    <row r="33" spans="1:15" x14ac:dyDescent="0.2">
      <c r="A33" s="7">
        <v>30</v>
      </c>
      <c r="B33" s="16">
        <v>0</v>
      </c>
      <c r="C33" s="9" t="s">
        <v>0</v>
      </c>
      <c r="D33" s="16">
        <v>0</v>
      </c>
      <c r="E33" s="16">
        <v>48</v>
      </c>
      <c r="F33" s="16">
        <v>48</v>
      </c>
      <c r="G33" s="16">
        <v>0</v>
      </c>
      <c r="H33" s="16">
        <v>24</v>
      </c>
      <c r="I33" s="16">
        <v>24</v>
      </c>
      <c r="J33" s="16">
        <v>72</v>
      </c>
      <c r="K33" s="16">
        <v>72</v>
      </c>
      <c r="L33" s="16">
        <v>72</v>
      </c>
      <c r="M33" s="16">
        <v>67</v>
      </c>
    </row>
    <row r="34" spans="1:15" x14ac:dyDescent="0.2">
      <c r="A34" s="7">
        <v>31</v>
      </c>
      <c r="B34" s="16">
        <v>0</v>
      </c>
      <c r="C34" s="9" t="s">
        <v>0</v>
      </c>
      <c r="D34" s="16">
        <v>0</v>
      </c>
      <c r="E34" s="9" t="s">
        <v>0</v>
      </c>
      <c r="F34" s="16">
        <v>48</v>
      </c>
      <c r="G34" s="17" t="s">
        <v>0</v>
      </c>
      <c r="H34" s="16">
        <v>24</v>
      </c>
      <c r="I34" s="16">
        <v>24</v>
      </c>
      <c r="J34" s="9" t="s">
        <v>0</v>
      </c>
      <c r="K34" s="16">
        <v>57.5</v>
      </c>
      <c r="L34" s="9" t="s">
        <v>0</v>
      </c>
      <c r="M34" s="16">
        <v>66.3</v>
      </c>
    </row>
    <row r="36" spans="1:15" x14ac:dyDescent="0.2">
      <c r="A36" s="14" t="s">
        <v>28</v>
      </c>
      <c r="B36" s="15">
        <f>SUM(B4:B35)</f>
        <v>803.1</v>
      </c>
      <c r="C36" s="15">
        <f>SUM(C4:C35)</f>
        <v>199.79999999999998</v>
      </c>
      <c r="D36" s="15">
        <f>SUM(D4:D35)</f>
        <v>0</v>
      </c>
      <c r="E36" s="15">
        <f>SUM(E4:E35)</f>
        <v>246</v>
      </c>
      <c r="F36" s="15">
        <f>SUM(F4:F35)</f>
        <v>2238.6</v>
      </c>
      <c r="G36" s="15">
        <f>SUM(G4:G35)</f>
        <v>571</v>
      </c>
      <c r="H36" s="15">
        <f>SUM(H4:H35)</f>
        <v>56</v>
      </c>
      <c r="I36" s="15">
        <f>SUM(I4:I35)</f>
        <v>744</v>
      </c>
      <c r="J36" s="15">
        <f>SUM(J4:J35)</f>
        <v>1454.1</v>
      </c>
      <c r="K36" s="15">
        <f>SUM(K4:K35)</f>
        <v>2078.6000000000004</v>
      </c>
      <c r="L36" s="15">
        <f>SUM(L4:L35)</f>
        <v>1882.3000000000002</v>
      </c>
      <c r="M36" s="15">
        <f>SUM(M4:M35)</f>
        <v>2221.3000000000002</v>
      </c>
      <c r="N36" s="2"/>
    </row>
    <row r="37" spans="1:15" x14ac:dyDescent="0.2">
      <c r="A37" s="14" t="s">
        <v>27</v>
      </c>
      <c r="B37" s="15">
        <f>+B36</f>
        <v>803.1</v>
      </c>
      <c r="C37" s="15">
        <f>+B37+C36</f>
        <v>1002.9</v>
      </c>
      <c r="D37" s="15">
        <f>+C37+D36</f>
        <v>1002.9</v>
      </c>
      <c r="E37" s="15">
        <f>+D37+E36</f>
        <v>1248.9000000000001</v>
      </c>
      <c r="F37" s="15">
        <f>+E37+F36</f>
        <v>3487.5</v>
      </c>
      <c r="G37" s="15">
        <f>+F37+G36</f>
        <v>4058.5</v>
      </c>
      <c r="H37" s="15">
        <f>+G37+H36</f>
        <v>4114.5</v>
      </c>
      <c r="I37" s="15">
        <f>+H37+I36</f>
        <v>4858.5</v>
      </c>
      <c r="J37" s="15">
        <f>+I37+J36</f>
        <v>6312.6</v>
      </c>
      <c r="K37" s="15">
        <f>+J37+K36</f>
        <v>8391.2000000000007</v>
      </c>
      <c r="L37" s="15">
        <f>+K37+L36</f>
        <v>10273.5</v>
      </c>
      <c r="M37" s="15">
        <f>+L37+M36</f>
        <v>12494.8</v>
      </c>
      <c r="N37" s="2"/>
    </row>
    <row r="38" spans="1:15" x14ac:dyDescent="0.2">
      <c r="A38" s="14" t="s">
        <v>0</v>
      </c>
      <c r="B38" s="14" t="s">
        <v>0</v>
      </c>
      <c r="C38" s="14" t="s">
        <v>0</v>
      </c>
      <c r="D38" s="14" t="s">
        <v>0</v>
      </c>
      <c r="E38" s="14" t="s">
        <v>0</v>
      </c>
      <c r="F38" s="14" t="s">
        <v>0</v>
      </c>
      <c r="G38" s="14" t="s">
        <v>0</v>
      </c>
      <c r="H38" s="14" t="s">
        <v>0</v>
      </c>
      <c r="I38" s="14" t="s">
        <v>0</v>
      </c>
      <c r="J38" s="14" t="s">
        <v>0</v>
      </c>
      <c r="K38" s="14" t="s">
        <v>0</v>
      </c>
      <c r="L38" s="14" t="s">
        <v>0</v>
      </c>
      <c r="M38" s="14" t="s">
        <v>0</v>
      </c>
      <c r="N38" s="14" t="s">
        <v>0</v>
      </c>
      <c r="O38" s="14" t="s">
        <v>0</v>
      </c>
    </row>
    <row r="39" spans="1:15" x14ac:dyDescent="0.2">
      <c r="A39" s="14" t="s">
        <v>0</v>
      </c>
      <c r="B39" s="14" t="s">
        <v>0</v>
      </c>
      <c r="C39" s="14" t="s">
        <v>0</v>
      </c>
      <c r="D39" s="14" t="s">
        <v>0</v>
      </c>
      <c r="E39" s="14" t="s">
        <v>0</v>
      </c>
      <c r="F39" s="14" t="s">
        <v>0</v>
      </c>
      <c r="G39" s="14" t="s">
        <v>0</v>
      </c>
      <c r="H39" s="14" t="s">
        <v>0</v>
      </c>
      <c r="I39" s="14" t="s">
        <v>0</v>
      </c>
      <c r="J39" s="14" t="s">
        <v>0</v>
      </c>
      <c r="K39" s="14" t="s">
        <v>0</v>
      </c>
      <c r="L39" s="14" t="s">
        <v>0</v>
      </c>
      <c r="M39" s="14" t="s">
        <v>0</v>
      </c>
      <c r="N39" s="14" t="s">
        <v>0</v>
      </c>
      <c r="O39" s="14" t="s">
        <v>0</v>
      </c>
    </row>
    <row r="40" spans="1:15" x14ac:dyDescent="0.2">
      <c r="A40" s="14" t="s">
        <v>0</v>
      </c>
      <c r="B40" s="14" t="s">
        <v>0</v>
      </c>
      <c r="C40" s="14" t="s">
        <v>0</v>
      </c>
      <c r="D40" s="14" t="s">
        <v>0</v>
      </c>
      <c r="E40" s="14" t="s">
        <v>0</v>
      </c>
      <c r="F40" s="14" t="s">
        <v>0</v>
      </c>
      <c r="G40" s="14" t="s">
        <v>0</v>
      </c>
      <c r="H40" s="14" t="s">
        <v>0</v>
      </c>
      <c r="I40" s="14" t="s">
        <v>0</v>
      </c>
      <c r="J40" s="14" t="s">
        <v>0</v>
      </c>
      <c r="K40" s="14" t="s">
        <v>0</v>
      </c>
      <c r="L40" s="14" t="s">
        <v>0</v>
      </c>
      <c r="M40" s="14" t="s">
        <v>0</v>
      </c>
      <c r="N40" s="14" t="s">
        <v>0</v>
      </c>
      <c r="O40" s="14" t="s">
        <v>0</v>
      </c>
    </row>
    <row r="41" spans="1:15" x14ac:dyDescent="0.2">
      <c r="A41" s="14" t="s">
        <v>0</v>
      </c>
      <c r="B41" s="14" t="s">
        <v>0</v>
      </c>
      <c r="C41" s="14" t="s">
        <v>0</v>
      </c>
      <c r="D41" s="14" t="s">
        <v>0</v>
      </c>
      <c r="E41" s="14" t="s">
        <v>0</v>
      </c>
      <c r="F41" s="14" t="s">
        <v>0</v>
      </c>
      <c r="G41" s="14" t="s">
        <v>0</v>
      </c>
      <c r="H41" s="14" t="s">
        <v>0</v>
      </c>
      <c r="I41" s="14" t="s">
        <v>0</v>
      </c>
      <c r="J41" s="14" t="s">
        <v>0</v>
      </c>
      <c r="K41" s="14" t="s">
        <v>0</v>
      </c>
      <c r="L41" s="14" t="s">
        <v>0</v>
      </c>
      <c r="M41" s="14" t="s">
        <v>0</v>
      </c>
      <c r="N41" s="14" t="s">
        <v>0</v>
      </c>
      <c r="O41" s="14" t="s">
        <v>0</v>
      </c>
    </row>
    <row r="42" spans="1:15" x14ac:dyDescent="0.2">
      <c r="A42" s="14" t="s">
        <v>0</v>
      </c>
      <c r="B42" s="14" t="s">
        <v>0</v>
      </c>
      <c r="C42" s="14" t="s">
        <v>0</v>
      </c>
      <c r="D42" s="14" t="s">
        <v>0</v>
      </c>
      <c r="E42" s="14" t="s">
        <v>0</v>
      </c>
      <c r="F42" s="14" t="s">
        <v>0</v>
      </c>
      <c r="G42" s="14" t="s">
        <v>0</v>
      </c>
      <c r="H42" s="14" t="s">
        <v>0</v>
      </c>
      <c r="I42" s="14" t="s">
        <v>0</v>
      </c>
      <c r="J42" s="14" t="s">
        <v>0</v>
      </c>
      <c r="K42" s="14" t="s">
        <v>0</v>
      </c>
      <c r="L42" s="14" t="s">
        <v>0</v>
      </c>
      <c r="M42" s="14" t="s">
        <v>0</v>
      </c>
      <c r="N42" s="14" t="s">
        <v>0</v>
      </c>
      <c r="O42" s="14" t="s">
        <v>0</v>
      </c>
    </row>
    <row r="43" spans="1:15" x14ac:dyDescent="0.2">
      <c r="A43" s="14" t="s">
        <v>0</v>
      </c>
      <c r="B43" s="14" t="s">
        <v>0</v>
      </c>
      <c r="C43" s="14" t="s">
        <v>0</v>
      </c>
      <c r="D43" s="14" t="s">
        <v>0</v>
      </c>
      <c r="E43" s="14" t="s">
        <v>0</v>
      </c>
      <c r="F43" s="14" t="s">
        <v>0</v>
      </c>
      <c r="G43" s="14" t="s">
        <v>0</v>
      </c>
      <c r="H43" s="14" t="s">
        <v>0</v>
      </c>
      <c r="I43" s="14" t="s">
        <v>0</v>
      </c>
      <c r="J43" s="14" t="s">
        <v>0</v>
      </c>
      <c r="K43" s="14" t="s">
        <v>0</v>
      </c>
      <c r="L43" s="14" t="s">
        <v>0</v>
      </c>
      <c r="M43" s="14" t="s">
        <v>0</v>
      </c>
      <c r="N43" s="14" t="s">
        <v>0</v>
      </c>
      <c r="O43" s="14" t="s">
        <v>0</v>
      </c>
    </row>
    <row r="44" spans="1:15" x14ac:dyDescent="0.2">
      <c r="A44" s="14" t="s">
        <v>0</v>
      </c>
      <c r="B44" s="14" t="s">
        <v>0</v>
      </c>
      <c r="C44" s="14" t="s">
        <v>0</v>
      </c>
      <c r="D44" s="14" t="s">
        <v>0</v>
      </c>
      <c r="E44" s="14" t="s">
        <v>0</v>
      </c>
      <c r="F44" s="14" t="s">
        <v>0</v>
      </c>
      <c r="G44" s="14" t="s">
        <v>0</v>
      </c>
      <c r="H44" s="14" t="s">
        <v>0</v>
      </c>
      <c r="I44" s="14" t="s">
        <v>0</v>
      </c>
      <c r="J44" s="14" t="s">
        <v>0</v>
      </c>
      <c r="K44" s="14" t="s">
        <v>0</v>
      </c>
      <c r="L44" s="14" t="s">
        <v>0</v>
      </c>
      <c r="M44" s="14" t="s">
        <v>0</v>
      </c>
      <c r="N44" s="14" t="s">
        <v>0</v>
      </c>
      <c r="O44" s="14" t="s">
        <v>0</v>
      </c>
    </row>
    <row r="45" spans="1:15" x14ac:dyDescent="0.2">
      <c r="A45" s="14" t="s">
        <v>0</v>
      </c>
      <c r="B45" s="14" t="s">
        <v>0</v>
      </c>
      <c r="C45" s="14" t="s">
        <v>0</v>
      </c>
      <c r="D45" s="14" t="s">
        <v>0</v>
      </c>
      <c r="E45" s="14" t="s">
        <v>0</v>
      </c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</row>
    <row r="46" spans="1:15" x14ac:dyDescent="0.2">
      <c r="A46" s="14" t="s">
        <v>0</v>
      </c>
      <c r="B46" s="14" t="s">
        <v>0</v>
      </c>
      <c r="C46" s="14" t="s">
        <v>0</v>
      </c>
      <c r="D46" s="14" t="s">
        <v>0</v>
      </c>
      <c r="E46" s="14" t="s">
        <v>0</v>
      </c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</row>
    <row r="47" spans="1:15" x14ac:dyDescent="0.2">
      <c r="A47" s="14" t="s">
        <v>0</v>
      </c>
      <c r="B47" s="14" t="s">
        <v>0</v>
      </c>
      <c r="C47" s="14" t="s">
        <v>0</v>
      </c>
      <c r="D47" s="14" t="s">
        <v>0</v>
      </c>
      <c r="E47" s="14" t="s">
        <v>0</v>
      </c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</row>
    <row r="48" spans="1:15" x14ac:dyDescent="0.2">
      <c r="A48" s="14" t="s">
        <v>0</v>
      </c>
      <c r="B48" s="14" t="s">
        <v>0</v>
      </c>
      <c r="C48" s="14" t="s">
        <v>0</v>
      </c>
      <c r="D48" s="14" t="s">
        <v>0</v>
      </c>
      <c r="E48" s="14" t="s">
        <v>0</v>
      </c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</row>
    <row r="49" spans="1:15" x14ac:dyDescent="0.2">
      <c r="A49" s="14" t="s">
        <v>0</v>
      </c>
      <c r="B49" s="14" t="s">
        <v>0</v>
      </c>
      <c r="C49" s="14" t="s">
        <v>0</v>
      </c>
      <c r="D49" s="14" t="s">
        <v>0</v>
      </c>
      <c r="E49" s="14" t="s">
        <v>0</v>
      </c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</row>
    <row r="50" spans="1:15" x14ac:dyDescent="0.2">
      <c r="A50" s="14" t="s">
        <v>0</v>
      </c>
      <c r="B50" s="14" t="s">
        <v>0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</row>
    <row r="51" spans="1:15" x14ac:dyDescent="0.2">
      <c r="A51" s="14" t="s">
        <v>0</v>
      </c>
      <c r="B51" s="14" t="s">
        <v>0</v>
      </c>
      <c r="C51" s="14" t="s">
        <v>0</v>
      </c>
      <c r="D51" s="14" t="s">
        <v>0</v>
      </c>
      <c r="E51" s="14" t="s">
        <v>0</v>
      </c>
      <c r="F51" s="14" t="s">
        <v>0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</row>
    <row r="52" spans="1:15" x14ac:dyDescent="0.2">
      <c r="A52" s="14" t="s">
        <v>0</v>
      </c>
      <c r="B52" s="14" t="s">
        <v>0</v>
      </c>
      <c r="C52" s="14" t="s">
        <v>0</v>
      </c>
      <c r="D52" s="14" t="s">
        <v>0</v>
      </c>
      <c r="E52" s="14" t="s">
        <v>0</v>
      </c>
      <c r="F52" s="14" t="s">
        <v>0</v>
      </c>
      <c r="G52" s="14" t="s">
        <v>0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 t="s">
        <v>0</v>
      </c>
      <c r="N52" s="14" t="s">
        <v>0</v>
      </c>
      <c r="O52" s="14" t="s">
        <v>0</v>
      </c>
    </row>
    <row r="53" spans="1:15" x14ac:dyDescent="0.2">
      <c r="A53" s="14" t="s">
        <v>0</v>
      </c>
      <c r="B53" s="14" t="s">
        <v>0</v>
      </c>
      <c r="C53" s="14" t="s">
        <v>0</v>
      </c>
      <c r="D53" s="14" t="s">
        <v>0</v>
      </c>
      <c r="E53" s="14" t="s">
        <v>0</v>
      </c>
      <c r="F53" s="14" t="s">
        <v>0</v>
      </c>
      <c r="G53" s="14" t="s">
        <v>0</v>
      </c>
      <c r="H53" s="14" t="s">
        <v>0</v>
      </c>
      <c r="I53" s="14" t="s">
        <v>0</v>
      </c>
      <c r="J53" s="14" t="s">
        <v>0</v>
      </c>
      <c r="K53" s="14" t="s">
        <v>0</v>
      </c>
      <c r="L53" s="14" t="s">
        <v>0</v>
      </c>
      <c r="M53" s="14" t="s">
        <v>0</v>
      </c>
      <c r="N53" s="14" t="s">
        <v>0</v>
      </c>
      <c r="O53" s="14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L17" sqref="L17"/>
      <selection pane="topRight" activeCell="L17" sqref="L17"/>
      <selection pane="bottomLeft" activeCell="L17" sqref="L17"/>
      <selection pane="bottomRight" activeCell="L17" sqref="L17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30</v>
      </c>
      <c r="K1" s="9" t="s">
        <v>30</v>
      </c>
    </row>
    <row r="3" spans="1:13" x14ac:dyDescent="0.2">
      <c r="A3" s="12" t="s">
        <v>22</v>
      </c>
      <c r="B3" s="12" t="s">
        <v>21</v>
      </c>
      <c r="C3" s="12" t="s">
        <v>20</v>
      </c>
      <c r="D3" s="12" t="s">
        <v>19</v>
      </c>
      <c r="E3" s="12" t="s">
        <v>18</v>
      </c>
      <c r="F3" s="12" t="s">
        <v>17</v>
      </c>
      <c r="G3" s="12" t="s">
        <v>16</v>
      </c>
      <c r="H3" s="12" t="s">
        <v>15</v>
      </c>
      <c r="I3" s="12" t="s">
        <v>14</v>
      </c>
      <c r="J3" s="12" t="s">
        <v>13</v>
      </c>
      <c r="K3" s="12" t="s">
        <v>12</v>
      </c>
      <c r="L3" s="12" t="s">
        <v>11</v>
      </c>
      <c r="M3" s="12" t="s">
        <v>10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0</v>
      </c>
      <c r="F4" s="6">
        <v>301</v>
      </c>
      <c r="G4" s="6">
        <v>301</v>
      </c>
      <c r="H4" s="6">
        <v>0</v>
      </c>
      <c r="I4" s="6">
        <v>160</v>
      </c>
      <c r="J4" s="6">
        <v>160</v>
      </c>
      <c r="K4" s="6">
        <v>453</v>
      </c>
      <c r="L4" s="6">
        <v>301</v>
      </c>
      <c r="M4" s="6">
        <v>453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0</v>
      </c>
      <c r="F5" s="6">
        <v>301</v>
      </c>
      <c r="G5" s="6">
        <v>301</v>
      </c>
      <c r="H5" s="6">
        <v>0</v>
      </c>
      <c r="I5" s="6">
        <v>160</v>
      </c>
      <c r="J5" s="6">
        <v>160</v>
      </c>
      <c r="K5" s="6">
        <v>453</v>
      </c>
      <c r="L5" s="6">
        <v>301</v>
      </c>
      <c r="M5" s="6">
        <v>453</v>
      </c>
    </row>
    <row r="6" spans="1:13" x14ac:dyDescent="0.2">
      <c r="A6" s="7">
        <v>3</v>
      </c>
      <c r="B6" s="6">
        <v>86</v>
      </c>
      <c r="C6" s="6">
        <v>0</v>
      </c>
      <c r="D6" s="6">
        <v>0</v>
      </c>
      <c r="E6" s="6">
        <v>0</v>
      </c>
      <c r="F6" s="6">
        <v>301</v>
      </c>
      <c r="G6" s="6">
        <v>301</v>
      </c>
      <c r="H6" s="6">
        <v>0</v>
      </c>
      <c r="I6" s="6">
        <v>160</v>
      </c>
      <c r="J6" s="6">
        <v>160</v>
      </c>
      <c r="K6" s="6">
        <v>453</v>
      </c>
      <c r="L6" s="6">
        <v>301</v>
      </c>
      <c r="M6" s="6">
        <v>453</v>
      </c>
    </row>
    <row r="7" spans="1:13" x14ac:dyDescent="0.2">
      <c r="A7" s="7">
        <v>4</v>
      </c>
      <c r="B7" s="6">
        <v>237</v>
      </c>
      <c r="C7" s="6">
        <v>0</v>
      </c>
      <c r="D7" s="6">
        <v>0</v>
      </c>
      <c r="E7" s="6">
        <v>0</v>
      </c>
      <c r="F7" s="6">
        <v>300</v>
      </c>
      <c r="G7" s="6">
        <v>301</v>
      </c>
      <c r="H7" s="6">
        <v>0</v>
      </c>
      <c r="I7" s="6">
        <v>160</v>
      </c>
      <c r="J7" s="6">
        <v>160</v>
      </c>
      <c r="K7" s="6">
        <v>431</v>
      </c>
      <c r="L7" s="6">
        <v>301</v>
      </c>
      <c r="M7" s="6">
        <v>453</v>
      </c>
    </row>
    <row r="8" spans="1:13" x14ac:dyDescent="0.2">
      <c r="A8" s="7">
        <v>5</v>
      </c>
      <c r="B8" s="6">
        <v>301</v>
      </c>
      <c r="C8" s="6">
        <v>0</v>
      </c>
      <c r="D8" s="6">
        <v>0</v>
      </c>
      <c r="E8" s="6">
        <v>0</v>
      </c>
      <c r="F8" s="6">
        <v>391</v>
      </c>
      <c r="G8" s="6">
        <v>301</v>
      </c>
      <c r="H8" s="6">
        <v>0</v>
      </c>
      <c r="I8" s="6">
        <v>160</v>
      </c>
      <c r="J8" s="6">
        <v>160</v>
      </c>
      <c r="K8" s="6">
        <v>453</v>
      </c>
      <c r="L8" s="6">
        <v>301</v>
      </c>
      <c r="M8" s="6">
        <v>453</v>
      </c>
    </row>
    <row r="9" spans="1:13" x14ac:dyDescent="0.2">
      <c r="A9" s="7">
        <v>6</v>
      </c>
      <c r="B9" s="6">
        <v>301</v>
      </c>
      <c r="C9" s="6">
        <v>0</v>
      </c>
      <c r="D9" s="6">
        <v>0</v>
      </c>
      <c r="E9" s="6">
        <v>0</v>
      </c>
      <c r="F9" s="6">
        <v>452</v>
      </c>
      <c r="G9" s="6">
        <v>301</v>
      </c>
      <c r="H9" s="6">
        <v>0</v>
      </c>
      <c r="I9" s="6">
        <v>160</v>
      </c>
      <c r="J9" s="6">
        <v>160</v>
      </c>
      <c r="K9" s="6">
        <v>453</v>
      </c>
      <c r="L9" s="6">
        <v>301</v>
      </c>
      <c r="M9" s="6">
        <v>453</v>
      </c>
    </row>
    <row r="10" spans="1:13" x14ac:dyDescent="0.2">
      <c r="A10" s="7">
        <v>7</v>
      </c>
      <c r="B10" s="6">
        <v>301</v>
      </c>
      <c r="C10" s="6">
        <v>98</v>
      </c>
      <c r="D10" s="6">
        <v>0</v>
      </c>
      <c r="E10" s="6">
        <v>0</v>
      </c>
      <c r="F10" s="6">
        <v>452</v>
      </c>
      <c r="G10" s="6">
        <v>301</v>
      </c>
      <c r="H10" s="6">
        <v>0</v>
      </c>
      <c r="I10" s="6">
        <v>160</v>
      </c>
      <c r="J10" s="6">
        <v>160</v>
      </c>
      <c r="K10" s="6">
        <v>453</v>
      </c>
      <c r="L10" s="6">
        <v>292</v>
      </c>
      <c r="M10" s="6">
        <v>453</v>
      </c>
    </row>
    <row r="11" spans="1:13" x14ac:dyDescent="0.2">
      <c r="A11" s="7">
        <v>8</v>
      </c>
      <c r="B11" s="6">
        <v>301</v>
      </c>
      <c r="C11" s="6">
        <v>160</v>
      </c>
      <c r="D11" s="6">
        <v>0</v>
      </c>
      <c r="E11" s="6">
        <v>0</v>
      </c>
      <c r="F11" s="6">
        <v>452</v>
      </c>
      <c r="G11" s="6">
        <v>301</v>
      </c>
      <c r="H11" s="6">
        <v>0</v>
      </c>
      <c r="I11" s="6">
        <v>160</v>
      </c>
      <c r="J11" s="6">
        <v>160</v>
      </c>
      <c r="K11" s="6">
        <v>453</v>
      </c>
      <c r="L11" s="6">
        <v>284</v>
      </c>
      <c r="M11" s="6">
        <v>453</v>
      </c>
    </row>
    <row r="12" spans="1:13" x14ac:dyDescent="0.2">
      <c r="A12" s="7">
        <v>9</v>
      </c>
      <c r="B12" s="6">
        <v>301</v>
      </c>
      <c r="C12" s="6">
        <v>160</v>
      </c>
      <c r="D12" s="6">
        <v>0</v>
      </c>
      <c r="E12" s="6">
        <v>0</v>
      </c>
      <c r="F12" s="6">
        <v>452</v>
      </c>
      <c r="G12" s="6">
        <v>216</v>
      </c>
      <c r="H12" s="6">
        <v>0</v>
      </c>
      <c r="I12" s="6">
        <v>160</v>
      </c>
      <c r="J12" s="6">
        <v>160</v>
      </c>
      <c r="K12" s="6">
        <v>453</v>
      </c>
      <c r="L12" s="6">
        <v>453</v>
      </c>
      <c r="M12" s="6">
        <v>453</v>
      </c>
    </row>
    <row r="13" spans="1:13" x14ac:dyDescent="0.2">
      <c r="A13" s="7">
        <v>10</v>
      </c>
      <c r="B13" s="6">
        <v>301</v>
      </c>
      <c r="C13" s="6">
        <v>160</v>
      </c>
      <c r="D13" s="6">
        <v>0</v>
      </c>
      <c r="E13" s="6">
        <v>0</v>
      </c>
      <c r="F13" s="6">
        <v>452</v>
      </c>
      <c r="G13" s="6">
        <v>160</v>
      </c>
      <c r="H13" s="6">
        <v>0</v>
      </c>
      <c r="I13" s="6">
        <v>160</v>
      </c>
      <c r="J13" s="6">
        <v>160</v>
      </c>
      <c r="K13" s="6">
        <v>453</v>
      </c>
      <c r="L13" s="6">
        <v>453</v>
      </c>
      <c r="M13" s="6">
        <v>453</v>
      </c>
    </row>
    <row r="14" spans="1:13" x14ac:dyDescent="0.2">
      <c r="A14" s="7">
        <v>11</v>
      </c>
      <c r="B14" s="6">
        <v>301</v>
      </c>
      <c r="C14" s="6">
        <v>100</v>
      </c>
      <c r="D14" s="6">
        <v>0</v>
      </c>
      <c r="E14" s="6">
        <v>0</v>
      </c>
      <c r="F14" s="6">
        <v>452</v>
      </c>
      <c r="G14" s="6">
        <v>160</v>
      </c>
      <c r="H14" s="6">
        <v>0</v>
      </c>
      <c r="I14" s="6">
        <v>160</v>
      </c>
      <c r="J14" s="6">
        <v>160</v>
      </c>
      <c r="K14" s="6">
        <v>453</v>
      </c>
      <c r="L14" s="6">
        <v>453</v>
      </c>
      <c r="M14" s="6">
        <v>453</v>
      </c>
    </row>
    <row r="15" spans="1:13" x14ac:dyDescent="0.2">
      <c r="A15" s="7">
        <v>12</v>
      </c>
      <c r="B15" s="6">
        <v>301</v>
      </c>
      <c r="C15" s="6">
        <v>0</v>
      </c>
      <c r="D15" s="6">
        <v>0</v>
      </c>
      <c r="E15" s="6">
        <v>0</v>
      </c>
      <c r="F15" s="6">
        <v>452</v>
      </c>
      <c r="G15" s="6">
        <v>160</v>
      </c>
      <c r="H15" s="6">
        <v>0</v>
      </c>
      <c r="I15" s="6">
        <v>160</v>
      </c>
      <c r="J15" s="6">
        <v>160</v>
      </c>
      <c r="K15" s="6">
        <v>453</v>
      </c>
      <c r="L15" s="6">
        <v>453</v>
      </c>
      <c r="M15" s="6">
        <v>453</v>
      </c>
    </row>
    <row r="16" spans="1:13" x14ac:dyDescent="0.2">
      <c r="A16" s="7">
        <v>13</v>
      </c>
      <c r="B16" s="6">
        <v>301</v>
      </c>
      <c r="C16" s="6">
        <v>0</v>
      </c>
      <c r="D16" s="6">
        <v>0</v>
      </c>
      <c r="E16" s="6">
        <v>0</v>
      </c>
      <c r="F16" s="6">
        <v>452</v>
      </c>
      <c r="G16" s="6">
        <v>160</v>
      </c>
      <c r="H16" s="6">
        <v>0</v>
      </c>
      <c r="I16" s="6">
        <v>160</v>
      </c>
      <c r="J16" s="6">
        <v>160</v>
      </c>
      <c r="K16" s="6">
        <v>453</v>
      </c>
      <c r="L16" s="6">
        <v>453</v>
      </c>
      <c r="M16" s="6">
        <v>453</v>
      </c>
    </row>
    <row r="17" spans="1:13" x14ac:dyDescent="0.2">
      <c r="A17" s="7">
        <v>14</v>
      </c>
      <c r="B17" s="6">
        <v>301</v>
      </c>
      <c r="C17" s="6">
        <v>74</v>
      </c>
      <c r="D17" s="6">
        <v>0</v>
      </c>
      <c r="E17" s="6">
        <v>0</v>
      </c>
      <c r="F17" s="6">
        <v>452</v>
      </c>
      <c r="G17" s="6">
        <v>160</v>
      </c>
      <c r="H17" s="6">
        <v>0</v>
      </c>
      <c r="I17" s="6">
        <v>160</v>
      </c>
      <c r="J17" s="6">
        <v>245</v>
      </c>
      <c r="K17" s="6">
        <v>390</v>
      </c>
      <c r="L17" s="6">
        <v>453</v>
      </c>
      <c r="M17" s="6">
        <v>453</v>
      </c>
    </row>
    <row r="18" spans="1:13" x14ac:dyDescent="0.2">
      <c r="A18" s="7">
        <v>15</v>
      </c>
      <c r="B18" s="6">
        <v>301</v>
      </c>
      <c r="C18" s="6">
        <v>160</v>
      </c>
      <c r="D18" s="6">
        <v>0</v>
      </c>
      <c r="E18" s="6">
        <v>0</v>
      </c>
      <c r="F18" s="6">
        <v>510</v>
      </c>
      <c r="G18" s="6">
        <v>160</v>
      </c>
      <c r="H18" s="6">
        <v>0</v>
      </c>
      <c r="I18" s="6">
        <v>160</v>
      </c>
      <c r="J18" s="6">
        <v>301</v>
      </c>
      <c r="K18" s="6">
        <v>191</v>
      </c>
      <c r="L18" s="6">
        <v>453</v>
      </c>
      <c r="M18" s="6">
        <v>453</v>
      </c>
    </row>
    <row r="19" spans="1:13" x14ac:dyDescent="0.2">
      <c r="A19" s="7">
        <v>16</v>
      </c>
      <c r="B19" s="6">
        <v>301</v>
      </c>
      <c r="C19" s="6">
        <v>160</v>
      </c>
      <c r="D19" s="6">
        <v>0</v>
      </c>
      <c r="E19" s="6">
        <v>0</v>
      </c>
      <c r="F19" s="6">
        <v>574</v>
      </c>
      <c r="G19" s="6">
        <v>60</v>
      </c>
      <c r="H19" s="6">
        <v>0</v>
      </c>
      <c r="I19" s="6">
        <v>160</v>
      </c>
      <c r="J19" s="6">
        <v>367</v>
      </c>
      <c r="K19" s="6">
        <v>240</v>
      </c>
      <c r="L19" s="6">
        <v>453</v>
      </c>
      <c r="M19" s="6">
        <v>452</v>
      </c>
    </row>
    <row r="20" spans="1:13" x14ac:dyDescent="0.2">
      <c r="A20" s="7">
        <v>17</v>
      </c>
      <c r="B20" s="6">
        <v>300</v>
      </c>
      <c r="C20" s="6">
        <v>160</v>
      </c>
      <c r="D20" s="6">
        <v>0</v>
      </c>
      <c r="E20" s="6">
        <v>0</v>
      </c>
      <c r="F20" s="6">
        <v>574</v>
      </c>
      <c r="G20" s="6">
        <v>0</v>
      </c>
      <c r="H20" s="6">
        <v>0</v>
      </c>
      <c r="I20" s="6">
        <v>160</v>
      </c>
      <c r="J20" s="6">
        <v>397</v>
      </c>
      <c r="K20" s="6">
        <v>396</v>
      </c>
      <c r="L20" s="6">
        <v>453</v>
      </c>
      <c r="M20" s="6">
        <v>452</v>
      </c>
    </row>
    <row r="21" spans="1:13" x14ac:dyDescent="0.2">
      <c r="A21" s="7">
        <v>18</v>
      </c>
      <c r="B21" s="6">
        <v>300</v>
      </c>
      <c r="C21" s="6">
        <v>101</v>
      </c>
      <c r="D21" s="6">
        <v>0</v>
      </c>
      <c r="E21" s="6">
        <v>0</v>
      </c>
      <c r="F21" s="6">
        <v>569</v>
      </c>
      <c r="G21" s="6">
        <v>0</v>
      </c>
      <c r="H21" s="6">
        <v>0</v>
      </c>
      <c r="I21" s="6">
        <v>160</v>
      </c>
      <c r="J21" s="6">
        <v>450</v>
      </c>
      <c r="K21" s="6">
        <v>453</v>
      </c>
      <c r="L21" s="6">
        <v>453</v>
      </c>
      <c r="M21" s="6">
        <v>452</v>
      </c>
    </row>
    <row r="22" spans="1:13" x14ac:dyDescent="0.2">
      <c r="A22" s="7">
        <v>19</v>
      </c>
      <c r="B22" s="6">
        <v>300</v>
      </c>
      <c r="C22" s="6">
        <v>0</v>
      </c>
      <c r="D22" s="6">
        <v>0</v>
      </c>
      <c r="E22" s="6">
        <v>0</v>
      </c>
      <c r="F22" s="6">
        <v>561</v>
      </c>
      <c r="G22" s="6">
        <v>0</v>
      </c>
      <c r="H22" s="6">
        <v>0</v>
      </c>
      <c r="I22" s="6">
        <v>160</v>
      </c>
      <c r="J22" s="6">
        <v>445</v>
      </c>
      <c r="K22" s="6">
        <v>434</v>
      </c>
      <c r="L22" s="6">
        <v>453</v>
      </c>
      <c r="M22" s="6">
        <v>452</v>
      </c>
    </row>
    <row r="23" spans="1:13" x14ac:dyDescent="0.2">
      <c r="A23" s="7">
        <v>20</v>
      </c>
      <c r="B23" s="6">
        <v>189</v>
      </c>
      <c r="C23" s="6">
        <v>0</v>
      </c>
      <c r="D23" s="6">
        <v>0</v>
      </c>
      <c r="E23" s="6">
        <v>0</v>
      </c>
      <c r="F23" s="6">
        <v>561</v>
      </c>
      <c r="G23" s="6">
        <v>0</v>
      </c>
      <c r="H23" s="6">
        <v>0</v>
      </c>
      <c r="I23" s="6">
        <v>160</v>
      </c>
      <c r="J23" s="6">
        <v>453</v>
      </c>
      <c r="K23" s="6">
        <v>453</v>
      </c>
      <c r="L23" s="6">
        <v>453</v>
      </c>
      <c r="M23" s="6">
        <v>452</v>
      </c>
    </row>
    <row r="24" spans="1:13" x14ac:dyDescent="0.2">
      <c r="A24" s="7">
        <v>21</v>
      </c>
      <c r="B24" s="6">
        <v>0</v>
      </c>
      <c r="C24" s="6">
        <v>0</v>
      </c>
      <c r="D24" s="6">
        <v>0</v>
      </c>
      <c r="E24" s="6">
        <v>0</v>
      </c>
      <c r="F24" s="6">
        <v>561</v>
      </c>
      <c r="G24" s="6">
        <v>0</v>
      </c>
      <c r="H24" s="6">
        <v>0</v>
      </c>
      <c r="I24" s="6">
        <v>160</v>
      </c>
      <c r="J24" s="6">
        <v>453</v>
      </c>
      <c r="K24" s="6">
        <v>453</v>
      </c>
      <c r="L24" s="6">
        <v>453</v>
      </c>
      <c r="M24" s="6">
        <v>452</v>
      </c>
    </row>
    <row r="25" spans="1:13" x14ac:dyDescent="0.2">
      <c r="A25" s="7">
        <v>22</v>
      </c>
      <c r="B25" s="6">
        <v>0</v>
      </c>
      <c r="C25" s="6">
        <v>0</v>
      </c>
      <c r="D25" s="6">
        <v>0</v>
      </c>
      <c r="E25" s="6">
        <v>102</v>
      </c>
      <c r="F25" s="6">
        <v>560</v>
      </c>
      <c r="G25" s="6">
        <v>0</v>
      </c>
      <c r="H25" s="6">
        <v>0</v>
      </c>
      <c r="I25" s="6">
        <v>160</v>
      </c>
      <c r="J25" s="6">
        <v>453</v>
      </c>
      <c r="K25" s="6">
        <v>453</v>
      </c>
      <c r="L25" s="6">
        <v>453</v>
      </c>
      <c r="M25" s="6">
        <v>452</v>
      </c>
    </row>
    <row r="26" spans="1:13" x14ac:dyDescent="0.2">
      <c r="A26" s="7">
        <v>23</v>
      </c>
      <c r="B26" s="6">
        <v>0</v>
      </c>
      <c r="C26" s="6">
        <v>0</v>
      </c>
      <c r="D26" s="6">
        <v>0</v>
      </c>
      <c r="E26" s="6">
        <v>160</v>
      </c>
      <c r="F26" s="6">
        <v>560</v>
      </c>
      <c r="G26" s="6">
        <v>0</v>
      </c>
      <c r="H26" s="6">
        <v>0</v>
      </c>
      <c r="I26" s="6">
        <v>160</v>
      </c>
      <c r="J26" s="6">
        <v>452</v>
      </c>
      <c r="K26" s="6">
        <v>453</v>
      </c>
      <c r="L26" s="6">
        <v>453</v>
      </c>
      <c r="M26" s="6">
        <v>452</v>
      </c>
    </row>
    <row r="27" spans="1:13" x14ac:dyDescent="0.2">
      <c r="A27" s="7">
        <v>24</v>
      </c>
      <c r="B27" s="6">
        <v>0</v>
      </c>
      <c r="C27" s="6">
        <v>0</v>
      </c>
      <c r="D27" s="6">
        <v>0</v>
      </c>
      <c r="E27" s="6">
        <v>160</v>
      </c>
      <c r="F27" s="6">
        <v>560</v>
      </c>
      <c r="G27" s="6">
        <v>0</v>
      </c>
      <c r="H27" s="6">
        <v>0</v>
      </c>
      <c r="I27" s="6">
        <v>160</v>
      </c>
      <c r="J27" s="6">
        <v>453</v>
      </c>
      <c r="K27" s="6">
        <v>453</v>
      </c>
      <c r="L27" s="6">
        <v>453</v>
      </c>
      <c r="M27" s="6">
        <v>452</v>
      </c>
    </row>
    <row r="28" spans="1:13" x14ac:dyDescent="0.2">
      <c r="A28" s="7">
        <v>25</v>
      </c>
      <c r="B28" s="6">
        <v>0</v>
      </c>
      <c r="C28" s="6">
        <v>0</v>
      </c>
      <c r="D28" s="6">
        <v>0</v>
      </c>
      <c r="E28" s="6">
        <v>160</v>
      </c>
      <c r="F28" s="6">
        <v>497</v>
      </c>
      <c r="G28" s="6">
        <v>4</v>
      </c>
      <c r="H28" s="6">
        <v>0</v>
      </c>
      <c r="I28" s="6">
        <v>160</v>
      </c>
      <c r="J28" s="6">
        <v>453</v>
      </c>
      <c r="K28" s="6">
        <v>435</v>
      </c>
      <c r="L28" s="6">
        <v>453</v>
      </c>
      <c r="M28" s="6">
        <v>452</v>
      </c>
    </row>
    <row r="29" spans="1:13" x14ac:dyDescent="0.2">
      <c r="A29" s="7">
        <v>26</v>
      </c>
      <c r="B29" s="6">
        <v>0</v>
      </c>
      <c r="C29" s="6">
        <v>0</v>
      </c>
      <c r="D29" s="6">
        <v>0</v>
      </c>
      <c r="E29" s="6">
        <v>160</v>
      </c>
      <c r="F29" s="6">
        <v>385</v>
      </c>
      <c r="G29" s="6">
        <v>0</v>
      </c>
      <c r="H29" s="6">
        <v>0</v>
      </c>
      <c r="I29" s="6">
        <v>160</v>
      </c>
      <c r="J29" s="6">
        <v>453</v>
      </c>
      <c r="K29" s="6">
        <v>296</v>
      </c>
      <c r="L29" s="6">
        <v>347</v>
      </c>
      <c r="M29" s="6">
        <v>452</v>
      </c>
    </row>
    <row r="30" spans="1:13" x14ac:dyDescent="0.2">
      <c r="A30" s="7">
        <v>27</v>
      </c>
      <c r="B30" s="6">
        <v>0</v>
      </c>
      <c r="C30" s="6">
        <v>0</v>
      </c>
      <c r="D30" s="6">
        <v>0</v>
      </c>
      <c r="E30" s="6">
        <v>160</v>
      </c>
      <c r="F30" s="6">
        <v>301</v>
      </c>
      <c r="G30" s="6">
        <v>0</v>
      </c>
      <c r="H30" s="6">
        <v>0</v>
      </c>
      <c r="I30" s="6">
        <v>160</v>
      </c>
      <c r="J30" s="6">
        <v>453</v>
      </c>
      <c r="K30" s="6">
        <v>393</v>
      </c>
      <c r="L30" s="6">
        <v>301</v>
      </c>
      <c r="M30" s="6">
        <v>452</v>
      </c>
    </row>
    <row r="31" spans="1:13" x14ac:dyDescent="0.2">
      <c r="A31" s="7">
        <v>28</v>
      </c>
      <c r="B31" s="6">
        <v>0</v>
      </c>
      <c r="C31" s="6">
        <v>0</v>
      </c>
      <c r="D31" s="6">
        <v>0</v>
      </c>
      <c r="E31" s="6">
        <v>160</v>
      </c>
      <c r="F31" s="6">
        <v>293</v>
      </c>
      <c r="G31" s="6">
        <v>0</v>
      </c>
      <c r="H31" s="6">
        <v>0</v>
      </c>
      <c r="I31" s="6">
        <v>160</v>
      </c>
      <c r="J31" s="6">
        <v>453</v>
      </c>
      <c r="K31" s="6">
        <v>453</v>
      </c>
      <c r="L31" s="6">
        <v>394</v>
      </c>
      <c r="M31" s="6">
        <v>452</v>
      </c>
    </row>
    <row r="32" spans="1:13" x14ac:dyDescent="0.2">
      <c r="A32" s="7">
        <v>29</v>
      </c>
      <c r="B32" s="6">
        <v>0</v>
      </c>
      <c r="C32" s="6">
        <v>0</v>
      </c>
      <c r="D32" s="6">
        <v>0</v>
      </c>
      <c r="E32" s="6">
        <v>247</v>
      </c>
      <c r="F32" s="6">
        <v>293</v>
      </c>
      <c r="G32" s="6">
        <v>0</v>
      </c>
      <c r="H32" s="6">
        <v>53</v>
      </c>
      <c r="I32" s="6">
        <v>160</v>
      </c>
      <c r="J32" s="6">
        <v>453</v>
      </c>
      <c r="K32" s="6">
        <v>453</v>
      </c>
      <c r="L32" s="6">
        <v>453</v>
      </c>
      <c r="M32" s="6">
        <v>452</v>
      </c>
    </row>
    <row r="33" spans="1:14" x14ac:dyDescent="0.2">
      <c r="A33" s="7">
        <v>30</v>
      </c>
      <c r="B33" s="6">
        <v>0</v>
      </c>
      <c r="C33" s="9" t="s">
        <v>0</v>
      </c>
      <c r="D33" s="6">
        <v>0</v>
      </c>
      <c r="E33" s="6">
        <v>301</v>
      </c>
      <c r="F33" s="6">
        <v>301</v>
      </c>
      <c r="G33" s="6">
        <v>0</v>
      </c>
      <c r="H33" s="6">
        <v>160</v>
      </c>
      <c r="I33" s="6">
        <v>160</v>
      </c>
      <c r="J33" s="6">
        <v>453</v>
      </c>
      <c r="K33" s="6">
        <v>452</v>
      </c>
      <c r="L33" s="6">
        <v>453</v>
      </c>
      <c r="M33" s="6">
        <v>421</v>
      </c>
    </row>
    <row r="34" spans="1:14" x14ac:dyDescent="0.2">
      <c r="A34" s="7">
        <v>31</v>
      </c>
      <c r="B34" s="6">
        <v>0</v>
      </c>
      <c r="C34" s="9" t="s">
        <v>0</v>
      </c>
      <c r="D34" s="6">
        <v>0</v>
      </c>
      <c r="E34" s="14" t="s">
        <v>0</v>
      </c>
      <c r="F34" s="6">
        <v>301</v>
      </c>
      <c r="G34" s="9" t="s">
        <v>0</v>
      </c>
      <c r="H34" s="6">
        <v>160</v>
      </c>
      <c r="I34" s="6">
        <v>160</v>
      </c>
      <c r="J34" s="9"/>
      <c r="K34" s="6">
        <v>364</v>
      </c>
      <c r="L34" s="9" t="s">
        <v>0</v>
      </c>
      <c r="M34" s="6">
        <v>418</v>
      </c>
    </row>
    <row r="36" spans="1:14" hidden="1" x14ac:dyDescent="0.2"/>
    <row r="37" spans="1:14" hidden="1" x14ac:dyDescent="0.2">
      <c r="A37" s="9" t="s">
        <v>9</v>
      </c>
      <c r="B37" s="2">
        <f>SUM(B4:B35)</f>
        <v>5024</v>
      </c>
      <c r="C37" s="2">
        <f>SUM(C4:C35)</f>
        <v>1333</v>
      </c>
      <c r="D37" s="2">
        <f>SUM(D4:D35)</f>
        <v>0</v>
      </c>
      <c r="E37" s="2">
        <f>SUM(E4:E35)</f>
        <v>1610</v>
      </c>
      <c r="F37" s="2">
        <f>SUM(F4:F35)</f>
        <v>13623</v>
      </c>
      <c r="G37" s="2">
        <f>SUM(G4:G35)</f>
        <v>3648</v>
      </c>
      <c r="H37" s="2">
        <f>SUM(H4:H35)</f>
        <v>373</v>
      </c>
      <c r="I37" s="2">
        <f>SUM(I4:I35)</f>
        <v>4960</v>
      </c>
      <c r="J37" s="2">
        <f>SUM(J4:J35)</f>
        <v>9267</v>
      </c>
      <c r="K37" s="2">
        <f>SUM(K4:K35)</f>
        <v>13082</v>
      </c>
      <c r="L37" s="2">
        <f>SUM(L4:L35)</f>
        <v>12031</v>
      </c>
      <c r="M37" s="2">
        <f>SUM(M4:M35)</f>
        <v>13962</v>
      </c>
      <c r="N37" s="2"/>
    </row>
    <row r="38" spans="1:14" x14ac:dyDescent="0.2">
      <c r="A38" s="9" t="s">
        <v>8</v>
      </c>
      <c r="B38" s="2">
        <f>SUM(B4:B34)</f>
        <v>5024</v>
      </c>
      <c r="C38" s="2">
        <f>SUM(C4:C34)</f>
        <v>1333</v>
      </c>
      <c r="D38" s="2">
        <f>SUM(D4:D34)</f>
        <v>0</v>
      </c>
      <c r="E38" s="2">
        <f>SUM(E4:E34)</f>
        <v>1610</v>
      </c>
      <c r="F38" s="2">
        <f>SUM(F4:F34)</f>
        <v>13623</v>
      </c>
      <c r="G38" s="2">
        <f>SUM(G4:G34)</f>
        <v>3648</v>
      </c>
      <c r="H38" s="2">
        <f>SUM(H4:H34)</f>
        <v>373</v>
      </c>
      <c r="I38" s="2">
        <f>SUM(I4:I34)</f>
        <v>4960</v>
      </c>
      <c r="J38" s="2">
        <f>SUM(J4:J34)</f>
        <v>9267</v>
      </c>
      <c r="K38" s="2">
        <f>SUM(K4:K34)</f>
        <v>13082</v>
      </c>
      <c r="L38" s="2">
        <f>SUM(L4:L34)</f>
        <v>12031</v>
      </c>
      <c r="M38" s="2">
        <f>SUM(M4:M34)</f>
        <v>13962</v>
      </c>
      <c r="N38" s="2"/>
    </row>
    <row r="39" spans="1:14" x14ac:dyDescent="0.2">
      <c r="A39" s="9" t="s">
        <v>7</v>
      </c>
      <c r="B39" s="2">
        <f>+B38</f>
        <v>5024</v>
      </c>
      <c r="C39" s="2">
        <f>+B39+C38</f>
        <v>6357</v>
      </c>
      <c r="D39" s="2">
        <f>+C39+D38</f>
        <v>6357</v>
      </c>
      <c r="E39" s="2">
        <f>+D39+E38</f>
        <v>7967</v>
      </c>
      <c r="F39" s="2">
        <f>+E39+F38</f>
        <v>21590</v>
      </c>
      <c r="G39" s="2">
        <f>+F39+G38</f>
        <v>25238</v>
      </c>
      <c r="H39" s="2">
        <f>+G39+H38</f>
        <v>25611</v>
      </c>
      <c r="I39" s="2">
        <f>+H39+I38</f>
        <v>30571</v>
      </c>
      <c r="J39" s="2">
        <f>+I39+J38</f>
        <v>39838</v>
      </c>
      <c r="K39" s="2">
        <f>+J39+K38</f>
        <v>52920</v>
      </c>
      <c r="L39" s="2">
        <f>+K39+L38</f>
        <v>64951</v>
      </c>
      <c r="M39" s="2">
        <f>+L39+M38</f>
        <v>78913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95</v>
      </c>
      <c r="B41" s="2">
        <v>7946</v>
      </c>
      <c r="C41" s="2">
        <v>3660</v>
      </c>
      <c r="D41" s="2">
        <v>14380</v>
      </c>
      <c r="E41" s="2">
        <v>7466</v>
      </c>
      <c r="F41" s="2">
        <v>10629</v>
      </c>
      <c r="G41" s="2">
        <v>9403</v>
      </c>
      <c r="H41" s="2">
        <v>4352</v>
      </c>
      <c r="I41" s="2">
        <v>4361</v>
      </c>
      <c r="J41" s="2">
        <v>9333</v>
      </c>
      <c r="K41" s="2">
        <v>8225</v>
      </c>
      <c r="L41" s="2">
        <v>11987</v>
      </c>
      <c r="M41" s="2">
        <v>5342</v>
      </c>
      <c r="N41" s="2">
        <f>SUM(B41:M41)</f>
        <v>97084</v>
      </c>
    </row>
    <row r="42" spans="1:14" x14ac:dyDescent="0.2">
      <c r="A42">
        <v>96</v>
      </c>
      <c r="B42" s="2">
        <v>12080</v>
      </c>
      <c r="C42" s="2">
        <v>17029</v>
      </c>
      <c r="D42" s="2">
        <v>12517</v>
      </c>
      <c r="E42" s="2">
        <v>7884</v>
      </c>
      <c r="F42" s="2">
        <v>15665</v>
      </c>
      <c r="G42" s="2">
        <v>4510</v>
      </c>
      <c r="H42" s="2">
        <v>6564</v>
      </c>
      <c r="I42" s="2">
        <v>4683</v>
      </c>
      <c r="J42" s="2">
        <v>9080</v>
      </c>
      <c r="K42" s="2">
        <v>9222</v>
      </c>
      <c r="L42" s="2">
        <v>13002</v>
      </c>
      <c r="M42" s="2">
        <v>3961</v>
      </c>
      <c r="N42" s="2">
        <f>SUM(B42:M42)</f>
        <v>116197</v>
      </c>
    </row>
    <row r="43" spans="1:14" x14ac:dyDescent="0.2">
      <c r="A43">
        <v>97</v>
      </c>
      <c r="B43" s="3">
        <v>15167</v>
      </c>
      <c r="C43" s="3">
        <v>10146</v>
      </c>
      <c r="D43" s="2">
        <v>0</v>
      </c>
      <c r="E43" s="3">
        <v>2420</v>
      </c>
      <c r="F43" s="3">
        <v>7019</v>
      </c>
      <c r="G43" s="3">
        <v>7980</v>
      </c>
      <c r="H43" s="3">
        <v>5726</v>
      </c>
      <c r="I43" s="3">
        <v>4911</v>
      </c>
      <c r="J43" s="3">
        <v>10519</v>
      </c>
      <c r="K43" s="3">
        <v>10440</v>
      </c>
      <c r="L43" s="3">
        <v>10983</v>
      </c>
      <c r="M43" s="3">
        <v>4758</v>
      </c>
      <c r="N43" s="2">
        <f>SUM(B43:M43)</f>
        <v>90069</v>
      </c>
    </row>
    <row r="44" spans="1:14" x14ac:dyDescent="0.2">
      <c r="A44">
        <v>98</v>
      </c>
      <c r="B44" s="2">
        <v>6034</v>
      </c>
      <c r="C44" s="2">
        <v>6935</v>
      </c>
      <c r="D44" s="2">
        <v>434</v>
      </c>
      <c r="E44" s="2">
        <v>10379</v>
      </c>
      <c r="F44" s="2">
        <v>16284</v>
      </c>
      <c r="G44" s="2">
        <v>12360</v>
      </c>
      <c r="H44" s="2">
        <v>4871</v>
      </c>
      <c r="I44" s="2">
        <v>4835</v>
      </c>
      <c r="J44" s="2">
        <v>8628</v>
      </c>
      <c r="K44" s="2">
        <v>12954</v>
      </c>
      <c r="L44" s="2">
        <v>12832</v>
      </c>
      <c r="M44" s="2">
        <v>11617</v>
      </c>
      <c r="N44" s="2">
        <f>SUM(B44:M44)</f>
        <v>108163</v>
      </c>
    </row>
    <row r="45" spans="1:14" x14ac:dyDescent="0.2">
      <c r="A45">
        <v>99</v>
      </c>
      <c r="B45" s="2">
        <v>2866</v>
      </c>
      <c r="C45" s="2">
        <v>11509</v>
      </c>
      <c r="D45" s="2">
        <v>9356</v>
      </c>
      <c r="E45" s="2">
        <v>5067</v>
      </c>
      <c r="F45" s="2">
        <v>11105</v>
      </c>
      <c r="G45" s="2">
        <v>7976</v>
      </c>
      <c r="H45" s="2">
        <v>4462</v>
      </c>
      <c r="I45" s="2">
        <v>11177</v>
      </c>
      <c r="J45" s="2">
        <v>12227</v>
      </c>
      <c r="K45" s="2">
        <v>9566</v>
      </c>
      <c r="L45" s="2">
        <v>12241</v>
      </c>
      <c r="M45" s="2">
        <v>1929</v>
      </c>
      <c r="N45" s="2">
        <f>SUM(B45:M45)</f>
        <v>99481</v>
      </c>
    </row>
    <row r="46" spans="1:14" x14ac:dyDescent="0.2">
      <c r="A46" s="4" t="s">
        <v>6</v>
      </c>
      <c r="B46" s="2">
        <v>6482</v>
      </c>
      <c r="C46" s="2">
        <v>1653</v>
      </c>
      <c r="D46" s="2">
        <v>1429</v>
      </c>
      <c r="E46" s="2">
        <v>5627</v>
      </c>
      <c r="F46" s="2">
        <v>12227</v>
      </c>
      <c r="G46" s="2">
        <v>5836</v>
      </c>
      <c r="H46" s="2">
        <v>7646</v>
      </c>
      <c r="I46" s="2">
        <v>5412</v>
      </c>
      <c r="J46" s="2">
        <v>9239</v>
      </c>
      <c r="K46" s="2">
        <v>11022</v>
      </c>
      <c r="L46" s="2">
        <v>7170</v>
      </c>
      <c r="M46" s="2">
        <v>579</v>
      </c>
      <c r="N46" s="2">
        <f>SUM(B46:M46)</f>
        <v>74322</v>
      </c>
    </row>
    <row r="47" spans="1:14" x14ac:dyDescent="0.2">
      <c r="A47" s="4" t="s">
        <v>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5071</v>
      </c>
      <c r="K47" s="2">
        <v>9716</v>
      </c>
      <c r="L47" s="2">
        <v>7193</v>
      </c>
      <c r="M47" s="2">
        <v>6762</v>
      </c>
      <c r="N47" s="2">
        <f>SUM(B47:M47)</f>
        <v>28742</v>
      </c>
    </row>
    <row r="48" spans="1:14" x14ac:dyDescent="0.2">
      <c r="A48" s="4" t="s">
        <v>4</v>
      </c>
      <c r="B48" s="2">
        <v>7731</v>
      </c>
      <c r="C48" s="2">
        <v>3718</v>
      </c>
      <c r="D48" s="2">
        <v>2978</v>
      </c>
      <c r="E48" s="2">
        <v>1181</v>
      </c>
      <c r="F48" s="2">
        <v>9755</v>
      </c>
      <c r="G48" s="2">
        <v>4603</v>
      </c>
      <c r="H48" s="2">
        <v>3679</v>
      </c>
      <c r="I48" s="2">
        <v>9309</v>
      </c>
      <c r="J48" s="2">
        <v>10658</v>
      </c>
      <c r="K48" s="2">
        <v>7841</v>
      </c>
      <c r="L48" s="2">
        <v>3757</v>
      </c>
      <c r="M48" s="2">
        <v>2555</v>
      </c>
      <c r="N48" s="2">
        <f>SUM(B48:M48)</f>
        <v>67765</v>
      </c>
    </row>
    <row r="49" spans="1:14" x14ac:dyDescent="0.2">
      <c r="A49" s="4" t="s">
        <v>3</v>
      </c>
      <c r="B49" s="2">
        <v>3495</v>
      </c>
      <c r="C49" s="2">
        <v>3914</v>
      </c>
      <c r="D49" s="2">
        <v>1932</v>
      </c>
      <c r="E49" s="2">
        <v>11480</v>
      </c>
      <c r="F49" s="2">
        <v>10323</v>
      </c>
      <c r="G49" s="2">
        <v>1482</v>
      </c>
      <c r="H49" s="2">
        <v>130</v>
      </c>
      <c r="I49" s="2">
        <v>8059</v>
      </c>
      <c r="J49" s="2">
        <v>6491</v>
      </c>
      <c r="K49" s="2">
        <v>4927</v>
      </c>
      <c r="L49" s="2">
        <v>4053</v>
      </c>
      <c r="M49" s="2">
        <v>3284</v>
      </c>
      <c r="N49" s="2">
        <f>SUM(B49:M49)</f>
        <v>59570</v>
      </c>
    </row>
    <row r="50" spans="1:14" x14ac:dyDescent="0.2">
      <c r="A50" s="4" t="s">
        <v>2</v>
      </c>
      <c r="B50" s="2">
        <v>4030</v>
      </c>
      <c r="C50" s="2">
        <v>5343</v>
      </c>
      <c r="D50" s="2">
        <v>1980</v>
      </c>
      <c r="E50" s="2">
        <v>1240</v>
      </c>
      <c r="F50" s="2">
        <v>9263</v>
      </c>
      <c r="G50" s="2">
        <v>1973</v>
      </c>
      <c r="H50" s="2">
        <v>3574</v>
      </c>
      <c r="I50" s="2">
        <v>2640</v>
      </c>
      <c r="J50" s="2">
        <v>9036</v>
      </c>
      <c r="K50" s="2">
        <v>11806</v>
      </c>
      <c r="L50" s="2">
        <v>9750</v>
      </c>
      <c r="M50" s="2">
        <v>4330</v>
      </c>
      <c r="N50" s="2">
        <f>SUM(B50:M50)</f>
        <v>64965</v>
      </c>
    </row>
    <row r="52" spans="1:14" x14ac:dyDescent="0.2">
      <c r="A52" s="9" t="s">
        <v>1</v>
      </c>
      <c r="B52" s="1">
        <f>AVERAGE(B41:B50)</f>
        <v>6583.1</v>
      </c>
      <c r="C52" s="1">
        <f>AVERAGE(C41:C50)</f>
        <v>6390.7</v>
      </c>
      <c r="D52" s="1">
        <f>AVERAGE(D41:D50)</f>
        <v>4500.6000000000004</v>
      </c>
      <c r="E52" s="1">
        <f>AVERAGE(E41:E50)</f>
        <v>5274.4</v>
      </c>
      <c r="F52" s="1">
        <f>AVERAGE(F41:F50)</f>
        <v>10227</v>
      </c>
      <c r="G52" s="1">
        <f>AVERAGE(G41:G50)</f>
        <v>5612.3</v>
      </c>
      <c r="H52" s="1">
        <f>AVERAGE(H41:H50)</f>
        <v>4100.3999999999996</v>
      </c>
      <c r="I52" s="1">
        <f>AVERAGE(I41:I50)</f>
        <v>5538.7</v>
      </c>
      <c r="J52" s="1">
        <f>AVERAGE(J41:J50)</f>
        <v>9028.2000000000007</v>
      </c>
      <c r="K52" s="1">
        <f>AVERAGE(K41:K50)</f>
        <v>9571.9</v>
      </c>
      <c r="L52" s="1">
        <f>AVERAGE(L41:L50)</f>
        <v>9296.7999999999993</v>
      </c>
      <c r="M52" s="1">
        <f>AVERAGE(M41:M50)</f>
        <v>4511.7</v>
      </c>
      <c r="N52" s="2" t="s">
        <v>0</v>
      </c>
    </row>
    <row r="53" spans="1:14" x14ac:dyDescent="0.2">
      <c r="B53" s="1">
        <f>+B52</f>
        <v>6583.1</v>
      </c>
      <c r="C53" s="1">
        <f>+B53+C52</f>
        <v>12973.8</v>
      </c>
      <c r="D53" s="1">
        <f>+C53+D52</f>
        <v>17474.400000000001</v>
      </c>
      <c r="E53" s="1">
        <f>+D53+E52</f>
        <v>22748.800000000003</v>
      </c>
      <c r="F53" s="1">
        <f>+E53+F52</f>
        <v>32975.800000000003</v>
      </c>
      <c r="G53" s="1">
        <f>+F53+G52</f>
        <v>38588.100000000006</v>
      </c>
      <c r="H53" s="1">
        <f>+G53+H52</f>
        <v>42688.500000000007</v>
      </c>
      <c r="I53" s="1">
        <f>+H53+I52</f>
        <v>48227.200000000004</v>
      </c>
      <c r="J53" s="1">
        <f>+I53+J52</f>
        <v>57255.400000000009</v>
      </c>
      <c r="K53" s="1">
        <f>+J53+K52</f>
        <v>66827.3</v>
      </c>
      <c r="L53" s="1">
        <f>+K53+L52</f>
        <v>76124.100000000006</v>
      </c>
      <c r="M53" s="1">
        <f>+L53+M52</f>
        <v>80635.8</v>
      </c>
      <c r="N53" s="1">
        <f>AVERAGE(N41:N50)</f>
        <v>80635.8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workbookViewId="0">
      <selection activeCell="L17" sqref="L17"/>
    </sheetView>
  </sheetViews>
  <sheetFormatPr defaultRowHeight="12.75" x14ac:dyDescent="0.2"/>
  <sheetData>
    <row r="1" spans="1:12" x14ac:dyDescent="0.2">
      <c r="D1" s="14" t="s">
        <v>94</v>
      </c>
    </row>
    <row r="2" spans="1:12" x14ac:dyDescent="0.2">
      <c r="I2" s="21"/>
      <c r="J2" s="21"/>
      <c r="K2" s="21"/>
    </row>
    <row r="3" spans="1:12" ht="25.5" x14ac:dyDescent="0.2">
      <c r="B3" s="19" t="s">
        <v>93</v>
      </c>
      <c r="C3" s="19" t="s">
        <v>92</v>
      </c>
      <c r="D3" s="19" t="s">
        <v>91</v>
      </c>
      <c r="E3" s="19" t="s">
        <v>90</v>
      </c>
      <c r="F3" s="19" t="s">
        <v>89</v>
      </c>
      <c r="G3" s="19" t="s">
        <v>88</v>
      </c>
      <c r="H3" s="19" t="s">
        <v>87</v>
      </c>
      <c r="I3" s="20" t="s">
        <v>86</v>
      </c>
      <c r="J3" s="20" t="s">
        <v>85</v>
      </c>
      <c r="K3" s="20" t="s">
        <v>84</v>
      </c>
      <c r="L3" s="19" t="s">
        <v>0</v>
      </c>
    </row>
    <row r="4" spans="1:12" x14ac:dyDescent="0.2">
      <c r="A4" t="s">
        <v>83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58</v>
      </c>
      <c r="I4">
        <f>SUM(B4:H4)</f>
        <v>58</v>
      </c>
      <c r="J4">
        <f>+I4</f>
        <v>58</v>
      </c>
      <c r="K4" s="18">
        <f>+J4*1.98</f>
        <v>114.84</v>
      </c>
    </row>
    <row r="5" spans="1:12" x14ac:dyDescent="0.2">
      <c r="A5" s="9" t="s">
        <v>82</v>
      </c>
      <c r="B5" s="6">
        <v>63</v>
      </c>
      <c r="C5" s="6">
        <v>65</v>
      </c>
      <c r="D5" s="6">
        <v>64</v>
      </c>
      <c r="E5" s="6">
        <v>42</v>
      </c>
      <c r="F5" s="6">
        <v>20</v>
      </c>
      <c r="G5" s="6">
        <v>4</v>
      </c>
      <c r="H5" s="6">
        <v>0</v>
      </c>
      <c r="I5">
        <f>SUM(B5:H5)</f>
        <v>258</v>
      </c>
      <c r="J5">
        <f>+I5+J4</f>
        <v>316</v>
      </c>
      <c r="K5" s="18">
        <f>+J5*1.98</f>
        <v>625.67999999999995</v>
      </c>
    </row>
    <row r="6" spans="1:12" x14ac:dyDescent="0.2">
      <c r="A6" s="9" t="s">
        <v>81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>
        <f>SUM(B6:H6)</f>
        <v>0</v>
      </c>
      <c r="J6">
        <f>+I6+J5</f>
        <v>316</v>
      </c>
      <c r="K6" s="18">
        <f>+J6*1.98</f>
        <v>625.67999999999995</v>
      </c>
    </row>
    <row r="7" spans="1:12" x14ac:dyDescent="0.2">
      <c r="A7" t="s">
        <v>80</v>
      </c>
      <c r="B7" s="6">
        <v>0</v>
      </c>
      <c r="C7" s="6">
        <v>0</v>
      </c>
      <c r="D7" s="6">
        <v>1</v>
      </c>
      <c r="E7" s="6">
        <v>1</v>
      </c>
      <c r="F7" s="6">
        <v>0</v>
      </c>
      <c r="G7" s="6">
        <v>7</v>
      </c>
      <c r="H7" s="6">
        <v>14</v>
      </c>
      <c r="I7">
        <f>SUM(B7:H7)</f>
        <v>23</v>
      </c>
      <c r="J7">
        <f>+I7+J6</f>
        <v>339</v>
      </c>
      <c r="K7" s="18">
        <f>+J7*1.98</f>
        <v>671.22</v>
      </c>
    </row>
    <row r="8" spans="1:12" x14ac:dyDescent="0.2">
      <c r="A8" s="9" t="s">
        <v>79</v>
      </c>
      <c r="B8" s="6">
        <v>9</v>
      </c>
      <c r="C8" s="6">
        <v>8</v>
      </c>
      <c r="D8" s="6">
        <v>10</v>
      </c>
      <c r="E8" s="6">
        <v>3</v>
      </c>
      <c r="F8" s="6">
        <v>0</v>
      </c>
      <c r="G8" s="6">
        <v>1</v>
      </c>
      <c r="H8" s="6">
        <v>1</v>
      </c>
      <c r="I8">
        <f>SUM(B8:H8)</f>
        <v>32</v>
      </c>
      <c r="J8">
        <f>+I8+J7</f>
        <v>371</v>
      </c>
      <c r="K8" s="18">
        <f>+J8*1.98</f>
        <v>734.58</v>
      </c>
    </row>
    <row r="9" spans="1:12" x14ac:dyDescent="0.2">
      <c r="A9" s="9" t="s">
        <v>78</v>
      </c>
      <c r="B9" s="6">
        <v>1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>
        <f>SUM(B9:H9)</f>
        <v>3</v>
      </c>
      <c r="J9">
        <f>+I9+J8</f>
        <v>374</v>
      </c>
      <c r="K9" s="18">
        <f>+J9*1.98</f>
        <v>740.52</v>
      </c>
    </row>
    <row r="10" spans="1:12" x14ac:dyDescent="0.2">
      <c r="A10" t="s">
        <v>77</v>
      </c>
      <c r="B10" s="6">
        <v>0</v>
      </c>
      <c r="C10" s="6">
        <v>0</v>
      </c>
      <c r="D10" s="6">
        <v>12</v>
      </c>
      <c r="E10" s="6">
        <v>30</v>
      </c>
      <c r="F10" s="6">
        <v>22</v>
      </c>
      <c r="G10" s="6">
        <v>7</v>
      </c>
      <c r="H10" s="6">
        <v>0</v>
      </c>
      <c r="I10">
        <f>SUM(B10:H10)</f>
        <v>71</v>
      </c>
      <c r="J10">
        <f>+I10+J9</f>
        <v>445</v>
      </c>
      <c r="K10" s="18">
        <f>+J10*1.98</f>
        <v>881.1</v>
      </c>
    </row>
    <row r="11" spans="1:12" x14ac:dyDescent="0.2">
      <c r="A11" s="9" t="s">
        <v>76</v>
      </c>
      <c r="B11" s="6">
        <v>0</v>
      </c>
      <c r="C11" s="6">
        <v>24</v>
      </c>
      <c r="D11" s="6">
        <v>23</v>
      </c>
      <c r="E11" s="6">
        <v>11</v>
      </c>
      <c r="F11" s="6">
        <v>9</v>
      </c>
      <c r="G11" s="6">
        <v>11</v>
      </c>
      <c r="H11" s="6">
        <v>11</v>
      </c>
      <c r="I11">
        <f>SUM(B11:H11)</f>
        <v>89</v>
      </c>
      <c r="J11">
        <f>+I11+J10</f>
        <v>534</v>
      </c>
      <c r="K11" s="18">
        <f>+J11*1.98</f>
        <v>1057.32</v>
      </c>
    </row>
    <row r="12" spans="1:12" x14ac:dyDescent="0.2">
      <c r="A12" t="s">
        <v>75</v>
      </c>
      <c r="B12" s="6">
        <v>29</v>
      </c>
      <c r="C12" s="6">
        <v>60</v>
      </c>
      <c r="D12" s="6">
        <v>48</v>
      </c>
      <c r="E12" s="6">
        <v>7</v>
      </c>
      <c r="F12" s="6">
        <v>0</v>
      </c>
      <c r="G12" s="6">
        <v>0</v>
      </c>
      <c r="H12" s="6">
        <v>0</v>
      </c>
      <c r="I12">
        <f>SUM(B12:H12)</f>
        <v>144</v>
      </c>
      <c r="J12">
        <f>+I12+J11</f>
        <v>678</v>
      </c>
      <c r="K12" s="18">
        <f>+J12*1.98</f>
        <v>1342.44</v>
      </c>
    </row>
    <row r="13" spans="1:12" x14ac:dyDescent="0.2">
      <c r="A13" s="9" t="s">
        <v>74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14</v>
      </c>
      <c r="H13" s="6">
        <v>12</v>
      </c>
      <c r="I13">
        <f>SUM(B13:H13)</f>
        <v>26</v>
      </c>
      <c r="J13">
        <f>+I13+J12</f>
        <v>704</v>
      </c>
      <c r="K13" s="18">
        <f>+J13*1.98</f>
        <v>1393.92</v>
      </c>
    </row>
    <row r="14" spans="1:12" x14ac:dyDescent="0.2">
      <c r="A14" s="9" t="s">
        <v>73</v>
      </c>
      <c r="B14" s="6">
        <v>0</v>
      </c>
      <c r="C14" s="6">
        <v>0</v>
      </c>
      <c r="D14" s="6">
        <v>0</v>
      </c>
      <c r="E14" s="6">
        <v>4</v>
      </c>
      <c r="F14" s="6">
        <v>38</v>
      </c>
      <c r="G14" s="6">
        <v>54</v>
      </c>
      <c r="H14" s="6">
        <v>37</v>
      </c>
      <c r="I14">
        <f>SUM(B14:H14)</f>
        <v>133</v>
      </c>
      <c r="J14">
        <f>+I14+J13</f>
        <v>837</v>
      </c>
      <c r="K14" s="18">
        <f>+J14*1.98</f>
        <v>1657.26</v>
      </c>
    </row>
    <row r="15" spans="1:12" x14ac:dyDescent="0.2">
      <c r="A15" t="s">
        <v>72</v>
      </c>
      <c r="B15" s="6">
        <v>33</v>
      </c>
      <c r="C15" s="6">
        <v>0</v>
      </c>
      <c r="D15" s="6">
        <v>34</v>
      </c>
      <c r="E15" s="6">
        <v>24</v>
      </c>
      <c r="F15" s="6">
        <v>24</v>
      </c>
      <c r="G15" s="6">
        <v>44</v>
      </c>
      <c r="H15" s="6">
        <v>38</v>
      </c>
      <c r="I15">
        <f>SUM(B15:H15)</f>
        <v>197</v>
      </c>
      <c r="J15">
        <f>+I15+J14</f>
        <v>1034</v>
      </c>
      <c r="K15" s="18">
        <f>+J15*1.98</f>
        <v>2047.32</v>
      </c>
    </row>
    <row r="16" spans="1:12" x14ac:dyDescent="0.2">
      <c r="A16" s="9" t="s">
        <v>71</v>
      </c>
      <c r="B16" s="6">
        <v>44</v>
      </c>
      <c r="C16" s="6">
        <v>45</v>
      </c>
      <c r="D16" s="6">
        <v>47</v>
      </c>
      <c r="E16" s="6">
        <v>48</v>
      </c>
      <c r="F16" s="6">
        <v>47</v>
      </c>
      <c r="G16" s="6">
        <v>43</v>
      </c>
      <c r="H16" s="6">
        <v>43</v>
      </c>
      <c r="I16">
        <f>SUM(B16:H16)</f>
        <v>317</v>
      </c>
      <c r="J16">
        <f>+I16+J15</f>
        <v>1351</v>
      </c>
      <c r="K16" s="18">
        <f>+J16*1.98</f>
        <v>2674.98</v>
      </c>
    </row>
    <row r="17" spans="1:11" x14ac:dyDescent="0.2">
      <c r="A17" s="9" t="s">
        <v>70</v>
      </c>
      <c r="B17" s="6">
        <v>40</v>
      </c>
      <c r="C17" s="6">
        <v>37</v>
      </c>
      <c r="D17" s="6">
        <v>58</v>
      </c>
      <c r="E17" s="6">
        <v>64</v>
      </c>
      <c r="F17" s="6">
        <v>42</v>
      </c>
      <c r="G17" s="6">
        <v>31</v>
      </c>
      <c r="H17" s="6">
        <v>41</v>
      </c>
      <c r="I17">
        <f>SUM(B17:H17)</f>
        <v>313</v>
      </c>
      <c r="J17">
        <f>+I17+J16</f>
        <v>1664</v>
      </c>
      <c r="K17" s="18">
        <f>+J17*1.98</f>
        <v>3294.72</v>
      </c>
    </row>
    <row r="18" spans="1:11" x14ac:dyDescent="0.2">
      <c r="A18" t="s">
        <v>69</v>
      </c>
      <c r="B18" s="6">
        <v>41</v>
      </c>
      <c r="C18" s="6">
        <v>41</v>
      </c>
      <c r="D18" s="6">
        <v>38</v>
      </c>
      <c r="E18" s="6">
        <v>29</v>
      </c>
      <c r="F18" s="6">
        <v>24</v>
      </c>
      <c r="G18" s="6">
        <v>41</v>
      </c>
      <c r="H18" s="6">
        <v>31</v>
      </c>
      <c r="I18">
        <f>SUM(B18:H18)</f>
        <v>245</v>
      </c>
      <c r="J18">
        <f>+I18+J17</f>
        <v>1909</v>
      </c>
      <c r="K18" s="18">
        <f>+J18*1.98</f>
        <v>3779.82</v>
      </c>
    </row>
    <row r="19" spans="1:11" x14ac:dyDescent="0.2">
      <c r="A19" s="9" t="s">
        <v>68</v>
      </c>
      <c r="B19" s="6">
        <v>25</v>
      </c>
      <c r="C19" s="6">
        <v>0</v>
      </c>
      <c r="D19" s="6">
        <v>16</v>
      </c>
      <c r="E19" s="6">
        <v>15</v>
      </c>
      <c r="F19" s="6">
        <v>17</v>
      </c>
      <c r="G19" s="6">
        <v>65</v>
      </c>
      <c r="H19" s="6">
        <v>89</v>
      </c>
      <c r="I19">
        <f>SUM(B19:H19)</f>
        <v>227</v>
      </c>
      <c r="J19">
        <f>+I19+J18</f>
        <v>2136</v>
      </c>
      <c r="K19" s="18">
        <f>+J19*1.98</f>
        <v>4229.28</v>
      </c>
    </row>
    <row r="20" spans="1:11" x14ac:dyDescent="0.2">
      <c r="A20" t="s">
        <v>67</v>
      </c>
      <c r="B20" s="6">
        <v>87</v>
      </c>
      <c r="C20" s="6">
        <v>42</v>
      </c>
      <c r="D20" s="6">
        <v>0</v>
      </c>
      <c r="E20" s="6">
        <v>0</v>
      </c>
      <c r="F20" s="6">
        <v>56</v>
      </c>
      <c r="G20" s="6">
        <v>136</v>
      </c>
      <c r="H20" s="6">
        <v>92</v>
      </c>
      <c r="I20">
        <f>SUM(B20:H20)</f>
        <v>413</v>
      </c>
      <c r="J20">
        <f>+I20+J19</f>
        <v>2549</v>
      </c>
      <c r="K20" s="18">
        <f>+J20*1.98</f>
        <v>5047.0199999999995</v>
      </c>
    </row>
    <row r="21" spans="1:11" x14ac:dyDescent="0.2">
      <c r="A21" s="9" t="s">
        <v>66</v>
      </c>
      <c r="B21" s="6">
        <v>108</v>
      </c>
      <c r="C21" s="6">
        <v>114</v>
      </c>
      <c r="D21" s="6">
        <v>123</v>
      </c>
      <c r="E21" s="6">
        <v>117</v>
      </c>
      <c r="F21" s="6">
        <v>107</v>
      </c>
      <c r="G21" s="6">
        <v>116</v>
      </c>
      <c r="H21" s="6">
        <v>117</v>
      </c>
      <c r="I21">
        <f>SUM(B21:H21)</f>
        <v>802</v>
      </c>
      <c r="J21">
        <f>+I21+J20</f>
        <v>3351</v>
      </c>
      <c r="K21" s="18">
        <f>+J21*1.98</f>
        <v>6634.98</v>
      </c>
    </row>
    <row r="22" spans="1:11" x14ac:dyDescent="0.2">
      <c r="A22" s="9" t="s">
        <v>65</v>
      </c>
      <c r="B22" s="6">
        <v>112</v>
      </c>
      <c r="C22" s="6">
        <v>113</v>
      </c>
      <c r="D22" s="6">
        <v>119</v>
      </c>
      <c r="E22" s="6">
        <v>121</v>
      </c>
      <c r="F22" s="6">
        <v>116</v>
      </c>
      <c r="G22" s="6">
        <v>139</v>
      </c>
      <c r="H22" s="6">
        <v>158</v>
      </c>
      <c r="I22">
        <f>SUM(B22:H22)</f>
        <v>878</v>
      </c>
      <c r="J22">
        <f>+I22+J21</f>
        <v>4229</v>
      </c>
      <c r="K22" s="18">
        <f>+J22*1.98</f>
        <v>8373.42</v>
      </c>
    </row>
    <row r="23" spans="1:11" x14ac:dyDescent="0.2">
      <c r="A23" t="s">
        <v>64</v>
      </c>
      <c r="B23" s="6">
        <v>174</v>
      </c>
      <c r="C23" s="6">
        <v>183</v>
      </c>
      <c r="D23" s="6">
        <v>183</v>
      </c>
      <c r="E23" s="6">
        <v>200</v>
      </c>
      <c r="F23" s="6">
        <v>194</v>
      </c>
      <c r="G23" s="6">
        <v>182</v>
      </c>
      <c r="H23" s="6">
        <v>180</v>
      </c>
      <c r="I23">
        <f>SUM(B23:H23)</f>
        <v>1296</v>
      </c>
      <c r="J23">
        <f>+I23+J22</f>
        <v>5525</v>
      </c>
      <c r="K23" s="18">
        <f>+J23*1.98</f>
        <v>10939.5</v>
      </c>
    </row>
    <row r="24" spans="1:11" x14ac:dyDescent="0.2">
      <c r="A24" s="9" t="s">
        <v>63</v>
      </c>
      <c r="B24" s="6">
        <v>171</v>
      </c>
      <c r="C24" s="6">
        <v>164</v>
      </c>
      <c r="D24" s="6">
        <v>151</v>
      </c>
      <c r="E24" s="6">
        <v>148</v>
      </c>
      <c r="F24" s="6">
        <v>201</v>
      </c>
      <c r="G24" s="6">
        <v>229</v>
      </c>
      <c r="H24" s="6">
        <v>209</v>
      </c>
      <c r="I24">
        <f>SUM(B24:H24)</f>
        <v>1273</v>
      </c>
      <c r="J24">
        <f>+I24+J23</f>
        <v>6798</v>
      </c>
      <c r="K24" s="18">
        <f>+J24*1.98</f>
        <v>13460.039999999999</v>
      </c>
    </row>
    <row r="25" spans="1:11" x14ac:dyDescent="0.2">
      <c r="A25" s="9" t="s">
        <v>62</v>
      </c>
      <c r="B25" s="6">
        <v>190</v>
      </c>
      <c r="C25" s="6">
        <v>180</v>
      </c>
      <c r="D25" s="6">
        <v>161</v>
      </c>
      <c r="E25" s="6">
        <v>144</v>
      </c>
      <c r="F25" s="6">
        <v>157</v>
      </c>
      <c r="G25" s="6">
        <v>139</v>
      </c>
      <c r="H25" s="6">
        <v>134</v>
      </c>
      <c r="I25">
        <f>SUM(B25:H25)</f>
        <v>1105</v>
      </c>
      <c r="J25">
        <f>+I25+J24</f>
        <v>7903</v>
      </c>
      <c r="K25" s="18">
        <f>+J25*1.98</f>
        <v>15647.94</v>
      </c>
    </row>
    <row r="26" spans="1:11" x14ac:dyDescent="0.2">
      <c r="A26" t="s">
        <v>61</v>
      </c>
      <c r="B26" s="6">
        <v>135</v>
      </c>
      <c r="C26" s="6">
        <v>125</v>
      </c>
      <c r="D26" s="6">
        <v>128</v>
      </c>
      <c r="E26" s="6">
        <v>129</v>
      </c>
      <c r="F26" s="6">
        <v>130</v>
      </c>
      <c r="G26" s="6">
        <v>129</v>
      </c>
      <c r="H26" s="6">
        <v>132</v>
      </c>
      <c r="I26">
        <f>SUM(B26:H26)</f>
        <v>908</v>
      </c>
      <c r="J26">
        <f>+I26+J25</f>
        <v>8811</v>
      </c>
      <c r="K26" s="18">
        <f>+J26*1.98</f>
        <v>17445.78</v>
      </c>
    </row>
    <row r="27" spans="1:11" x14ac:dyDescent="0.2">
      <c r="A27" s="9" t="s">
        <v>60</v>
      </c>
      <c r="B27" s="6">
        <v>135</v>
      </c>
      <c r="C27" s="6">
        <v>133</v>
      </c>
      <c r="D27" s="6">
        <v>130</v>
      </c>
      <c r="E27" s="6">
        <v>131</v>
      </c>
      <c r="F27" s="6">
        <v>147</v>
      </c>
      <c r="G27" s="6">
        <v>164</v>
      </c>
      <c r="H27" s="6">
        <v>144</v>
      </c>
      <c r="I27">
        <f>SUM(B27:H27)</f>
        <v>984</v>
      </c>
      <c r="J27">
        <f>+I27+J26</f>
        <v>9795</v>
      </c>
      <c r="K27" s="18">
        <f>+J27*1.98</f>
        <v>19394.099999999999</v>
      </c>
    </row>
    <row r="28" spans="1:11" x14ac:dyDescent="0.2">
      <c r="A28" t="s">
        <v>59</v>
      </c>
      <c r="B28" s="6">
        <v>132</v>
      </c>
      <c r="C28" s="6">
        <v>115</v>
      </c>
      <c r="D28" s="6">
        <v>70</v>
      </c>
      <c r="E28" s="6">
        <v>17</v>
      </c>
      <c r="F28" s="6">
        <v>44</v>
      </c>
      <c r="G28" s="6">
        <v>50</v>
      </c>
      <c r="H28" s="6">
        <v>34</v>
      </c>
      <c r="I28">
        <f>SUM(B28:H28)</f>
        <v>462</v>
      </c>
      <c r="J28">
        <f>+I28+J27</f>
        <v>10257</v>
      </c>
      <c r="K28" s="18">
        <f>+J28*1.98</f>
        <v>20308.86</v>
      </c>
    </row>
    <row r="29" spans="1:11" x14ac:dyDescent="0.2">
      <c r="A29" s="9" t="s">
        <v>58</v>
      </c>
      <c r="B29" s="6">
        <v>34</v>
      </c>
      <c r="C29" s="6">
        <v>35</v>
      </c>
      <c r="D29" s="6">
        <v>31</v>
      </c>
      <c r="E29" s="6">
        <v>28</v>
      </c>
      <c r="F29" s="6">
        <v>26</v>
      </c>
      <c r="G29" s="6">
        <v>12</v>
      </c>
      <c r="H29" s="6">
        <v>16</v>
      </c>
      <c r="I29">
        <f>SUM(B29:H29)</f>
        <v>182</v>
      </c>
      <c r="J29">
        <f>+I29+J28</f>
        <v>10439</v>
      </c>
      <c r="K29" s="18">
        <f>+J29*1.98</f>
        <v>20669.22</v>
      </c>
    </row>
    <row r="30" spans="1:11" x14ac:dyDescent="0.2">
      <c r="A30" s="9" t="s">
        <v>57</v>
      </c>
      <c r="B30" s="6">
        <v>19</v>
      </c>
      <c r="C30" s="6">
        <v>19</v>
      </c>
      <c r="D30" s="6">
        <v>14</v>
      </c>
      <c r="E30" s="6">
        <v>13</v>
      </c>
      <c r="F30" s="6">
        <v>11</v>
      </c>
      <c r="G30" s="6">
        <v>16</v>
      </c>
      <c r="H30" s="6">
        <v>18</v>
      </c>
      <c r="I30">
        <f>SUM(B30:H30)</f>
        <v>110</v>
      </c>
      <c r="J30">
        <f>+I30+J29</f>
        <v>10549</v>
      </c>
      <c r="K30" s="18">
        <f>+J30*1.98</f>
        <v>20887.02</v>
      </c>
    </row>
    <row r="31" spans="1:11" x14ac:dyDescent="0.2">
      <c r="A31" t="s">
        <v>56</v>
      </c>
      <c r="B31" s="6">
        <v>18</v>
      </c>
      <c r="C31" s="6">
        <v>18</v>
      </c>
      <c r="D31" s="6">
        <v>28</v>
      </c>
      <c r="E31" s="6">
        <v>23</v>
      </c>
      <c r="F31" s="6">
        <v>17</v>
      </c>
      <c r="G31" s="6">
        <v>20</v>
      </c>
      <c r="H31" s="6">
        <v>10</v>
      </c>
      <c r="I31">
        <f>SUM(B31:H31)</f>
        <v>134</v>
      </c>
      <c r="J31">
        <f>+I31+J30</f>
        <v>10683</v>
      </c>
      <c r="K31" s="18">
        <f>+J31*1.98</f>
        <v>21152.34</v>
      </c>
    </row>
    <row r="32" spans="1:11" x14ac:dyDescent="0.2">
      <c r="A32" s="9" t="s">
        <v>55</v>
      </c>
      <c r="B32" s="6">
        <v>12</v>
      </c>
      <c r="C32" s="6">
        <v>15</v>
      </c>
      <c r="D32" s="6">
        <v>8</v>
      </c>
      <c r="E32" s="6">
        <v>8</v>
      </c>
      <c r="F32" s="6">
        <v>9</v>
      </c>
      <c r="G32" s="6">
        <v>8</v>
      </c>
      <c r="H32" s="6">
        <v>7</v>
      </c>
      <c r="I32">
        <f>SUM(B32:H32)</f>
        <v>67</v>
      </c>
      <c r="J32">
        <f>+I32+J31</f>
        <v>10750</v>
      </c>
      <c r="K32" s="18">
        <f>+J32*1.98</f>
        <v>21285</v>
      </c>
    </row>
    <row r="33" spans="1:11" x14ac:dyDescent="0.2">
      <c r="A33" s="9" t="s">
        <v>54</v>
      </c>
      <c r="B33" s="6">
        <v>5</v>
      </c>
      <c r="C33" s="6">
        <v>6</v>
      </c>
      <c r="D33" s="6">
        <v>5</v>
      </c>
      <c r="E33" s="6">
        <v>2</v>
      </c>
      <c r="F33" s="6">
        <v>2</v>
      </c>
      <c r="G33" s="6">
        <v>0</v>
      </c>
      <c r="H33" s="6">
        <v>0</v>
      </c>
      <c r="I33">
        <f>SUM(B33:H33)</f>
        <v>20</v>
      </c>
      <c r="J33">
        <f>+I33+J32</f>
        <v>10770</v>
      </c>
      <c r="K33" s="18">
        <f>+J33*1.98</f>
        <v>21324.6</v>
      </c>
    </row>
    <row r="34" spans="1:11" x14ac:dyDescent="0.2">
      <c r="A34" t="s">
        <v>53</v>
      </c>
      <c r="B34" s="6">
        <v>0</v>
      </c>
      <c r="C34" s="6">
        <v>8</v>
      </c>
      <c r="D34" s="6">
        <v>13</v>
      </c>
      <c r="E34" s="6">
        <v>10</v>
      </c>
      <c r="F34" s="6">
        <v>9</v>
      </c>
      <c r="G34" s="6">
        <v>6</v>
      </c>
      <c r="H34" s="6">
        <v>5</v>
      </c>
      <c r="I34">
        <f>SUM(B34:H34)</f>
        <v>51</v>
      </c>
      <c r="J34">
        <f>+I34+J33</f>
        <v>10821</v>
      </c>
      <c r="K34" s="18">
        <f>+J34*1.98</f>
        <v>21425.579999999998</v>
      </c>
    </row>
    <row r="35" spans="1:11" x14ac:dyDescent="0.2">
      <c r="A35" s="9" t="s">
        <v>52</v>
      </c>
      <c r="B35" s="6">
        <v>4</v>
      </c>
      <c r="C35" s="6">
        <v>3</v>
      </c>
      <c r="D35" s="6">
        <v>3</v>
      </c>
      <c r="E35" s="6">
        <v>5</v>
      </c>
      <c r="F35" s="6">
        <v>6</v>
      </c>
      <c r="G35" s="6">
        <v>5</v>
      </c>
      <c r="H35" s="6">
        <v>7</v>
      </c>
      <c r="I35">
        <f>SUM(B35:H35)</f>
        <v>33</v>
      </c>
      <c r="J35">
        <f>+I35+J34</f>
        <v>10854</v>
      </c>
      <c r="K35" s="18">
        <f>+J35*1.98</f>
        <v>21490.92</v>
      </c>
    </row>
    <row r="36" spans="1:11" x14ac:dyDescent="0.2">
      <c r="A36" t="s">
        <v>51</v>
      </c>
      <c r="B36" s="6">
        <v>8</v>
      </c>
      <c r="C36" s="6">
        <v>7</v>
      </c>
      <c r="D36" s="6">
        <v>6</v>
      </c>
      <c r="E36" s="6">
        <v>6</v>
      </c>
      <c r="F36" s="6">
        <v>6</v>
      </c>
      <c r="G36" s="6">
        <v>6</v>
      </c>
      <c r="H36" s="6">
        <v>5</v>
      </c>
      <c r="I36">
        <f>SUM(B36:H36)</f>
        <v>44</v>
      </c>
      <c r="J36">
        <f>+I36+J35</f>
        <v>10898</v>
      </c>
      <c r="K36" s="18">
        <f>+J36*1.98</f>
        <v>21578.04</v>
      </c>
    </row>
    <row r="37" spans="1:11" x14ac:dyDescent="0.2">
      <c r="A37" s="9" t="s">
        <v>50</v>
      </c>
      <c r="B37" s="6">
        <v>6</v>
      </c>
      <c r="C37" s="6">
        <v>5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>
        <f>SUM(B37:H37)</f>
        <v>11</v>
      </c>
      <c r="J37">
        <f>+I37+J36</f>
        <v>10909</v>
      </c>
      <c r="K37" s="18">
        <f>+J37*1.98</f>
        <v>21599.82</v>
      </c>
    </row>
    <row r="38" spans="1:11" x14ac:dyDescent="0.2">
      <c r="A38" s="9" t="s">
        <v>49</v>
      </c>
      <c r="B38" s="6">
        <v>5</v>
      </c>
      <c r="C38" s="6">
        <v>8</v>
      </c>
      <c r="D38" s="6">
        <v>6</v>
      </c>
      <c r="E38" s="6">
        <v>6</v>
      </c>
      <c r="F38" s="6">
        <v>6</v>
      </c>
      <c r="G38" s="6">
        <v>5</v>
      </c>
      <c r="H38" s="6">
        <v>5</v>
      </c>
      <c r="I38">
        <f>SUM(B38:H38)</f>
        <v>41</v>
      </c>
      <c r="J38">
        <f>+I38+J37</f>
        <v>10950</v>
      </c>
      <c r="K38" s="18">
        <f>+J38*1.98</f>
        <v>21681</v>
      </c>
    </row>
    <row r="39" spans="1:11" x14ac:dyDescent="0.2">
      <c r="A39" t="s">
        <v>48</v>
      </c>
      <c r="B39" s="6">
        <v>4</v>
      </c>
      <c r="C39" s="6">
        <v>4</v>
      </c>
      <c r="D39" s="6">
        <v>4</v>
      </c>
      <c r="E39" s="6">
        <v>4</v>
      </c>
      <c r="F39" s="6">
        <v>3</v>
      </c>
      <c r="G39" s="6">
        <v>2</v>
      </c>
      <c r="H39" s="6">
        <v>4</v>
      </c>
      <c r="I39">
        <f>SUM(B39:H39)</f>
        <v>25</v>
      </c>
      <c r="J39">
        <f>+I39+J38</f>
        <v>10975</v>
      </c>
      <c r="K39" s="18">
        <f>+J39*1.98</f>
        <v>21730.5</v>
      </c>
    </row>
    <row r="40" spans="1:11" x14ac:dyDescent="0.2">
      <c r="A40" s="9" t="s">
        <v>47</v>
      </c>
      <c r="B40" s="6">
        <v>3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>
        <f>SUM(B40:H40)</f>
        <v>4</v>
      </c>
      <c r="J40">
        <f>+I40+J39</f>
        <v>10979</v>
      </c>
      <c r="K40" s="18">
        <f>+J40*1.98</f>
        <v>21738.42</v>
      </c>
    </row>
    <row r="41" spans="1:11" x14ac:dyDescent="0.2">
      <c r="A41" s="9" t="s">
        <v>46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>
        <f>SUM(B41:H41)</f>
        <v>0</v>
      </c>
      <c r="J41">
        <f>+I41+J40</f>
        <v>10979</v>
      </c>
      <c r="K41" s="18">
        <f>+J41*1.98</f>
        <v>21738.42</v>
      </c>
    </row>
    <row r="42" spans="1:11" x14ac:dyDescent="0.2">
      <c r="A42" t="s">
        <v>45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0</v>
      </c>
      <c r="J42">
        <f>+I42+J41</f>
        <v>10979</v>
      </c>
      <c r="K42" s="18">
        <f>+J42*1.98</f>
        <v>21738.42</v>
      </c>
    </row>
    <row r="43" spans="1:11" x14ac:dyDescent="0.2">
      <c r="A43" s="9" t="s">
        <v>44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10979</v>
      </c>
      <c r="K43" s="18">
        <f>+J43*1.98</f>
        <v>21738.42</v>
      </c>
    </row>
    <row r="44" spans="1:11" x14ac:dyDescent="0.2">
      <c r="A44" t="s">
        <v>43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10979</v>
      </c>
      <c r="K44" s="18">
        <f>+J44*1.98</f>
        <v>21738.42</v>
      </c>
    </row>
    <row r="45" spans="1:11" x14ac:dyDescent="0.2">
      <c r="A45" s="9" t="s">
        <v>42</v>
      </c>
      <c r="B45" s="6">
        <v>12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>
        <f>SUM(B45:H45)</f>
        <v>12</v>
      </c>
      <c r="J45">
        <f>+I45+J44</f>
        <v>10991</v>
      </c>
      <c r="K45" s="18">
        <f>+J45*1.98</f>
        <v>21762.18</v>
      </c>
    </row>
    <row r="46" spans="1:11" x14ac:dyDescent="0.2">
      <c r="A46" s="9" t="s">
        <v>41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0</v>
      </c>
      <c r="J46">
        <f>+I46+J45</f>
        <v>10991</v>
      </c>
      <c r="K46" s="18">
        <f>+J46*1.98</f>
        <v>21762.18</v>
      </c>
    </row>
    <row r="47" spans="1:11" x14ac:dyDescent="0.2">
      <c r="A47" t="s">
        <v>40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10991</v>
      </c>
      <c r="K47" s="18">
        <f>+J47*1.98</f>
        <v>21762.18</v>
      </c>
    </row>
    <row r="48" spans="1:11" x14ac:dyDescent="0.2">
      <c r="A48" s="9" t="s">
        <v>39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>
        <f>SUM(B48:H48)</f>
        <v>0</v>
      </c>
      <c r="J48">
        <f>+I48+J47</f>
        <v>10991</v>
      </c>
      <c r="K48" s="18">
        <f>+J48*1.98</f>
        <v>21762.18</v>
      </c>
    </row>
    <row r="49" spans="1:11" x14ac:dyDescent="0.2">
      <c r="A49" s="9" t="s">
        <v>38</v>
      </c>
      <c r="B49" s="6">
        <v>0</v>
      </c>
      <c r="C49" s="6">
        <v>14</v>
      </c>
      <c r="D49" s="6">
        <v>14</v>
      </c>
      <c r="E49" s="6">
        <v>12</v>
      </c>
      <c r="F49" s="6">
        <v>11</v>
      </c>
      <c r="G49" s="6">
        <v>0</v>
      </c>
      <c r="H49" s="6">
        <v>0</v>
      </c>
      <c r="I49">
        <f>SUM(B49:H49)</f>
        <v>51</v>
      </c>
      <c r="J49">
        <f>+I49+J48</f>
        <v>11042</v>
      </c>
      <c r="K49" s="18">
        <f>+J49*1.98</f>
        <v>21863.16</v>
      </c>
    </row>
    <row r="50" spans="1:11" x14ac:dyDescent="0.2">
      <c r="A50" t="s">
        <v>37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>
        <f>SUM(B50:H50)</f>
        <v>0</v>
      </c>
      <c r="J50">
        <f>+I50+J49</f>
        <v>11042</v>
      </c>
      <c r="K50" s="18">
        <f>+J50*1.98</f>
        <v>21863.16</v>
      </c>
    </row>
    <row r="51" spans="1:11" x14ac:dyDescent="0.2">
      <c r="A51" s="9" t="s">
        <v>36</v>
      </c>
      <c r="B51" s="6">
        <v>0</v>
      </c>
      <c r="C51" s="6">
        <v>12</v>
      </c>
      <c r="D51" s="6">
        <v>39</v>
      </c>
      <c r="E51" s="6">
        <v>51</v>
      </c>
      <c r="F51" s="6">
        <v>48</v>
      </c>
      <c r="G51" s="6">
        <v>49</v>
      </c>
      <c r="H51" s="6">
        <v>48</v>
      </c>
      <c r="I51">
        <f>SUM(B51:H51)</f>
        <v>247</v>
      </c>
      <c r="J51">
        <f>+I51+J50</f>
        <v>11289</v>
      </c>
      <c r="K51" s="18">
        <f>+J51*1.98</f>
        <v>22352.22</v>
      </c>
    </row>
    <row r="52" spans="1:11" x14ac:dyDescent="0.2">
      <c r="A52" t="s">
        <v>35</v>
      </c>
      <c r="B52" s="6">
        <v>47</v>
      </c>
      <c r="C52" s="6">
        <v>57</v>
      </c>
      <c r="D52" s="6">
        <v>63</v>
      </c>
      <c r="E52" s="6">
        <v>70</v>
      </c>
      <c r="F52" s="6">
        <v>107</v>
      </c>
      <c r="G52" s="6">
        <v>139</v>
      </c>
      <c r="H52" s="6">
        <v>138</v>
      </c>
      <c r="I52">
        <f>SUM(B52:H52)</f>
        <v>621</v>
      </c>
      <c r="J52">
        <f>+I52+J51</f>
        <v>11910</v>
      </c>
      <c r="K52" s="18">
        <f>+J52*1.98</f>
        <v>23581.8</v>
      </c>
    </row>
    <row r="53" spans="1:11" x14ac:dyDescent="0.2">
      <c r="A53" s="9" t="s">
        <v>34</v>
      </c>
      <c r="B53" s="6">
        <v>133</v>
      </c>
      <c r="C53" s="6">
        <v>122</v>
      </c>
      <c r="D53" s="6">
        <v>103</v>
      </c>
      <c r="E53" s="6">
        <v>147</v>
      </c>
      <c r="F53" s="6">
        <v>149</v>
      </c>
      <c r="G53" s="6">
        <v>146</v>
      </c>
      <c r="H53" s="6">
        <v>159</v>
      </c>
      <c r="I53">
        <f>SUM(B53:H53)</f>
        <v>959</v>
      </c>
      <c r="J53">
        <f>+I53+J52</f>
        <v>12869</v>
      </c>
      <c r="K53" s="18">
        <f>+J53*1.98</f>
        <v>25480.62</v>
      </c>
    </row>
    <row r="54" spans="1:11" x14ac:dyDescent="0.2">
      <c r="A54" s="9" t="s">
        <v>33</v>
      </c>
      <c r="B54" s="6">
        <v>163</v>
      </c>
      <c r="C54" s="6">
        <v>173</v>
      </c>
      <c r="D54" s="6">
        <v>170</v>
      </c>
      <c r="E54" s="6">
        <v>161</v>
      </c>
      <c r="F54" s="6">
        <v>172</v>
      </c>
      <c r="G54" s="6">
        <v>163</v>
      </c>
      <c r="H54" s="6">
        <v>154</v>
      </c>
      <c r="I54">
        <f>SUM(B54:H54)</f>
        <v>1156</v>
      </c>
      <c r="J54">
        <f>+I54+J53</f>
        <v>14025</v>
      </c>
      <c r="K54" s="18">
        <f>+J54*1.98</f>
        <v>27769.5</v>
      </c>
    </row>
    <row r="55" spans="1:11" x14ac:dyDescent="0.2">
      <c r="A55" t="s">
        <v>32</v>
      </c>
      <c r="B55" s="6">
        <v>173</v>
      </c>
      <c r="C55" s="6">
        <v>177</v>
      </c>
      <c r="D55" s="6">
        <v>181</v>
      </c>
      <c r="E55" s="6">
        <v>184</v>
      </c>
      <c r="F55" s="6">
        <v>192</v>
      </c>
      <c r="G55" s="6">
        <v>186</v>
      </c>
      <c r="H55" s="6">
        <v>190</v>
      </c>
      <c r="I55">
        <f>SUM(B55:H55)</f>
        <v>1283</v>
      </c>
      <c r="J55">
        <f>+I55+J54</f>
        <v>15308</v>
      </c>
      <c r="K55" s="18">
        <f>+J55*1.98</f>
        <v>30309.84</v>
      </c>
    </row>
    <row r="56" spans="1:11" x14ac:dyDescent="0.2">
      <c r="A56" s="9" t="s">
        <v>31</v>
      </c>
      <c r="B56" s="6">
        <v>198</v>
      </c>
      <c r="C56" s="6">
        <v>203</v>
      </c>
      <c r="D56" s="6">
        <v>205</v>
      </c>
      <c r="E56" s="6">
        <v>202</v>
      </c>
      <c r="F56" s="6">
        <v>199</v>
      </c>
      <c r="G56" s="6">
        <v>181</v>
      </c>
      <c r="H56" s="6">
        <v>171</v>
      </c>
      <c r="I56">
        <f>SUM(B56:H56)</f>
        <v>1359</v>
      </c>
      <c r="J56">
        <f>+I56+J55</f>
        <v>16667</v>
      </c>
      <c r="K56" s="18">
        <f>+J56*1.98</f>
        <v>33000.659999999996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2011-09-30T15:34:20Z</dcterms:created>
  <dcterms:modified xsi:type="dcterms:W3CDTF">2011-09-30T15:34:53Z</dcterms:modified>
</cp:coreProperties>
</file>