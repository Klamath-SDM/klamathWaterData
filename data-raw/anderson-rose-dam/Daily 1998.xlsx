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56" i="6" l="1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J4" i="6" s="1"/>
  <c r="K4" i="6" s="1"/>
  <c r="M52" i="5"/>
  <c r="L52" i="5"/>
  <c r="K52" i="5"/>
  <c r="J52" i="5"/>
  <c r="I52" i="5"/>
  <c r="H52" i="5"/>
  <c r="G52" i="5"/>
  <c r="F52" i="5"/>
  <c r="E52" i="5"/>
  <c r="D52" i="5"/>
  <c r="C52" i="5"/>
  <c r="B52" i="5"/>
  <c r="B53" i="5" s="1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0" i="5"/>
  <c r="N49" i="5"/>
  <c r="N48" i="5"/>
  <c r="N47" i="5"/>
  <c r="N46" i="5"/>
  <c r="N45" i="5"/>
  <c r="N44" i="5"/>
  <c r="N43" i="5"/>
  <c r="N42" i="5"/>
  <c r="N41" i="5"/>
  <c r="M38" i="5"/>
  <c r="L38" i="5"/>
  <c r="K38" i="5"/>
  <c r="J38" i="5"/>
  <c r="I38" i="5"/>
  <c r="H38" i="5"/>
  <c r="G38" i="5"/>
  <c r="F38" i="5"/>
  <c r="E38" i="5"/>
  <c r="D38" i="5"/>
  <c r="C38" i="5"/>
  <c r="B38" i="5"/>
  <c r="B39" i="5" s="1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M37" i="5"/>
  <c r="L37" i="5"/>
  <c r="K37" i="5"/>
  <c r="J37" i="5"/>
  <c r="I37" i="5"/>
  <c r="H37" i="5"/>
  <c r="G37" i="5"/>
  <c r="F37" i="5"/>
  <c r="E37" i="5"/>
  <c r="D37" i="5"/>
  <c r="C37" i="5"/>
  <c r="B37" i="5"/>
  <c r="M36" i="4"/>
  <c r="L36" i="4"/>
  <c r="K36" i="4"/>
  <c r="J36" i="4"/>
  <c r="I36" i="4"/>
  <c r="H36" i="4"/>
  <c r="G36" i="4"/>
  <c r="F36" i="4"/>
  <c r="E36" i="4"/>
  <c r="D36" i="4"/>
  <c r="C36" i="4"/>
  <c r="B36" i="4"/>
  <c r="B37" i="4" s="1"/>
  <c r="C37" i="4" s="1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52" i="3"/>
  <c r="M51" i="3"/>
  <c r="L51" i="3"/>
  <c r="K51" i="3"/>
  <c r="J51" i="3"/>
  <c r="I51" i="3"/>
  <c r="H51" i="3"/>
  <c r="G51" i="3"/>
  <c r="F51" i="3"/>
  <c r="E51" i="3"/>
  <c r="D51" i="3"/>
  <c r="C51" i="3"/>
  <c r="B51" i="3"/>
  <c r="B52" i="3" s="1"/>
  <c r="C52" i="3" s="1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N49" i="3"/>
  <c r="N48" i="3"/>
  <c r="N47" i="3"/>
  <c r="N46" i="3"/>
  <c r="N45" i="3"/>
  <c r="N44" i="3"/>
  <c r="N43" i="3"/>
  <c r="N42" i="3"/>
  <c r="N41" i="3"/>
  <c r="N40" i="3"/>
  <c r="E37" i="3"/>
  <c r="D37" i="3"/>
  <c r="M36" i="3"/>
  <c r="M37" i="3" s="1"/>
  <c r="L36" i="3"/>
  <c r="L37" i="3" s="1"/>
  <c r="K36" i="3"/>
  <c r="K37" i="3" s="1"/>
  <c r="J36" i="3"/>
  <c r="J37" i="3" s="1"/>
  <c r="I36" i="3"/>
  <c r="I37" i="3" s="1"/>
  <c r="H36" i="3"/>
  <c r="H37" i="3" s="1"/>
  <c r="G36" i="3"/>
  <c r="G37" i="3" s="1"/>
  <c r="F36" i="3"/>
  <c r="F37" i="3" s="1"/>
  <c r="E36" i="3"/>
  <c r="D36" i="3"/>
  <c r="C36" i="3"/>
  <c r="C37" i="3" s="1"/>
  <c r="B36" i="3"/>
  <c r="B37" i="3" s="1"/>
  <c r="B38" i="3" s="1"/>
  <c r="C38" i="3" s="1"/>
  <c r="D38" i="3" s="1"/>
  <c r="E38" i="3" s="1"/>
  <c r="F38" i="3" s="1"/>
  <c r="G38" i="3" s="1"/>
  <c r="M51" i="2"/>
  <c r="L51" i="2"/>
  <c r="K51" i="2"/>
  <c r="J51" i="2"/>
  <c r="I51" i="2"/>
  <c r="H51" i="2"/>
  <c r="G51" i="2"/>
  <c r="F51" i="2"/>
  <c r="E51" i="2"/>
  <c r="D51" i="2"/>
  <c r="C51" i="2"/>
  <c r="B51" i="2"/>
  <c r="B52" i="2" s="1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49" i="2"/>
  <c r="N48" i="2"/>
  <c r="N47" i="2"/>
  <c r="N46" i="2"/>
  <c r="N45" i="2"/>
  <c r="N44" i="2"/>
  <c r="N43" i="2"/>
  <c r="N42" i="2"/>
  <c r="N41" i="2"/>
  <c r="N52" i="2" s="1"/>
  <c r="N40" i="2"/>
  <c r="L37" i="2"/>
  <c r="D37" i="2"/>
  <c r="M36" i="2"/>
  <c r="M37" i="2" s="1"/>
  <c r="L36" i="2"/>
  <c r="K36" i="2"/>
  <c r="K37" i="2" s="1"/>
  <c r="J36" i="2"/>
  <c r="J37" i="2" s="1"/>
  <c r="I36" i="2"/>
  <c r="I37" i="2" s="1"/>
  <c r="H36" i="2"/>
  <c r="H37" i="2" s="1"/>
  <c r="G36" i="2"/>
  <c r="G37" i="2" s="1"/>
  <c r="F36" i="2"/>
  <c r="F37" i="2" s="1"/>
  <c r="E36" i="2"/>
  <c r="E37" i="2" s="1"/>
  <c r="D36" i="2"/>
  <c r="C36" i="2"/>
  <c r="C37" i="2" s="1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B36" i="2"/>
  <c r="B37" i="2" s="1"/>
  <c r="B38" i="2" s="1"/>
  <c r="D52" i="1"/>
  <c r="E52" i="1" s="1"/>
  <c r="F52" i="1" s="1"/>
  <c r="G52" i="1" s="1"/>
  <c r="H52" i="1" s="1"/>
  <c r="I52" i="1" s="1"/>
  <c r="J52" i="1" s="1"/>
  <c r="K52" i="1" s="1"/>
  <c r="L52" i="1" s="1"/>
  <c r="M52" i="1" s="1"/>
  <c r="M51" i="1"/>
  <c r="L51" i="1"/>
  <c r="K51" i="1"/>
  <c r="J51" i="1"/>
  <c r="I51" i="1"/>
  <c r="H51" i="1"/>
  <c r="G51" i="1"/>
  <c r="F51" i="1"/>
  <c r="E51" i="1"/>
  <c r="D51" i="1"/>
  <c r="C51" i="1"/>
  <c r="B51" i="1"/>
  <c r="N49" i="1"/>
  <c r="N48" i="1"/>
  <c r="N47" i="1"/>
  <c r="N46" i="1"/>
  <c r="N45" i="1"/>
  <c r="N44" i="1"/>
  <c r="N43" i="1"/>
  <c r="N42" i="1"/>
  <c r="N41" i="1"/>
  <c r="N40" i="1"/>
  <c r="M37" i="1"/>
  <c r="E37" i="1"/>
  <c r="M36" i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D36" i="1"/>
  <c r="D37" i="1" s="1"/>
  <c r="C36" i="1"/>
  <c r="C37" i="1" s="1"/>
  <c r="B36" i="1"/>
  <c r="B37" i="1" s="1"/>
  <c r="B38" i="1" s="1"/>
  <c r="H38" i="3" l="1"/>
  <c r="I38" i="3" s="1"/>
  <c r="J38" i="3" s="1"/>
  <c r="K38" i="3" s="1"/>
  <c r="L38" i="3" s="1"/>
  <c r="M38" i="3" s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52" i="1"/>
  <c r="N53" i="5"/>
  <c r="J6" i="6"/>
  <c r="K6" i="6" s="1"/>
  <c r="J5" i="6"/>
  <c r="K5" i="6" s="1"/>
  <c r="J7" i="6" l="1"/>
  <c r="K7" i="6" l="1"/>
  <c r="J8" i="6"/>
  <c r="K8" i="6" l="1"/>
  <c r="J9" i="6"/>
  <c r="K9" i="6" l="1"/>
  <c r="J10" i="6"/>
  <c r="K10" i="6" l="1"/>
  <c r="J11" i="6"/>
  <c r="K11" i="6" l="1"/>
  <c r="J12" i="6"/>
  <c r="K12" i="6" l="1"/>
  <c r="J13" i="6"/>
  <c r="K13" i="6" l="1"/>
  <c r="J14" i="6"/>
  <c r="K14" i="6" l="1"/>
  <c r="J15" i="6"/>
  <c r="K15" i="6" l="1"/>
  <c r="J16" i="6"/>
  <c r="K16" i="6" l="1"/>
  <c r="J17" i="6"/>
  <c r="K17" i="6" l="1"/>
  <c r="J18" i="6"/>
  <c r="K18" i="6" l="1"/>
  <c r="J19" i="6"/>
  <c r="K19" i="6" l="1"/>
  <c r="J20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K30" i="6" l="1"/>
  <c r="J31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K41" i="6" l="1"/>
  <c r="J42" i="6"/>
  <c r="K42" i="6" l="1"/>
  <c r="J43" i="6"/>
  <c r="K43" i="6" l="1"/>
  <c r="J44" i="6"/>
  <c r="K44" i="6" l="1"/>
  <c r="J45" i="6"/>
  <c r="K45" i="6" l="1"/>
  <c r="J46" i="6"/>
  <c r="K46" i="6" l="1"/>
  <c r="J47" i="6"/>
  <c r="K47" i="6" l="1"/>
  <c r="J48" i="6"/>
  <c r="K48" i="6" l="1"/>
  <c r="J49" i="6"/>
  <c r="K49" i="6" l="1"/>
  <c r="J50" i="6"/>
  <c r="K50" i="6" l="1"/>
  <c r="J51" i="6"/>
  <c r="K51" i="6" l="1"/>
  <c r="J52" i="6"/>
  <c r="K52" i="6" l="1"/>
  <c r="J53" i="6"/>
  <c r="K53" i="6" l="1"/>
  <c r="J54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<sst xmlns="http://schemas.openxmlformats.org/spreadsheetml/2006/main" count="436" uniqueCount="90">
  <si>
    <t>J-CANAL HEADWORKS 1998</t>
  </si>
  <si>
    <t>DAY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</si>
  <si>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</si>
  <si>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</si>
  <si>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</si>
  <si>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</si>
  <si>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</si>
  <si>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</si>
  <si>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</si>
  <si>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</si>
  <si>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</si>
  <si>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</si>
  <si>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</si>
  <si>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</si>
  <si>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</si>
  <si>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CFS</t>
  </si>
  <si>
    <t>AF</t>
  </si>
  <si>
    <t>AAF</t>
  </si>
  <si>
    <t>AVG</t>
  </si>
  <si>
    <t>STATION 48 1998</t>
  </si>
  <si>
    <t>LOST RIVER SPILL-AND-ROSE-DAM 1998</t>
  </si>
  <si>
    <t>JAN</t>
  </si>
  <si>
    <t>D-PLANT HOURS 1998</t>
  </si>
  <si>
    <t>HRS</t>
  </si>
  <si>
    <t>ACCUHRS</t>
  </si>
  <si>
    <t>D-PLANT ACRE FEET 1998</t>
  </si>
  <si>
    <t>TO STRAITS DRAIN @ REFUGE 1998</t>
  </si>
  <si>
    <t>Sun</t>
  </si>
  <si>
    <t>Mon</t>
  </si>
  <si>
    <t>Tue</t>
  </si>
  <si>
    <t>Wed</t>
  </si>
  <si>
    <t>Thu</t>
  </si>
  <si>
    <t>Fri</t>
  </si>
  <si>
    <t>Sat</t>
  </si>
  <si>
    <t>TOTAL C.F.S.</t>
  </si>
  <si>
    <t>ACCU. C.F.S</t>
  </si>
  <si>
    <t>ACCU. A.F.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</si>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</sst>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_);\(#,##0.0\)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2" borderId="0" xfId="0" applyFill="1" applyProtection="1">
      <protection locked="0"/>
    </xf>
    <xf numFmtId="41" fontId="0" fillId="0" borderId="0" xfId="1" applyNumberFormat="1" applyFont="1"/>
    <xf numFmtId="164" fontId="0" fillId="0" borderId="0" xfId="1" applyNumberFormat="1" applyFont="1"/>
    <xf numFmtId="41" fontId="0" fillId="0" borderId="0" xfId="0" applyNumberFormat="1"/>
    <xf numFmtId="0" fontId="2" fillId="0" borderId="0" xfId="0" quotePrefix="1" applyFon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applyFont="1" applyAlignment="1" applyProtection="1">
      <alignment horizontal="right"/>
    </xf>
    <xf numFmtId="165" fontId="0" fillId="2" borderId="0" xfId="0" applyNumberFormat="1" applyFill="1" applyProtection="1">
      <protection locked="0"/>
    </xf>
    <xf numFmtId="165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cols>
    <col min="1" max="14" width="9.7109375" customWidth="1"/>
  </cols>
  <sheetData>
    <row r="1" spans="1:13" x14ac:dyDescent="0.2">
      <c r="A1" s="1" t="s">
        <v>0</v>
      </c>
      <c r="K1" s="1" t="s">
        <v>0</v>
      </c>
    </row>
    <row r="3" spans="1:13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">
      <c r="A4" s="3">
        <v>1</v>
      </c>
      <c r="B4" s="4">
        <v>0</v>
      </c>
      <c r="C4" s="4">
        <v>0</v>
      </c>
      <c r="D4" s="4">
        <v>0</v>
      </c>
      <c r="E4" s="4">
        <v>65</v>
      </c>
      <c r="F4" s="4">
        <v>213</v>
      </c>
      <c r="G4" s="4">
        <v>82</v>
      </c>
      <c r="H4" s="4">
        <v>454</v>
      </c>
      <c r="I4" s="4">
        <v>429</v>
      </c>
      <c r="J4" s="4">
        <v>395</v>
      </c>
      <c r="K4" s="4">
        <v>127</v>
      </c>
      <c r="L4" s="4">
        <v>48</v>
      </c>
      <c r="M4" s="4">
        <v>0</v>
      </c>
    </row>
    <row r="5" spans="1:13" x14ac:dyDescent="0.2">
      <c r="A5" s="3">
        <v>2</v>
      </c>
      <c r="B5" s="4">
        <v>0</v>
      </c>
      <c r="C5" s="4">
        <v>0</v>
      </c>
      <c r="D5" s="4">
        <v>0</v>
      </c>
      <c r="E5" s="4">
        <v>72</v>
      </c>
      <c r="F5" s="4">
        <v>216</v>
      </c>
      <c r="G5" s="4">
        <v>86</v>
      </c>
      <c r="H5" s="4">
        <v>464</v>
      </c>
      <c r="I5" s="4">
        <v>423</v>
      </c>
      <c r="J5" s="4">
        <v>390</v>
      </c>
      <c r="K5" s="4">
        <v>106</v>
      </c>
      <c r="L5" s="4">
        <v>45</v>
      </c>
      <c r="M5" s="4">
        <v>0</v>
      </c>
    </row>
    <row r="6" spans="1:13" x14ac:dyDescent="0.2">
      <c r="A6" s="3">
        <v>3</v>
      </c>
      <c r="B6" s="4">
        <v>0</v>
      </c>
      <c r="C6" s="4">
        <v>0</v>
      </c>
      <c r="D6" s="4">
        <v>0</v>
      </c>
      <c r="E6" s="4">
        <v>72</v>
      </c>
      <c r="F6" s="4">
        <v>205</v>
      </c>
      <c r="G6" s="4">
        <v>130</v>
      </c>
      <c r="H6" s="4">
        <v>438</v>
      </c>
      <c r="I6" s="4">
        <v>406</v>
      </c>
      <c r="J6" s="4">
        <v>347</v>
      </c>
      <c r="K6" s="4">
        <v>99</v>
      </c>
      <c r="L6" s="4">
        <v>44</v>
      </c>
      <c r="M6" s="4">
        <v>0</v>
      </c>
    </row>
    <row r="7" spans="1:13" x14ac:dyDescent="0.2">
      <c r="A7" s="3">
        <v>4</v>
      </c>
      <c r="B7" s="4">
        <v>0</v>
      </c>
      <c r="C7" s="4">
        <v>0</v>
      </c>
      <c r="D7" s="4">
        <v>0</v>
      </c>
      <c r="E7" s="4">
        <v>72</v>
      </c>
      <c r="F7" s="4">
        <v>150</v>
      </c>
      <c r="G7" s="4">
        <v>151</v>
      </c>
      <c r="H7" s="4">
        <v>376</v>
      </c>
      <c r="I7" s="4">
        <v>390</v>
      </c>
      <c r="J7" s="4">
        <v>366</v>
      </c>
      <c r="K7" s="4">
        <v>85</v>
      </c>
      <c r="L7" s="4">
        <v>43</v>
      </c>
      <c r="M7" s="4">
        <v>0</v>
      </c>
    </row>
    <row r="8" spans="1:13" x14ac:dyDescent="0.2">
      <c r="A8" s="3">
        <v>5</v>
      </c>
      <c r="B8" s="4">
        <v>0</v>
      </c>
      <c r="C8" s="4">
        <v>0</v>
      </c>
      <c r="D8" s="4">
        <v>0</v>
      </c>
      <c r="E8" s="4">
        <v>72</v>
      </c>
      <c r="F8" s="4">
        <v>101</v>
      </c>
      <c r="G8" s="4">
        <v>176</v>
      </c>
      <c r="H8" s="4">
        <v>381</v>
      </c>
      <c r="I8" s="4">
        <v>392</v>
      </c>
      <c r="J8" s="4">
        <v>308</v>
      </c>
      <c r="K8" s="4">
        <v>88</v>
      </c>
      <c r="L8" s="4">
        <v>47</v>
      </c>
      <c r="M8" s="4">
        <v>0</v>
      </c>
    </row>
    <row r="9" spans="1:13" x14ac:dyDescent="0.2">
      <c r="A9" s="3">
        <v>6</v>
      </c>
      <c r="B9" s="4">
        <v>0</v>
      </c>
      <c r="C9" s="4">
        <v>0</v>
      </c>
      <c r="D9" s="4">
        <v>0</v>
      </c>
      <c r="E9" s="4">
        <v>72</v>
      </c>
      <c r="F9" s="4">
        <v>108</v>
      </c>
      <c r="G9" s="4">
        <v>151</v>
      </c>
      <c r="H9" s="4">
        <v>427</v>
      </c>
      <c r="I9" s="4">
        <v>384</v>
      </c>
      <c r="J9" s="4">
        <v>336</v>
      </c>
      <c r="K9" s="4">
        <v>84</v>
      </c>
      <c r="L9" s="4">
        <v>52</v>
      </c>
      <c r="M9" s="4">
        <v>0</v>
      </c>
    </row>
    <row r="10" spans="1:13" x14ac:dyDescent="0.2">
      <c r="A10" s="3">
        <v>7</v>
      </c>
      <c r="B10" s="4">
        <v>0</v>
      </c>
      <c r="C10" s="4">
        <v>0</v>
      </c>
      <c r="D10" s="4">
        <v>0</v>
      </c>
      <c r="E10" s="4">
        <v>65</v>
      </c>
      <c r="F10" s="4">
        <v>115</v>
      </c>
      <c r="G10" s="4">
        <v>143</v>
      </c>
      <c r="H10" s="4">
        <v>500</v>
      </c>
      <c r="I10" s="4">
        <v>432</v>
      </c>
      <c r="J10" s="4">
        <v>333</v>
      </c>
      <c r="K10" s="4">
        <v>79</v>
      </c>
      <c r="L10" s="4">
        <v>46</v>
      </c>
      <c r="M10" s="4">
        <v>0</v>
      </c>
    </row>
    <row r="11" spans="1:13" x14ac:dyDescent="0.2">
      <c r="A11" s="3">
        <v>8</v>
      </c>
      <c r="B11" s="4">
        <v>0</v>
      </c>
      <c r="C11" s="4">
        <v>0</v>
      </c>
      <c r="D11" s="4">
        <v>0</v>
      </c>
      <c r="E11" s="4">
        <v>64</v>
      </c>
      <c r="F11" s="4">
        <v>117</v>
      </c>
      <c r="G11" s="4">
        <v>160</v>
      </c>
      <c r="H11" s="4">
        <v>528</v>
      </c>
      <c r="I11" s="4">
        <v>438</v>
      </c>
      <c r="J11" s="4">
        <v>344</v>
      </c>
      <c r="K11" s="4">
        <v>68</v>
      </c>
      <c r="L11" s="4">
        <v>46</v>
      </c>
      <c r="M11" s="4">
        <v>0</v>
      </c>
    </row>
    <row r="12" spans="1:13" x14ac:dyDescent="0.2">
      <c r="A12" s="3">
        <v>9</v>
      </c>
      <c r="B12" s="4">
        <v>0</v>
      </c>
      <c r="C12" s="4">
        <v>0</v>
      </c>
      <c r="D12" s="4">
        <v>0</v>
      </c>
      <c r="E12" s="4">
        <v>67</v>
      </c>
      <c r="F12" s="4">
        <v>117</v>
      </c>
      <c r="G12" s="4">
        <v>168</v>
      </c>
      <c r="H12" s="4">
        <v>509</v>
      </c>
      <c r="I12" s="4">
        <v>396</v>
      </c>
      <c r="J12" s="4">
        <v>323</v>
      </c>
      <c r="K12" s="4">
        <v>66</v>
      </c>
      <c r="L12" s="4">
        <v>46</v>
      </c>
      <c r="M12" s="4">
        <v>0</v>
      </c>
    </row>
    <row r="13" spans="1:13" x14ac:dyDescent="0.2">
      <c r="A13" s="3">
        <v>10</v>
      </c>
      <c r="B13" s="4">
        <v>0</v>
      </c>
      <c r="C13" s="4">
        <v>0</v>
      </c>
      <c r="D13" s="4">
        <v>0</v>
      </c>
      <c r="E13" s="4">
        <v>69</v>
      </c>
      <c r="F13" s="4">
        <v>114</v>
      </c>
      <c r="G13" s="4">
        <v>160</v>
      </c>
      <c r="H13" s="4">
        <v>533</v>
      </c>
      <c r="I13" s="4">
        <v>423</v>
      </c>
      <c r="J13" s="4">
        <v>286</v>
      </c>
      <c r="K13" s="4">
        <v>63</v>
      </c>
      <c r="L13" s="4">
        <v>26</v>
      </c>
      <c r="M13" s="4">
        <v>0</v>
      </c>
    </row>
    <row r="14" spans="1:13" x14ac:dyDescent="0.2">
      <c r="A14" s="3">
        <v>11</v>
      </c>
      <c r="B14" s="4">
        <v>0</v>
      </c>
      <c r="C14" s="4">
        <v>0</v>
      </c>
      <c r="D14" s="4">
        <v>0</v>
      </c>
      <c r="E14" s="4">
        <v>71</v>
      </c>
      <c r="F14" s="4">
        <v>107</v>
      </c>
      <c r="G14" s="4">
        <v>150</v>
      </c>
      <c r="H14" s="4">
        <v>521</v>
      </c>
      <c r="I14" s="4">
        <v>486</v>
      </c>
      <c r="J14" s="4">
        <v>269</v>
      </c>
      <c r="K14" s="4">
        <v>61</v>
      </c>
      <c r="L14" s="4">
        <v>0</v>
      </c>
      <c r="M14" s="4">
        <v>0</v>
      </c>
    </row>
    <row r="15" spans="1:13" x14ac:dyDescent="0.2">
      <c r="A15" s="3">
        <v>12</v>
      </c>
      <c r="B15" s="4">
        <v>0</v>
      </c>
      <c r="C15" s="4">
        <v>0</v>
      </c>
      <c r="D15" s="4">
        <v>0</v>
      </c>
      <c r="E15" s="4">
        <v>75</v>
      </c>
      <c r="F15" s="4">
        <v>97</v>
      </c>
      <c r="G15" s="4">
        <v>149</v>
      </c>
      <c r="H15" s="4">
        <v>518</v>
      </c>
      <c r="I15" s="4">
        <v>523</v>
      </c>
      <c r="J15" s="4">
        <v>261</v>
      </c>
      <c r="K15" s="4">
        <v>68</v>
      </c>
      <c r="L15" s="4">
        <v>0</v>
      </c>
      <c r="M15" s="4">
        <v>0</v>
      </c>
    </row>
    <row r="16" spans="1:13" x14ac:dyDescent="0.2">
      <c r="A16" s="3">
        <v>13</v>
      </c>
      <c r="B16" s="4">
        <v>0</v>
      </c>
      <c r="C16" s="4">
        <v>0</v>
      </c>
      <c r="D16" s="4">
        <v>0</v>
      </c>
      <c r="E16" s="4">
        <v>82</v>
      </c>
      <c r="F16" s="4">
        <v>97</v>
      </c>
      <c r="G16" s="4">
        <v>162</v>
      </c>
      <c r="H16" s="4">
        <v>546</v>
      </c>
      <c r="I16" s="4">
        <v>527</v>
      </c>
      <c r="J16" s="4">
        <v>230</v>
      </c>
      <c r="K16" s="4">
        <v>74</v>
      </c>
      <c r="L16" s="4">
        <v>0</v>
      </c>
      <c r="M16" s="4">
        <v>0</v>
      </c>
    </row>
    <row r="17" spans="1:13" x14ac:dyDescent="0.2">
      <c r="A17" s="3">
        <v>14</v>
      </c>
      <c r="B17" s="4">
        <v>0</v>
      </c>
      <c r="C17" s="4">
        <v>0</v>
      </c>
      <c r="D17" s="4">
        <v>0</v>
      </c>
      <c r="E17" s="4">
        <v>84</v>
      </c>
      <c r="F17" s="4">
        <v>100</v>
      </c>
      <c r="G17" s="4">
        <v>172</v>
      </c>
      <c r="H17" s="4">
        <v>531</v>
      </c>
      <c r="I17" s="4">
        <v>521</v>
      </c>
      <c r="J17" s="4">
        <v>259</v>
      </c>
      <c r="K17" s="4">
        <v>77</v>
      </c>
      <c r="L17" s="4">
        <v>0</v>
      </c>
      <c r="M17" s="4">
        <v>0</v>
      </c>
    </row>
    <row r="18" spans="1:13" x14ac:dyDescent="0.2">
      <c r="A18" s="3">
        <v>15</v>
      </c>
      <c r="B18" s="4">
        <v>0</v>
      </c>
      <c r="C18" s="4">
        <v>0</v>
      </c>
      <c r="D18" s="4">
        <v>20</v>
      </c>
      <c r="E18" s="4">
        <v>78</v>
      </c>
      <c r="F18" s="4">
        <v>100</v>
      </c>
      <c r="G18" s="4">
        <v>174</v>
      </c>
      <c r="H18" s="4">
        <v>519</v>
      </c>
      <c r="I18" s="4">
        <v>471</v>
      </c>
      <c r="J18" s="4">
        <v>274</v>
      </c>
      <c r="K18" s="4">
        <v>60</v>
      </c>
      <c r="L18" s="4">
        <v>0</v>
      </c>
      <c r="M18" s="4">
        <v>0</v>
      </c>
    </row>
    <row r="19" spans="1:13" x14ac:dyDescent="0.2">
      <c r="A19" s="3">
        <v>16</v>
      </c>
      <c r="B19" s="4">
        <v>0</v>
      </c>
      <c r="C19" s="4">
        <v>0</v>
      </c>
      <c r="D19" s="4">
        <v>44</v>
      </c>
      <c r="E19" s="4">
        <v>81</v>
      </c>
      <c r="F19" s="4">
        <v>100</v>
      </c>
      <c r="G19" s="4">
        <v>193</v>
      </c>
      <c r="H19" s="4">
        <v>516</v>
      </c>
      <c r="I19" s="4">
        <v>454</v>
      </c>
      <c r="J19" s="4">
        <v>253</v>
      </c>
      <c r="K19" s="4">
        <v>53</v>
      </c>
      <c r="L19" s="4">
        <v>0</v>
      </c>
      <c r="M19" s="4">
        <v>0</v>
      </c>
    </row>
    <row r="20" spans="1:13" x14ac:dyDescent="0.2">
      <c r="A20" s="3">
        <v>17</v>
      </c>
      <c r="B20" s="4">
        <v>0</v>
      </c>
      <c r="C20" s="4">
        <v>0</v>
      </c>
      <c r="D20" s="4">
        <v>56</v>
      </c>
      <c r="E20" s="4">
        <v>85</v>
      </c>
      <c r="F20" s="4">
        <v>100</v>
      </c>
      <c r="G20" s="4">
        <v>184</v>
      </c>
      <c r="H20" s="4">
        <v>543</v>
      </c>
      <c r="I20" s="4">
        <v>481</v>
      </c>
      <c r="J20" s="4">
        <v>267</v>
      </c>
      <c r="K20" s="4">
        <v>54</v>
      </c>
      <c r="L20" s="4">
        <v>0</v>
      </c>
      <c r="M20" s="4">
        <v>0</v>
      </c>
    </row>
    <row r="21" spans="1:13" x14ac:dyDescent="0.2">
      <c r="A21" s="3">
        <v>18</v>
      </c>
      <c r="B21" s="4">
        <v>0</v>
      </c>
      <c r="C21" s="4">
        <v>0</v>
      </c>
      <c r="D21" s="4">
        <v>57</v>
      </c>
      <c r="E21" s="4">
        <v>84</v>
      </c>
      <c r="F21" s="4">
        <v>100</v>
      </c>
      <c r="G21" s="4">
        <v>210</v>
      </c>
      <c r="H21" s="4">
        <v>567</v>
      </c>
      <c r="I21" s="4">
        <v>442</v>
      </c>
      <c r="J21" s="4">
        <v>271</v>
      </c>
      <c r="K21" s="4">
        <v>53</v>
      </c>
      <c r="L21" s="4">
        <v>0</v>
      </c>
      <c r="M21" s="4">
        <v>0</v>
      </c>
    </row>
    <row r="22" spans="1:13" x14ac:dyDescent="0.2">
      <c r="A22" s="3">
        <v>19</v>
      </c>
      <c r="B22" s="4">
        <v>0</v>
      </c>
      <c r="C22" s="4">
        <v>0</v>
      </c>
      <c r="D22" s="4">
        <v>58</v>
      </c>
      <c r="E22" s="4">
        <v>86</v>
      </c>
      <c r="F22" s="4">
        <v>100</v>
      </c>
      <c r="G22" s="4">
        <v>246</v>
      </c>
      <c r="H22" s="4">
        <v>542</v>
      </c>
      <c r="I22" s="4">
        <v>458</v>
      </c>
      <c r="J22" s="4">
        <v>265</v>
      </c>
      <c r="K22" s="4">
        <v>60</v>
      </c>
      <c r="L22" s="4">
        <v>0</v>
      </c>
      <c r="M22" s="4">
        <v>0</v>
      </c>
    </row>
    <row r="23" spans="1:13" x14ac:dyDescent="0.2">
      <c r="A23" s="3">
        <v>20</v>
      </c>
      <c r="B23" s="4">
        <v>0</v>
      </c>
      <c r="C23" s="4">
        <v>0</v>
      </c>
      <c r="D23" s="4">
        <v>60</v>
      </c>
      <c r="E23" s="4">
        <v>115</v>
      </c>
      <c r="F23" s="4">
        <v>100</v>
      </c>
      <c r="G23" s="4">
        <v>264</v>
      </c>
      <c r="H23" s="4">
        <v>540</v>
      </c>
      <c r="I23" s="4">
        <v>411</v>
      </c>
      <c r="J23" s="4">
        <v>277</v>
      </c>
      <c r="K23" s="4">
        <v>67</v>
      </c>
      <c r="L23" s="4">
        <v>0</v>
      </c>
      <c r="M23" s="4">
        <v>0</v>
      </c>
    </row>
    <row r="24" spans="1:13" x14ac:dyDescent="0.2">
      <c r="A24" s="3">
        <v>21</v>
      </c>
      <c r="B24" s="4">
        <v>0</v>
      </c>
      <c r="C24" s="4">
        <v>0</v>
      </c>
      <c r="D24" s="4">
        <v>86</v>
      </c>
      <c r="E24" s="4">
        <v>120</v>
      </c>
      <c r="F24" s="4">
        <v>99</v>
      </c>
      <c r="G24" s="4">
        <v>304</v>
      </c>
      <c r="H24" s="4">
        <v>553</v>
      </c>
      <c r="I24" s="4">
        <v>391</v>
      </c>
      <c r="J24" s="4">
        <v>268</v>
      </c>
      <c r="K24" s="4">
        <v>66</v>
      </c>
      <c r="L24" s="4">
        <v>0</v>
      </c>
      <c r="M24" s="4">
        <v>0</v>
      </c>
    </row>
    <row r="25" spans="1:13" x14ac:dyDescent="0.2">
      <c r="A25" s="3">
        <v>22</v>
      </c>
      <c r="B25" s="4">
        <v>0</v>
      </c>
      <c r="C25" s="4">
        <v>0</v>
      </c>
      <c r="D25" s="4">
        <v>100</v>
      </c>
      <c r="E25" s="4">
        <v>121</v>
      </c>
      <c r="F25" s="4">
        <v>100</v>
      </c>
      <c r="G25" s="4">
        <v>348</v>
      </c>
      <c r="H25" s="4">
        <v>515</v>
      </c>
      <c r="I25" s="4">
        <v>373</v>
      </c>
      <c r="J25" s="4">
        <v>236</v>
      </c>
      <c r="K25" s="4">
        <v>60</v>
      </c>
      <c r="L25" s="4">
        <v>0</v>
      </c>
      <c r="M25" s="4">
        <v>0</v>
      </c>
    </row>
    <row r="26" spans="1:13" x14ac:dyDescent="0.2">
      <c r="A26" s="3">
        <v>23</v>
      </c>
      <c r="B26" s="4">
        <v>0</v>
      </c>
      <c r="C26" s="4">
        <v>0</v>
      </c>
      <c r="D26" s="4">
        <v>103</v>
      </c>
      <c r="E26" s="4">
        <v>123</v>
      </c>
      <c r="F26" s="4">
        <v>102</v>
      </c>
      <c r="G26" s="4">
        <v>373</v>
      </c>
      <c r="H26" s="4">
        <v>531</v>
      </c>
      <c r="I26" s="4">
        <v>360</v>
      </c>
      <c r="J26" s="4">
        <v>200</v>
      </c>
      <c r="K26" s="4">
        <v>54</v>
      </c>
      <c r="L26" s="4">
        <v>0</v>
      </c>
      <c r="M26" s="4">
        <v>0</v>
      </c>
    </row>
    <row r="27" spans="1:13" x14ac:dyDescent="0.2">
      <c r="A27" s="3">
        <v>24</v>
      </c>
      <c r="B27" s="4">
        <v>0</v>
      </c>
      <c r="C27" s="4">
        <v>0</v>
      </c>
      <c r="D27" s="4">
        <v>90</v>
      </c>
      <c r="E27" s="4">
        <v>131</v>
      </c>
      <c r="F27" s="4">
        <v>107</v>
      </c>
      <c r="G27" s="4">
        <v>350</v>
      </c>
      <c r="H27" s="4">
        <v>511</v>
      </c>
      <c r="I27" s="4">
        <v>355</v>
      </c>
      <c r="J27" s="4">
        <v>180</v>
      </c>
      <c r="K27" s="4">
        <v>54</v>
      </c>
      <c r="L27" s="4">
        <v>0</v>
      </c>
      <c r="M27" s="4">
        <v>0</v>
      </c>
    </row>
    <row r="28" spans="1:13" x14ac:dyDescent="0.2">
      <c r="A28" s="3">
        <v>25</v>
      </c>
      <c r="B28" s="4">
        <v>0</v>
      </c>
      <c r="C28" s="4">
        <v>0</v>
      </c>
      <c r="D28" s="4">
        <v>81</v>
      </c>
      <c r="E28" s="4">
        <v>133</v>
      </c>
      <c r="F28" s="4">
        <v>103</v>
      </c>
      <c r="G28" s="4">
        <v>308</v>
      </c>
      <c r="H28" s="4">
        <v>420</v>
      </c>
      <c r="I28" s="4">
        <v>380</v>
      </c>
      <c r="J28" s="4">
        <v>175</v>
      </c>
      <c r="K28" s="4">
        <v>54</v>
      </c>
      <c r="L28" s="4">
        <v>0</v>
      </c>
      <c r="M28" s="4">
        <v>0</v>
      </c>
    </row>
    <row r="29" spans="1:13" x14ac:dyDescent="0.2">
      <c r="A29" s="3">
        <v>26</v>
      </c>
      <c r="B29" s="4">
        <v>0</v>
      </c>
      <c r="C29" s="4">
        <v>0</v>
      </c>
      <c r="D29" s="4">
        <v>78</v>
      </c>
      <c r="E29" s="4">
        <v>140</v>
      </c>
      <c r="F29" s="4">
        <v>103</v>
      </c>
      <c r="G29" s="4">
        <v>283</v>
      </c>
      <c r="H29" s="4">
        <v>388</v>
      </c>
      <c r="I29" s="4">
        <v>395</v>
      </c>
      <c r="J29" s="4">
        <v>196</v>
      </c>
      <c r="K29" s="4">
        <v>59</v>
      </c>
      <c r="L29" s="4">
        <v>0</v>
      </c>
      <c r="M29" s="4">
        <v>0</v>
      </c>
    </row>
    <row r="30" spans="1:13" x14ac:dyDescent="0.2">
      <c r="A30" s="3">
        <v>27</v>
      </c>
      <c r="B30" s="4">
        <v>0</v>
      </c>
      <c r="C30" s="4">
        <v>0</v>
      </c>
      <c r="D30" s="4">
        <v>74</v>
      </c>
      <c r="E30" s="4">
        <v>152</v>
      </c>
      <c r="F30" s="4">
        <v>103</v>
      </c>
      <c r="G30" s="4">
        <v>291</v>
      </c>
      <c r="H30" s="4">
        <v>413</v>
      </c>
      <c r="I30" s="4">
        <v>372</v>
      </c>
      <c r="J30" s="4">
        <v>184</v>
      </c>
      <c r="K30" s="4">
        <v>56</v>
      </c>
      <c r="L30" s="4">
        <v>0</v>
      </c>
      <c r="M30" s="4">
        <v>0</v>
      </c>
    </row>
    <row r="31" spans="1:13" x14ac:dyDescent="0.2">
      <c r="A31" s="3">
        <v>28</v>
      </c>
      <c r="B31" s="4">
        <v>0</v>
      </c>
      <c r="C31" s="4">
        <v>0</v>
      </c>
      <c r="D31" s="4">
        <v>60</v>
      </c>
      <c r="E31" s="4">
        <v>164</v>
      </c>
      <c r="F31" s="4">
        <v>91</v>
      </c>
      <c r="G31" s="4">
        <v>290</v>
      </c>
      <c r="H31" s="4">
        <v>448</v>
      </c>
      <c r="I31" s="4">
        <v>387</v>
      </c>
      <c r="J31" s="4">
        <v>178</v>
      </c>
      <c r="K31" s="4">
        <v>56</v>
      </c>
      <c r="L31" s="4">
        <v>0</v>
      </c>
      <c r="M31" s="4">
        <v>0</v>
      </c>
    </row>
    <row r="32" spans="1:13" x14ac:dyDescent="0.2">
      <c r="A32" s="3">
        <v>29</v>
      </c>
      <c r="B32" s="4">
        <v>0</v>
      </c>
      <c r="C32" t="s">
        <v>14</v>
      </c>
      <c r="D32" s="4">
        <v>54</v>
      </c>
      <c r="E32" s="4">
        <v>172</v>
      </c>
      <c r="F32" s="4">
        <v>83</v>
      </c>
      <c r="G32" s="4">
        <v>345</v>
      </c>
      <c r="H32" s="4">
        <v>399</v>
      </c>
      <c r="I32" s="4">
        <v>359</v>
      </c>
      <c r="J32" s="4">
        <v>145</v>
      </c>
      <c r="K32" s="4">
        <v>54</v>
      </c>
      <c r="L32" s="4">
        <v>0</v>
      </c>
      <c r="M32" s="4">
        <v>0</v>
      </c>
    </row>
    <row r="33" spans="1:14" x14ac:dyDescent="0.2">
      <c r="A33" s="3">
        <v>30</v>
      </c>
      <c r="B33" s="4">
        <v>0</v>
      </c>
      <c r="C33" t="s">
        <v>14</v>
      </c>
      <c r="D33" s="4">
        <v>52</v>
      </c>
      <c r="E33" s="4">
        <v>202</v>
      </c>
      <c r="F33" s="4">
        <v>75</v>
      </c>
      <c r="G33" s="4">
        <v>392</v>
      </c>
      <c r="H33" s="4">
        <v>415</v>
      </c>
      <c r="I33" s="4">
        <v>344</v>
      </c>
      <c r="J33" s="4">
        <v>120</v>
      </c>
      <c r="K33" s="4">
        <v>53</v>
      </c>
      <c r="L33" s="4">
        <v>0</v>
      </c>
      <c r="M33" s="4">
        <v>0</v>
      </c>
    </row>
    <row r="34" spans="1:14" x14ac:dyDescent="0.2">
      <c r="A34" s="3">
        <v>31</v>
      </c>
      <c r="B34" s="4">
        <v>0</v>
      </c>
      <c r="C34" t="s">
        <v>14</v>
      </c>
      <c r="D34" s="4">
        <v>56</v>
      </c>
      <c r="E34" t="s">
        <v>14</v>
      </c>
      <c r="F34" s="4">
        <v>76</v>
      </c>
      <c r="G34" t="s">
        <v>14</v>
      </c>
      <c r="H34" s="4">
        <v>417</v>
      </c>
      <c r="I34" s="4">
        <v>378</v>
      </c>
      <c r="J34" t="s">
        <v>14</v>
      </c>
      <c r="K34" s="4">
        <v>52</v>
      </c>
      <c r="L34" t="s">
        <v>14</v>
      </c>
      <c r="M34" s="4">
        <v>0</v>
      </c>
    </row>
    <row r="36" spans="1:14" x14ac:dyDescent="0.2">
      <c r="A36" t="s">
        <v>15</v>
      </c>
      <c r="B36" s="5">
        <f>SUM(B4:B35)</f>
        <v>0</v>
      </c>
      <c r="C36" s="5">
        <f t="shared" ref="C36:M36" si="0">SUM(C4:C35)</f>
        <v>0</v>
      </c>
      <c r="D36" s="5">
        <f t="shared" si="0"/>
        <v>1129</v>
      </c>
      <c r="E36" s="5">
        <f t="shared" si="0"/>
        <v>2989</v>
      </c>
      <c r="F36" s="5">
        <f t="shared" si="0"/>
        <v>3499</v>
      </c>
      <c r="G36" s="5">
        <f t="shared" si="0"/>
        <v>6595</v>
      </c>
      <c r="H36" s="5">
        <f t="shared" si="0"/>
        <v>14963</v>
      </c>
      <c r="I36" s="5">
        <f t="shared" si="0"/>
        <v>12981</v>
      </c>
      <c r="J36" s="5">
        <f t="shared" si="0"/>
        <v>7936</v>
      </c>
      <c r="K36" s="5">
        <f t="shared" si="0"/>
        <v>2110</v>
      </c>
      <c r="L36" s="5">
        <f t="shared" si="0"/>
        <v>443</v>
      </c>
      <c r="M36" s="5">
        <f t="shared" si="0"/>
        <v>0</v>
      </c>
      <c r="N36" s="5"/>
    </row>
    <row r="37" spans="1:14" x14ac:dyDescent="0.2">
      <c r="A37" t="s">
        <v>16</v>
      </c>
      <c r="B37" s="5">
        <f>+B36*1.98</f>
        <v>0</v>
      </c>
      <c r="C37" s="5">
        <f t="shared" ref="C37:M37" si="1">+C36*1.98</f>
        <v>0</v>
      </c>
      <c r="D37" s="5">
        <f t="shared" si="1"/>
        <v>2235.42</v>
      </c>
      <c r="E37" s="5">
        <f t="shared" si="1"/>
        <v>5918.22</v>
      </c>
      <c r="F37" s="5">
        <f t="shared" si="1"/>
        <v>6928.0199999999995</v>
      </c>
      <c r="G37" s="5">
        <f t="shared" si="1"/>
        <v>13058.1</v>
      </c>
      <c r="H37" s="5">
        <f t="shared" si="1"/>
        <v>29626.739999999998</v>
      </c>
      <c r="I37" s="5">
        <f t="shared" si="1"/>
        <v>25702.38</v>
      </c>
      <c r="J37" s="5">
        <f t="shared" si="1"/>
        <v>15713.28</v>
      </c>
      <c r="K37" s="5">
        <f t="shared" si="1"/>
        <v>4177.8</v>
      </c>
      <c r="L37" s="5">
        <f t="shared" si="1"/>
        <v>877.14</v>
      </c>
      <c r="M37" s="5">
        <f t="shared" si="1"/>
        <v>0</v>
      </c>
      <c r="N37" s="5"/>
    </row>
    <row r="38" spans="1:14" x14ac:dyDescent="0.2">
      <c r="A38" t="s">
        <v>17</v>
      </c>
      <c r="B38" s="5">
        <f>+B37</f>
        <v>0</v>
      </c>
      <c r="C38" s="5">
        <f>+B38+C37</f>
        <v>0</v>
      </c>
      <c r="D38" s="5">
        <f t="shared" ref="D38:M38" si="2">+C38+D37</f>
        <v>2235.42</v>
      </c>
      <c r="E38" s="5">
        <f t="shared" si="2"/>
        <v>8153.64</v>
      </c>
      <c r="F38" s="5">
        <f t="shared" si="2"/>
        <v>15081.66</v>
      </c>
      <c r="G38" s="5">
        <f t="shared" si="2"/>
        <v>28139.760000000002</v>
      </c>
      <c r="H38" s="5">
        <f t="shared" si="2"/>
        <v>57766.5</v>
      </c>
      <c r="I38" s="5">
        <f t="shared" si="2"/>
        <v>83468.88</v>
      </c>
      <c r="J38" s="5">
        <f t="shared" si="2"/>
        <v>99182.16</v>
      </c>
      <c r="K38" s="5">
        <f t="shared" si="2"/>
        <v>103359.96</v>
      </c>
      <c r="L38" s="5">
        <f t="shared" si="2"/>
        <v>104237.1</v>
      </c>
      <c r="M38" s="5">
        <f t="shared" si="2"/>
        <v>104237.1</v>
      </c>
      <c r="N38" s="5"/>
    </row>
    <row r="39" spans="1:14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">
      <c r="A40">
        <v>88</v>
      </c>
      <c r="B40" s="5">
        <v>0</v>
      </c>
      <c r="C40" s="5">
        <v>0</v>
      </c>
      <c r="D40" s="5">
        <v>7114</v>
      </c>
      <c r="E40" s="5">
        <v>19085</v>
      </c>
      <c r="F40" s="5">
        <v>17178</v>
      </c>
      <c r="G40" s="5">
        <v>31062</v>
      </c>
      <c r="H40" s="5">
        <v>30538</v>
      </c>
      <c r="I40" s="5">
        <v>23016</v>
      </c>
      <c r="J40" s="5">
        <v>19382</v>
      </c>
      <c r="K40" s="5">
        <v>8874</v>
      </c>
      <c r="L40" s="5">
        <v>1808</v>
      </c>
      <c r="M40" s="5">
        <v>0</v>
      </c>
      <c r="N40" s="5">
        <f t="shared" ref="N40:N49" si="3">SUM(B40:M40)</f>
        <v>158057</v>
      </c>
    </row>
    <row r="41" spans="1:14" x14ac:dyDescent="0.2">
      <c r="A41">
        <v>89</v>
      </c>
      <c r="B41" s="5">
        <v>0</v>
      </c>
      <c r="C41" s="5">
        <v>0</v>
      </c>
      <c r="D41" s="5">
        <v>1899</v>
      </c>
      <c r="E41" s="5">
        <v>8975</v>
      </c>
      <c r="F41" s="5">
        <v>13424</v>
      </c>
      <c r="G41" s="5">
        <v>32084</v>
      </c>
      <c r="H41" s="5">
        <v>29637</v>
      </c>
      <c r="I41" s="5">
        <v>24675</v>
      </c>
      <c r="J41" s="5">
        <v>12882</v>
      </c>
      <c r="K41" s="5">
        <v>4522</v>
      </c>
      <c r="L41" s="5">
        <v>434</v>
      </c>
      <c r="M41" s="5">
        <v>0</v>
      </c>
      <c r="N41" s="5">
        <f t="shared" si="3"/>
        <v>128532</v>
      </c>
    </row>
    <row r="42" spans="1:14" x14ac:dyDescent="0.2">
      <c r="A42">
        <v>90</v>
      </c>
      <c r="B42" s="5">
        <v>0</v>
      </c>
      <c r="C42" s="5">
        <v>0</v>
      </c>
      <c r="D42" s="5">
        <v>1679</v>
      </c>
      <c r="E42" s="5">
        <v>15206</v>
      </c>
      <c r="F42" s="5">
        <v>20113</v>
      </c>
      <c r="G42" s="5">
        <v>27801</v>
      </c>
      <c r="H42" s="5">
        <v>30846</v>
      </c>
      <c r="I42" s="5">
        <v>22778</v>
      </c>
      <c r="J42" s="5">
        <v>15777</v>
      </c>
      <c r="K42" s="5">
        <v>5067</v>
      </c>
      <c r="L42" s="5">
        <v>2002</v>
      </c>
      <c r="M42" s="5">
        <v>0</v>
      </c>
      <c r="N42" s="5">
        <f t="shared" si="3"/>
        <v>141269</v>
      </c>
    </row>
    <row r="43" spans="1:14" x14ac:dyDescent="0.2">
      <c r="A43">
        <v>91</v>
      </c>
      <c r="B43" s="5">
        <v>0</v>
      </c>
      <c r="C43" s="5">
        <v>0</v>
      </c>
      <c r="D43" s="5">
        <v>2467</v>
      </c>
      <c r="E43" s="5">
        <v>17089</v>
      </c>
      <c r="F43" s="5">
        <v>11880</v>
      </c>
      <c r="G43" s="5">
        <v>31050</v>
      </c>
      <c r="H43" s="5">
        <v>29948</v>
      </c>
      <c r="I43" s="5">
        <v>25770</v>
      </c>
      <c r="J43" s="5">
        <v>19034</v>
      </c>
      <c r="K43" s="5">
        <v>8031</v>
      </c>
      <c r="L43" s="5">
        <v>42</v>
      </c>
      <c r="M43" s="5">
        <v>0</v>
      </c>
      <c r="N43" s="5">
        <f t="shared" si="3"/>
        <v>145311</v>
      </c>
    </row>
    <row r="44" spans="1:14" x14ac:dyDescent="0.2">
      <c r="A44">
        <v>92</v>
      </c>
      <c r="B44" s="5">
        <v>0</v>
      </c>
      <c r="C44" s="5">
        <v>0</v>
      </c>
      <c r="D44" s="5">
        <v>1394</v>
      </c>
      <c r="E44" s="5">
        <v>24768</v>
      </c>
      <c r="F44" s="5">
        <v>28639</v>
      </c>
      <c r="G44" s="5">
        <v>30292</v>
      </c>
      <c r="H44" s="5">
        <v>21441</v>
      </c>
      <c r="I44" s="5">
        <v>21321</v>
      </c>
      <c r="J44" s="5">
        <v>8039</v>
      </c>
      <c r="K44" s="5">
        <v>0</v>
      </c>
      <c r="L44" s="5">
        <v>0</v>
      </c>
      <c r="M44" s="5">
        <v>0</v>
      </c>
      <c r="N44" s="5">
        <f t="shared" si="3"/>
        <v>135894</v>
      </c>
    </row>
    <row r="45" spans="1:14" x14ac:dyDescent="0.2">
      <c r="A45">
        <v>93</v>
      </c>
      <c r="B45" s="5">
        <v>0</v>
      </c>
      <c r="C45" s="5">
        <v>0</v>
      </c>
      <c r="D45" s="5">
        <v>697</v>
      </c>
      <c r="E45" s="5">
        <v>5853</v>
      </c>
      <c r="F45" s="5">
        <v>19216</v>
      </c>
      <c r="G45" s="5">
        <v>26184</v>
      </c>
      <c r="H45" s="5">
        <v>28233</v>
      </c>
      <c r="I45" s="5">
        <v>21558</v>
      </c>
      <c r="J45" s="5">
        <v>13050</v>
      </c>
      <c r="K45" s="5">
        <v>4437</v>
      </c>
      <c r="L45" s="5">
        <v>259</v>
      </c>
      <c r="M45" s="5">
        <v>0</v>
      </c>
      <c r="N45" s="5">
        <f t="shared" si="3"/>
        <v>119487</v>
      </c>
    </row>
    <row r="46" spans="1:14" x14ac:dyDescent="0.2">
      <c r="A46">
        <v>94</v>
      </c>
      <c r="B46" s="5">
        <v>0</v>
      </c>
      <c r="C46" s="5">
        <v>0</v>
      </c>
      <c r="D46" s="5">
        <v>7332</v>
      </c>
      <c r="E46" s="5">
        <v>24204</v>
      </c>
      <c r="F46" s="5">
        <v>14705</v>
      </c>
      <c r="G46" s="5">
        <v>31557</v>
      </c>
      <c r="H46" s="5">
        <v>31607</v>
      </c>
      <c r="I46" s="5">
        <v>26477</v>
      </c>
      <c r="J46" s="5">
        <v>8682</v>
      </c>
      <c r="K46" s="5">
        <v>0</v>
      </c>
      <c r="L46" s="5">
        <v>0</v>
      </c>
      <c r="M46" s="5">
        <v>0</v>
      </c>
      <c r="N46" s="5">
        <f t="shared" si="3"/>
        <v>144564</v>
      </c>
    </row>
    <row r="47" spans="1:14" x14ac:dyDescent="0.2">
      <c r="A47">
        <v>95</v>
      </c>
      <c r="B47" s="5">
        <v>0</v>
      </c>
      <c r="C47" s="5">
        <v>0</v>
      </c>
      <c r="D47" s="5">
        <v>1327</v>
      </c>
      <c r="E47" s="5">
        <v>6061</v>
      </c>
      <c r="F47" s="5">
        <v>12098</v>
      </c>
      <c r="G47" s="5">
        <v>22386</v>
      </c>
      <c r="H47" s="5">
        <v>28211</v>
      </c>
      <c r="I47" s="5">
        <v>26130</v>
      </c>
      <c r="J47" s="5">
        <v>17173</v>
      </c>
      <c r="K47" s="5">
        <v>5718</v>
      </c>
      <c r="L47" s="5">
        <v>596</v>
      </c>
      <c r="M47" s="5">
        <v>0</v>
      </c>
      <c r="N47" s="5">
        <f t="shared" si="3"/>
        <v>119700</v>
      </c>
    </row>
    <row r="48" spans="1:14" x14ac:dyDescent="0.2">
      <c r="A48">
        <v>96</v>
      </c>
      <c r="B48" s="5">
        <v>0</v>
      </c>
      <c r="C48" s="5">
        <v>0</v>
      </c>
      <c r="D48" s="5">
        <v>752</v>
      </c>
      <c r="E48" s="5">
        <v>7884</v>
      </c>
      <c r="F48" s="5">
        <v>16547</v>
      </c>
      <c r="G48" s="5">
        <v>32777</v>
      </c>
      <c r="H48" s="5">
        <v>30375</v>
      </c>
      <c r="I48" s="5">
        <v>23459</v>
      </c>
      <c r="J48" s="5">
        <v>16133</v>
      </c>
      <c r="K48" s="5">
        <v>5199</v>
      </c>
      <c r="L48" s="5">
        <v>723</v>
      </c>
      <c r="M48" s="5">
        <v>0</v>
      </c>
      <c r="N48" s="5">
        <f t="shared" si="3"/>
        <v>133849</v>
      </c>
    </row>
    <row r="49" spans="1:14" x14ac:dyDescent="0.2">
      <c r="A49">
        <v>97</v>
      </c>
      <c r="B49" s="5">
        <v>0</v>
      </c>
      <c r="C49" s="5">
        <v>0</v>
      </c>
      <c r="D49" s="6">
        <v>4099</v>
      </c>
      <c r="E49" s="6">
        <v>12850</v>
      </c>
      <c r="F49" s="6">
        <v>23186</v>
      </c>
      <c r="G49" s="6">
        <v>28078</v>
      </c>
      <c r="H49" s="6">
        <v>28805</v>
      </c>
      <c r="I49" s="6">
        <v>23819</v>
      </c>
      <c r="J49" s="6">
        <v>11973</v>
      </c>
      <c r="K49" s="6">
        <v>4019</v>
      </c>
      <c r="L49" s="6">
        <v>366</v>
      </c>
      <c r="M49" s="5">
        <v>0</v>
      </c>
      <c r="N49" s="5">
        <f t="shared" si="3"/>
        <v>137195</v>
      </c>
    </row>
    <row r="51" spans="1:14" x14ac:dyDescent="0.2">
      <c r="A51" t="s">
        <v>18</v>
      </c>
      <c r="B51" s="7">
        <f t="shared" ref="B51:C51" si="4">AVERAGE(B40:B49)</f>
        <v>0</v>
      </c>
      <c r="C51" s="7">
        <f t="shared" si="4"/>
        <v>0</v>
      </c>
      <c r="D51" s="7">
        <f>AVERAGE(D40:D49)</f>
        <v>2876</v>
      </c>
      <c r="E51" s="7">
        <f t="shared" ref="E51:M51" si="5">AVERAGE(E40:E49)</f>
        <v>14197.5</v>
      </c>
      <c r="F51" s="7">
        <f t="shared" si="5"/>
        <v>17698.599999999999</v>
      </c>
      <c r="G51" s="7">
        <f t="shared" si="5"/>
        <v>29327.1</v>
      </c>
      <c r="H51" s="7">
        <f t="shared" si="5"/>
        <v>28964.1</v>
      </c>
      <c r="I51" s="7">
        <f t="shared" si="5"/>
        <v>23900.3</v>
      </c>
      <c r="J51" s="7">
        <f t="shared" si="5"/>
        <v>14212.5</v>
      </c>
      <c r="K51" s="7">
        <f t="shared" si="5"/>
        <v>4586.7</v>
      </c>
      <c r="L51" s="7">
        <f t="shared" si="5"/>
        <v>623</v>
      </c>
      <c r="M51" s="7">
        <f t="shared" si="5"/>
        <v>0</v>
      </c>
    </row>
    <row r="52" spans="1:14" x14ac:dyDescent="0.2">
      <c r="B52" s="7" t="s">
        <v>14</v>
      </c>
      <c r="C52" s="7" t="s">
        <v>14</v>
      </c>
      <c r="D52" s="7">
        <f>+D51</f>
        <v>2876</v>
      </c>
      <c r="E52" s="7">
        <f t="shared" ref="E52:M52" si="6">+D52+E51</f>
        <v>17073.5</v>
      </c>
      <c r="F52" s="7">
        <f t="shared" si="6"/>
        <v>34772.1</v>
      </c>
      <c r="G52" s="7">
        <f t="shared" si="6"/>
        <v>64099.199999999997</v>
      </c>
      <c r="H52" s="7">
        <f t="shared" si="6"/>
        <v>93063.299999999988</v>
      </c>
      <c r="I52" s="7">
        <f t="shared" si="6"/>
        <v>116963.59999999999</v>
      </c>
      <c r="J52" s="7">
        <f t="shared" si="6"/>
        <v>131176.09999999998</v>
      </c>
      <c r="K52" s="7">
        <f>+J52+K51</f>
        <v>135762.79999999999</v>
      </c>
      <c r="L52" s="7">
        <f t="shared" si="6"/>
        <v>136385.79999999999</v>
      </c>
      <c r="M52" s="7">
        <f t="shared" si="6"/>
        <v>136385.79999999999</v>
      </c>
      <c r="N52" s="7">
        <f>AVERAGE(N40:N49)</f>
        <v>136385.79999999999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1" t="s">
        <v>19</v>
      </c>
      <c r="K1" s="1" t="s">
        <v>19</v>
      </c>
    </row>
    <row r="3" spans="1:13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</row>
    <row r="4" spans="1:13" x14ac:dyDescent="0.2">
      <c r="A4" s="3">
        <v>1</v>
      </c>
      <c r="B4" s="4">
        <v>0</v>
      </c>
      <c r="C4" s="4">
        <v>0</v>
      </c>
      <c r="D4" s="4">
        <v>0</v>
      </c>
      <c r="E4" s="4">
        <v>25</v>
      </c>
      <c r="F4" s="4">
        <v>117</v>
      </c>
      <c r="G4" s="4">
        <v>0</v>
      </c>
      <c r="H4" s="4">
        <v>373</v>
      </c>
      <c r="I4" s="4">
        <v>127</v>
      </c>
      <c r="J4" s="4">
        <v>93</v>
      </c>
      <c r="K4" s="4">
        <v>0</v>
      </c>
      <c r="L4" s="4">
        <v>0</v>
      </c>
      <c r="M4" s="4">
        <v>0</v>
      </c>
    </row>
    <row r="5" spans="1:13" x14ac:dyDescent="0.2">
      <c r="A5" s="3">
        <v>2</v>
      </c>
      <c r="B5" s="4">
        <v>0</v>
      </c>
      <c r="C5" s="4">
        <v>0</v>
      </c>
      <c r="D5" s="4">
        <v>0</v>
      </c>
      <c r="E5" s="4">
        <v>25</v>
      </c>
      <c r="F5" s="4">
        <v>100</v>
      </c>
      <c r="G5" s="4">
        <v>0</v>
      </c>
      <c r="H5" s="4">
        <v>435</v>
      </c>
      <c r="I5" s="4">
        <v>117</v>
      </c>
      <c r="J5" s="4">
        <v>150</v>
      </c>
      <c r="K5" s="4">
        <v>0</v>
      </c>
      <c r="L5" s="4">
        <v>0</v>
      </c>
      <c r="M5" s="4">
        <v>0</v>
      </c>
    </row>
    <row r="6" spans="1:13" x14ac:dyDescent="0.2">
      <c r="A6" s="3">
        <v>3</v>
      </c>
      <c r="B6" s="4">
        <v>0</v>
      </c>
      <c r="C6" s="4">
        <v>0</v>
      </c>
      <c r="D6" s="4">
        <v>0</v>
      </c>
      <c r="E6" s="4">
        <v>25</v>
      </c>
      <c r="F6" s="4">
        <v>100</v>
      </c>
      <c r="G6" s="4">
        <v>0</v>
      </c>
      <c r="H6" s="4">
        <v>360</v>
      </c>
      <c r="I6" s="4">
        <v>100</v>
      </c>
      <c r="J6" s="4">
        <v>135</v>
      </c>
      <c r="K6" s="4">
        <v>0</v>
      </c>
      <c r="L6" s="4">
        <v>0</v>
      </c>
      <c r="M6" s="4">
        <v>0</v>
      </c>
    </row>
    <row r="7" spans="1:13" x14ac:dyDescent="0.2">
      <c r="A7" s="3">
        <v>4</v>
      </c>
      <c r="B7" s="4">
        <v>0</v>
      </c>
      <c r="C7" s="4">
        <v>0</v>
      </c>
      <c r="D7" s="4">
        <v>0</v>
      </c>
      <c r="E7" s="4">
        <v>25</v>
      </c>
      <c r="F7" s="4">
        <v>50</v>
      </c>
      <c r="G7" s="4">
        <v>0</v>
      </c>
      <c r="H7" s="4">
        <v>288</v>
      </c>
      <c r="I7" s="4">
        <v>185</v>
      </c>
      <c r="J7" s="4">
        <v>85</v>
      </c>
      <c r="K7" s="4">
        <v>0</v>
      </c>
      <c r="L7" s="4">
        <v>9</v>
      </c>
      <c r="M7" s="4">
        <v>0</v>
      </c>
    </row>
    <row r="8" spans="1:13" x14ac:dyDescent="0.2">
      <c r="A8" s="3">
        <v>5</v>
      </c>
      <c r="B8" s="4">
        <v>0</v>
      </c>
      <c r="C8" s="4">
        <v>0</v>
      </c>
      <c r="D8" s="4">
        <v>0</v>
      </c>
      <c r="E8" s="4">
        <v>25</v>
      </c>
      <c r="F8" s="4">
        <v>9</v>
      </c>
      <c r="G8" s="4">
        <v>0</v>
      </c>
      <c r="H8" s="4">
        <v>250</v>
      </c>
      <c r="I8" s="4">
        <v>204</v>
      </c>
      <c r="J8" s="4">
        <v>41</v>
      </c>
      <c r="K8" s="4">
        <v>0</v>
      </c>
      <c r="L8" s="4">
        <v>25</v>
      </c>
      <c r="M8" s="4">
        <v>0</v>
      </c>
    </row>
    <row r="9" spans="1:13" x14ac:dyDescent="0.2">
      <c r="A9" s="3">
        <v>6</v>
      </c>
      <c r="B9" s="4">
        <v>0</v>
      </c>
      <c r="C9" s="4">
        <v>0</v>
      </c>
      <c r="D9" s="4">
        <v>0</v>
      </c>
      <c r="E9" s="4">
        <v>9</v>
      </c>
      <c r="F9" s="4">
        <v>0</v>
      </c>
      <c r="G9" s="4">
        <v>0</v>
      </c>
      <c r="H9" s="4">
        <v>296</v>
      </c>
      <c r="I9" s="4">
        <v>150</v>
      </c>
      <c r="J9" s="4">
        <v>25</v>
      </c>
      <c r="K9" s="4">
        <v>0</v>
      </c>
      <c r="L9" s="4">
        <v>10</v>
      </c>
      <c r="M9" s="4">
        <v>0</v>
      </c>
    </row>
    <row r="10" spans="1:13" x14ac:dyDescent="0.2">
      <c r="A10" s="3">
        <v>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402</v>
      </c>
      <c r="I10" s="4">
        <v>192</v>
      </c>
      <c r="J10" s="4">
        <v>33</v>
      </c>
      <c r="K10" s="4">
        <v>0</v>
      </c>
      <c r="L10" s="4">
        <v>0</v>
      </c>
      <c r="M10" s="4">
        <v>0</v>
      </c>
    </row>
    <row r="11" spans="1:13" x14ac:dyDescent="0.2">
      <c r="A11" s="3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450</v>
      </c>
      <c r="I11" s="4">
        <v>167</v>
      </c>
      <c r="J11" s="4">
        <v>33</v>
      </c>
      <c r="K11" s="4">
        <v>0</v>
      </c>
      <c r="L11" s="4">
        <v>0</v>
      </c>
      <c r="M11" s="4">
        <v>0</v>
      </c>
    </row>
    <row r="12" spans="1:13" x14ac:dyDescent="0.2">
      <c r="A12" s="3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419</v>
      </c>
      <c r="I12" s="4">
        <v>133</v>
      </c>
      <c r="J12" s="4">
        <v>16</v>
      </c>
      <c r="K12" s="4">
        <v>0</v>
      </c>
      <c r="L12" s="4">
        <v>0</v>
      </c>
      <c r="M12" s="4">
        <v>0</v>
      </c>
    </row>
    <row r="13" spans="1:13" x14ac:dyDescent="0.2">
      <c r="A13" s="3">
        <v>10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413</v>
      </c>
      <c r="I13" s="4">
        <v>133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2">
      <c r="A14" s="3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450</v>
      </c>
      <c r="I14" s="4">
        <v>225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">
      <c r="A15" s="3">
        <v>12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450</v>
      </c>
      <c r="I15" s="4">
        <v>308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2">
      <c r="A16" s="3">
        <v>13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443</v>
      </c>
      <c r="I16" s="4">
        <v>279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">
      <c r="A17" s="3">
        <v>14</v>
      </c>
      <c r="B17" s="4">
        <v>0</v>
      </c>
      <c r="C17" s="4">
        <v>0</v>
      </c>
      <c r="D17" s="4">
        <v>0</v>
      </c>
      <c r="E17" s="4">
        <v>10</v>
      </c>
      <c r="F17" s="4">
        <v>0</v>
      </c>
      <c r="G17" s="4">
        <v>0</v>
      </c>
      <c r="H17" s="4">
        <v>438</v>
      </c>
      <c r="I17" s="4">
        <v>231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">
      <c r="A18" s="3">
        <v>15</v>
      </c>
      <c r="B18" s="4">
        <v>0</v>
      </c>
      <c r="C18" s="4">
        <v>0</v>
      </c>
      <c r="D18" s="4">
        <v>0</v>
      </c>
      <c r="E18" s="4">
        <v>14</v>
      </c>
      <c r="F18" s="4">
        <v>0</v>
      </c>
      <c r="G18" s="4">
        <v>0</v>
      </c>
      <c r="H18" s="4">
        <v>417</v>
      </c>
      <c r="I18" s="4">
        <v>200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2">
      <c r="A19" s="3">
        <v>16</v>
      </c>
      <c r="B19" s="4">
        <v>0</v>
      </c>
      <c r="C19" s="4">
        <v>0</v>
      </c>
      <c r="D19" s="4">
        <v>15</v>
      </c>
      <c r="E19" s="4">
        <v>0</v>
      </c>
      <c r="F19" s="4">
        <v>0</v>
      </c>
      <c r="G19" s="4">
        <v>0</v>
      </c>
      <c r="H19" s="4">
        <v>373</v>
      </c>
      <c r="I19" s="4">
        <v>200</v>
      </c>
      <c r="J19" s="4">
        <v>17</v>
      </c>
      <c r="K19" s="4">
        <v>0</v>
      </c>
      <c r="L19" s="4">
        <v>0</v>
      </c>
      <c r="M19" s="4">
        <v>0</v>
      </c>
    </row>
    <row r="20" spans="1:13" x14ac:dyDescent="0.2">
      <c r="A20" s="3">
        <v>17</v>
      </c>
      <c r="B20" s="4">
        <v>0</v>
      </c>
      <c r="C20" s="4">
        <v>0</v>
      </c>
      <c r="D20" s="4">
        <v>25</v>
      </c>
      <c r="E20" s="4">
        <v>14</v>
      </c>
      <c r="F20" s="4">
        <v>0</v>
      </c>
      <c r="G20" s="4">
        <v>71</v>
      </c>
      <c r="H20" s="4">
        <v>442</v>
      </c>
      <c r="I20" s="4">
        <v>235</v>
      </c>
      <c r="J20" s="4">
        <v>67</v>
      </c>
      <c r="K20" s="4">
        <v>0</v>
      </c>
      <c r="L20" s="4">
        <v>0</v>
      </c>
      <c r="M20" s="4">
        <v>0</v>
      </c>
    </row>
    <row r="21" spans="1:13" x14ac:dyDescent="0.2">
      <c r="A21" s="3">
        <v>18</v>
      </c>
      <c r="B21" s="4">
        <v>0</v>
      </c>
      <c r="C21" s="4">
        <v>0</v>
      </c>
      <c r="D21" s="4">
        <v>25</v>
      </c>
      <c r="E21" s="4">
        <v>25</v>
      </c>
      <c r="F21" s="4">
        <v>0</v>
      </c>
      <c r="G21" s="4">
        <v>150</v>
      </c>
      <c r="H21" s="4">
        <v>500</v>
      </c>
      <c r="I21" s="4">
        <v>283</v>
      </c>
      <c r="J21" s="4">
        <v>83</v>
      </c>
      <c r="K21" s="4">
        <v>0</v>
      </c>
      <c r="L21" s="4">
        <v>0</v>
      </c>
      <c r="M21" s="4">
        <v>0</v>
      </c>
    </row>
    <row r="22" spans="1:13" x14ac:dyDescent="0.2">
      <c r="A22" s="3">
        <v>19</v>
      </c>
      <c r="B22" s="4">
        <v>0</v>
      </c>
      <c r="C22" s="4">
        <v>0</v>
      </c>
      <c r="D22" s="4">
        <v>25</v>
      </c>
      <c r="E22" s="4">
        <v>25</v>
      </c>
      <c r="F22" s="4">
        <v>0</v>
      </c>
      <c r="G22" s="4">
        <v>117</v>
      </c>
      <c r="H22" s="4">
        <v>467</v>
      </c>
      <c r="I22" s="4">
        <v>242</v>
      </c>
      <c r="J22" s="4">
        <v>50</v>
      </c>
      <c r="K22" s="4">
        <v>0</v>
      </c>
      <c r="L22" s="4">
        <v>0</v>
      </c>
      <c r="M22" s="4">
        <v>0</v>
      </c>
    </row>
    <row r="23" spans="1:13" x14ac:dyDescent="0.2">
      <c r="A23" s="3">
        <v>20</v>
      </c>
      <c r="B23" s="4">
        <v>0</v>
      </c>
      <c r="C23" s="4">
        <v>0</v>
      </c>
      <c r="D23" s="4">
        <v>25</v>
      </c>
      <c r="E23" s="4">
        <v>40</v>
      </c>
      <c r="F23" s="4">
        <v>0</v>
      </c>
      <c r="G23" s="4">
        <v>129</v>
      </c>
      <c r="H23" s="4">
        <v>481</v>
      </c>
      <c r="I23" s="4">
        <v>188</v>
      </c>
      <c r="J23" s="4">
        <v>33</v>
      </c>
      <c r="K23" s="4">
        <v>0</v>
      </c>
      <c r="L23" s="4">
        <v>0</v>
      </c>
      <c r="M23" s="4">
        <v>0</v>
      </c>
    </row>
    <row r="24" spans="1:13" x14ac:dyDescent="0.2">
      <c r="A24" s="3">
        <v>21</v>
      </c>
      <c r="B24" s="4">
        <v>0</v>
      </c>
      <c r="C24" s="4">
        <v>0</v>
      </c>
      <c r="D24" s="4">
        <v>52</v>
      </c>
      <c r="E24" s="4">
        <v>61</v>
      </c>
      <c r="F24" s="4">
        <v>0</v>
      </c>
      <c r="G24" s="4">
        <v>150</v>
      </c>
      <c r="H24" s="4">
        <v>500</v>
      </c>
      <c r="I24" s="4">
        <v>150</v>
      </c>
      <c r="J24" s="4">
        <v>25</v>
      </c>
      <c r="K24" s="4">
        <v>0</v>
      </c>
      <c r="L24" s="4">
        <v>0</v>
      </c>
      <c r="M24" s="4">
        <v>0</v>
      </c>
    </row>
    <row r="25" spans="1:13" x14ac:dyDescent="0.2">
      <c r="A25" s="3">
        <v>22</v>
      </c>
      <c r="B25" s="4">
        <v>0</v>
      </c>
      <c r="C25" s="4">
        <v>0</v>
      </c>
      <c r="D25" s="4">
        <v>75</v>
      </c>
      <c r="E25" s="4">
        <v>75</v>
      </c>
      <c r="F25" s="4">
        <v>0</v>
      </c>
      <c r="G25" s="4">
        <v>185</v>
      </c>
      <c r="H25" s="4">
        <v>485</v>
      </c>
      <c r="I25" s="4">
        <v>115</v>
      </c>
      <c r="J25" s="4">
        <v>25</v>
      </c>
      <c r="K25" s="4">
        <v>0</v>
      </c>
      <c r="L25" s="4">
        <v>0</v>
      </c>
      <c r="M25" s="4">
        <v>0</v>
      </c>
    </row>
    <row r="26" spans="1:13" x14ac:dyDescent="0.2">
      <c r="A26" s="3">
        <v>23</v>
      </c>
      <c r="B26" s="4">
        <v>0</v>
      </c>
      <c r="C26" s="4">
        <v>0</v>
      </c>
      <c r="D26" s="4">
        <v>57</v>
      </c>
      <c r="E26" s="4">
        <v>75</v>
      </c>
      <c r="F26" s="4">
        <v>0</v>
      </c>
      <c r="G26" s="4">
        <v>219</v>
      </c>
      <c r="H26" s="4">
        <v>450</v>
      </c>
      <c r="I26" s="4">
        <v>117</v>
      </c>
      <c r="J26" s="4">
        <v>25</v>
      </c>
      <c r="K26" s="4">
        <v>0</v>
      </c>
      <c r="L26" s="4">
        <v>0</v>
      </c>
      <c r="M26" s="4">
        <v>0</v>
      </c>
    </row>
    <row r="27" spans="1:13" x14ac:dyDescent="0.2">
      <c r="A27" s="3">
        <v>24</v>
      </c>
      <c r="B27" s="4">
        <v>0</v>
      </c>
      <c r="C27" s="4">
        <v>0</v>
      </c>
      <c r="D27" s="4">
        <v>25</v>
      </c>
      <c r="E27" s="4">
        <v>75</v>
      </c>
      <c r="F27" s="4">
        <v>0</v>
      </c>
      <c r="G27" s="4">
        <v>170</v>
      </c>
      <c r="H27" s="4">
        <v>398</v>
      </c>
      <c r="I27" s="4">
        <v>79</v>
      </c>
      <c r="J27" s="4">
        <v>25</v>
      </c>
      <c r="K27" s="4">
        <v>0</v>
      </c>
      <c r="L27" s="4">
        <v>0</v>
      </c>
      <c r="M27" s="4">
        <v>0</v>
      </c>
    </row>
    <row r="28" spans="1:13" x14ac:dyDescent="0.2">
      <c r="A28" s="3">
        <v>25</v>
      </c>
      <c r="B28" s="4">
        <v>0</v>
      </c>
      <c r="C28" s="4">
        <v>0</v>
      </c>
      <c r="D28" s="4">
        <v>9</v>
      </c>
      <c r="E28" s="4">
        <v>75</v>
      </c>
      <c r="F28" s="4">
        <v>0</v>
      </c>
      <c r="G28" s="4">
        <v>100</v>
      </c>
      <c r="H28" s="4">
        <v>283</v>
      </c>
      <c r="I28" s="4">
        <v>113</v>
      </c>
      <c r="J28" s="4">
        <v>15</v>
      </c>
      <c r="K28" s="4">
        <v>0</v>
      </c>
      <c r="L28" s="4">
        <v>0</v>
      </c>
      <c r="M28" s="4">
        <v>0</v>
      </c>
    </row>
    <row r="29" spans="1:13" x14ac:dyDescent="0.2">
      <c r="A29" s="3">
        <v>26</v>
      </c>
      <c r="B29" s="4">
        <v>0</v>
      </c>
      <c r="C29" s="4">
        <v>0</v>
      </c>
      <c r="D29" s="4">
        <v>0</v>
      </c>
      <c r="E29" s="4">
        <v>67</v>
      </c>
      <c r="F29" s="4">
        <v>0</v>
      </c>
      <c r="G29" s="4">
        <v>100</v>
      </c>
      <c r="H29" s="4">
        <v>217</v>
      </c>
      <c r="I29" s="4">
        <v>163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2">
      <c r="A30" s="3">
        <v>27</v>
      </c>
      <c r="B30" s="4">
        <v>0</v>
      </c>
      <c r="C30" s="4">
        <v>0</v>
      </c>
      <c r="D30" s="4">
        <v>0</v>
      </c>
      <c r="E30" s="4">
        <v>50</v>
      </c>
      <c r="F30" s="4">
        <v>0</v>
      </c>
      <c r="G30" s="4">
        <v>100</v>
      </c>
      <c r="H30" s="4">
        <v>160</v>
      </c>
      <c r="I30" s="4">
        <v>163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2">
      <c r="A31" s="3">
        <v>28</v>
      </c>
      <c r="B31" s="4">
        <v>0</v>
      </c>
      <c r="C31" s="4">
        <v>0</v>
      </c>
      <c r="D31" s="4">
        <v>0</v>
      </c>
      <c r="E31" s="4">
        <v>81</v>
      </c>
      <c r="F31" s="4">
        <v>0</v>
      </c>
      <c r="G31" s="4">
        <v>100</v>
      </c>
      <c r="H31" s="4">
        <v>119</v>
      </c>
      <c r="I31" s="4">
        <v>100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2">
      <c r="A32" s="3">
        <v>29</v>
      </c>
      <c r="B32" s="4">
        <v>0</v>
      </c>
      <c r="C32" s="1" t="s">
        <v>14</v>
      </c>
      <c r="D32" s="4">
        <v>0</v>
      </c>
      <c r="E32" s="4">
        <v>100</v>
      </c>
      <c r="F32" s="4">
        <v>0</v>
      </c>
      <c r="G32" s="4">
        <v>154</v>
      </c>
      <c r="H32" s="4">
        <v>192</v>
      </c>
      <c r="I32" s="4">
        <v>100</v>
      </c>
      <c r="J32" s="4">
        <v>0</v>
      </c>
      <c r="K32" s="4">
        <v>0</v>
      </c>
      <c r="L32" s="4">
        <v>0</v>
      </c>
      <c r="M32" s="4">
        <v>0</v>
      </c>
    </row>
    <row r="33" spans="1:14" x14ac:dyDescent="0.2">
      <c r="A33" s="3">
        <v>30</v>
      </c>
      <c r="B33" s="4">
        <v>0</v>
      </c>
      <c r="C33" s="1" t="s">
        <v>14</v>
      </c>
      <c r="D33" s="4">
        <v>17</v>
      </c>
      <c r="E33" s="4">
        <v>121</v>
      </c>
      <c r="F33" s="4">
        <v>0</v>
      </c>
      <c r="G33" s="4">
        <v>288</v>
      </c>
      <c r="H33" s="4">
        <v>150</v>
      </c>
      <c r="I33" s="4">
        <v>100</v>
      </c>
      <c r="J33" s="4">
        <v>0</v>
      </c>
      <c r="K33" s="4">
        <v>0</v>
      </c>
      <c r="L33" s="4">
        <v>0</v>
      </c>
      <c r="M33" s="4">
        <v>0</v>
      </c>
    </row>
    <row r="34" spans="1:14" x14ac:dyDescent="0.2">
      <c r="A34" s="3">
        <v>31</v>
      </c>
      <c r="B34" s="4">
        <v>0</v>
      </c>
      <c r="C34" s="1" t="s">
        <v>14</v>
      </c>
      <c r="D34" s="4">
        <v>25</v>
      </c>
      <c r="E34" s="1" t="s">
        <v>14</v>
      </c>
      <c r="F34" s="4">
        <v>0</v>
      </c>
      <c r="G34" s="1" t="s">
        <v>14</v>
      </c>
      <c r="H34" s="4">
        <v>115</v>
      </c>
      <c r="I34" s="4">
        <v>77</v>
      </c>
      <c r="J34" s="1" t="s">
        <v>14</v>
      </c>
      <c r="K34" s="4">
        <v>0</v>
      </c>
      <c r="L34" s="1" t="s">
        <v>14</v>
      </c>
      <c r="M34" s="4">
        <v>0</v>
      </c>
    </row>
    <row r="36" spans="1:14" x14ac:dyDescent="0.2">
      <c r="A36" s="1" t="s">
        <v>15</v>
      </c>
      <c r="B36" s="5">
        <f>SUM(B4:B35)</f>
        <v>0</v>
      </c>
      <c r="C36" s="5">
        <f t="shared" ref="C36:M36" si="0">SUM(C4:C35)</f>
        <v>0</v>
      </c>
      <c r="D36" s="5">
        <f t="shared" si="0"/>
        <v>375</v>
      </c>
      <c r="E36" s="5">
        <f t="shared" si="0"/>
        <v>1042</v>
      </c>
      <c r="F36" s="5">
        <f t="shared" si="0"/>
        <v>376</v>
      </c>
      <c r="G36" s="5">
        <f t="shared" si="0"/>
        <v>2033</v>
      </c>
      <c r="H36" s="5">
        <f t="shared" si="0"/>
        <v>11216</v>
      </c>
      <c r="I36" s="5">
        <f t="shared" si="0"/>
        <v>5176</v>
      </c>
      <c r="J36" s="5">
        <f t="shared" si="0"/>
        <v>976</v>
      </c>
      <c r="K36" s="5">
        <f t="shared" si="0"/>
        <v>0</v>
      </c>
      <c r="L36" s="5">
        <f t="shared" si="0"/>
        <v>44</v>
      </c>
      <c r="M36" s="5">
        <f t="shared" si="0"/>
        <v>0</v>
      </c>
      <c r="N36" s="5"/>
    </row>
    <row r="37" spans="1:14" x14ac:dyDescent="0.2">
      <c r="A37" s="1" t="s">
        <v>16</v>
      </c>
      <c r="B37" s="5">
        <f>B36*1.98</f>
        <v>0</v>
      </c>
      <c r="C37" s="5">
        <f t="shared" ref="C37:M37" si="1">C36*1.98</f>
        <v>0</v>
      </c>
      <c r="D37" s="5">
        <f t="shared" si="1"/>
        <v>742.5</v>
      </c>
      <c r="E37" s="5">
        <f t="shared" si="1"/>
        <v>2063.16</v>
      </c>
      <c r="F37" s="5">
        <f t="shared" si="1"/>
        <v>744.48</v>
      </c>
      <c r="G37" s="5">
        <f t="shared" si="1"/>
        <v>4025.34</v>
      </c>
      <c r="H37" s="5">
        <f t="shared" si="1"/>
        <v>22207.68</v>
      </c>
      <c r="I37" s="5">
        <f t="shared" si="1"/>
        <v>10248.48</v>
      </c>
      <c r="J37" s="5">
        <f t="shared" si="1"/>
        <v>1932.48</v>
      </c>
      <c r="K37" s="5">
        <f t="shared" si="1"/>
        <v>0</v>
      </c>
      <c r="L37" s="5">
        <f t="shared" si="1"/>
        <v>87.12</v>
      </c>
      <c r="M37" s="5">
        <f t="shared" si="1"/>
        <v>0</v>
      </c>
      <c r="N37" s="5"/>
    </row>
    <row r="38" spans="1:14" x14ac:dyDescent="0.2">
      <c r="A38" s="1" t="s">
        <v>17</v>
      </c>
      <c r="B38" s="5">
        <f>+B37</f>
        <v>0</v>
      </c>
      <c r="C38" s="5">
        <f>+B38+C37</f>
        <v>0</v>
      </c>
      <c r="D38" s="5">
        <f t="shared" ref="D38:M38" si="2">+C38+D37</f>
        <v>742.5</v>
      </c>
      <c r="E38" s="5">
        <f t="shared" si="2"/>
        <v>2805.66</v>
      </c>
      <c r="F38" s="5">
        <f t="shared" si="2"/>
        <v>3550.14</v>
      </c>
      <c r="G38" s="5">
        <f t="shared" si="2"/>
        <v>7575.48</v>
      </c>
      <c r="H38" s="5">
        <f t="shared" si="2"/>
        <v>29783.16</v>
      </c>
      <c r="I38" s="5">
        <f t="shared" si="2"/>
        <v>40031.64</v>
      </c>
      <c r="J38" s="5">
        <f t="shared" si="2"/>
        <v>41964.12</v>
      </c>
      <c r="K38" s="5">
        <f t="shared" si="2"/>
        <v>41964.12</v>
      </c>
      <c r="L38" s="5">
        <f t="shared" si="2"/>
        <v>42051.240000000005</v>
      </c>
      <c r="M38" s="5">
        <f t="shared" si="2"/>
        <v>42051.240000000005</v>
      </c>
      <c r="N38" s="5"/>
    </row>
    <row r="39" spans="1:14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">
      <c r="A40">
        <v>88</v>
      </c>
      <c r="B40" s="9">
        <v>0</v>
      </c>
      <c r="C40" s="10">
        <v>0</v>
      </c>
      <c r="D40" s="6">
        <v>5829</v>
      </c>
      <c r="E40" s="6">
        <v>11815</v>
      </c>
      <c r="F40" s="6">
        <v>4485</v>
      </c>
      <c r="G40" s="6">
        <v>18279</v>
      </c>
      <c r="H40" s="6">
        <v>13880</v>
      </c>
      <c r="I40" s="6">
        <v>7500</v>
      </c>
      <c r="J40" s="6">
        <v>2958</v>
      </c>
      <c r="K40" s="6">
        <v>2962</v>
      </c>
      <c r="L40" s="6">
        <v>1067</v>
      </c>
      <c r="M40" s="6">
        <v>0</v>
      </c>
      <c r="N40" s="5">
        <f t="shared" ref="N40:N49" si="3">SUM(B40:M40)</f>
        <v>68775</v>
      </c>
    </row>
    <row r="41" spans="1:14" x14ac:dyDescent="0.2">
      <c r="A41">
        <v>89</v>
      </c>
      <c r="B41" s="9">
        <v>0</v>
      </c>
      <c r="C41" s="10">
        <v>0</v>
      </c>
      <c r="D41" s="6">
        <v>1016</v>
      </c>
      <c r="E41" s="6">
        <v>4609</v>
      </c>
      <c r="F41" s="6">
        <v>2303</v>
      </c>
      <c r="G41" s="6">
        <v>21273</v>
      </c>
      <c r="H41" s="6">
        <v>17274</v>
      </c>
      <c r="I41" s="6">
        <v>8168</v>
      </c>
      <c r="J41" s="6">
        <v>341</v>
      </c>
      <c r="K41" s="6">
        <v>784</v>
      </c>
      <c r="L41" s="6">
        <v>0</v>
      </c>
      <c r="M41" s="6">
        <v>0</v>
      </c>
      <c r="N41" s="5">
        <f t="shared" si="3"/>
        <v>55768</v>
      </c>
    </row>
    <row r="42" spans="1:14" x14ac:dyDescent="0.2">
      <c r="A42">
        <v>90</v>
      </c>
      <c r="B42" s="9">
        <v>0</v>
      </c>
      <c r="C42" s="10">
        <v>0</v>
      </c>
      <c r="D42" s="6">
        <v>1152</v>
      </c>
      <c r="E42" s="6">
        <v>10611</v>
      </c>
      <c r="F42" s="6">
        <v>4364</v>
      </c>
      <c r="G42" s="6">
        <v>17792</v>
      </c>
      <c r="H42" s="6">
        <v>20242</v>
      </c>
      <c r="I42" s="6">
        <v>7989</v>
      </c>
      <c r="J42" s="6">
        <v>2132</v>
      </c>
      <c r="K42" s="6">
        <v>937</v>
      </c>
      <c r="L42" s="6">
        <v>1051</v>
      </c>
      <c r="M42" s="6">
        <v>1081</v>
      </c>
      <c r="N42" s="5">
        <f t="shared" si="3"/>
        <v>67351</v>
      </c>
    </row>
    <row r="43" spans="1:14" x14ac:dyDescent="0.2">
      <c r="A43">
        <v>91</v>
      </c>
      <c r="B43" s="9">
        <v>0</v>
      </c>
      <c r="C43" s="10">
        <v>0</v>
      </c>
      <c r="D43" s="6">
        <v>2285</v>
      </c>
      <c r="E43" s="6">
        <v>16030</v>
      </c>
      <c r="F43" s="6">
        <v>2501</v>
      </c>
      <c r="G43" s="6">
        <v>20087</v>
      </c>
      <c r="H43" s="6">
        <v>19105</v>
      </c>
      <c r="I43" s="6">
        <v>13310</v>
      </c>
      <c r="J43" s="6">
        <v>5635</v>
      </c>
      <c r="K43" s="6">
        <v>4221</v>
      </c>
      <c r="L43" s="6">
        <v>0</v>
      </c>
      <c r="M43" s="6">
        <v>0</v>
      </c>
      <c r="N43" s="5">
        <f t="shared" si="3"/>
        <v>83174</v>
      </c>
    </row>
    <row r="44" spans="1:14" x14ac:dyDescent="0.2">
      <c r="A44">
        <v>92</v>
      </c>
      <c r="B44" s="9">
        <v>0</v>
      </c>
      <c r="C44" s="10">
        <v>0</v>
      </c>
      <c r="D44" s="6">
        <v>1509</v>
      </c>
      <c r="E44" s="6">
        <v>20095</v>
      </c>
      <c r="F44" s="6">
        <v>17309</v>
      </c>
      <c r="G44" s="6">
        <v>19630</v>
      </c>
      <c r="H44" s="6">
        <v>15501</v>
      </c>
      <c r="I44" s="6">
        <v>15002</v>
      </c>
      <c r="J44" s="6">
        <v>4520</v>
      </c>
      <c r="K44" s="6">
        <v>0</v>
      </c>
      <c r="L44" s="6">
        <v>0</v>
      </c>
      <c r="M44" s="6">
        <v>0</v>
      </c>
      <c r="N44" s="5">
        <f t="shared" si="3"/>
        <v>93566</v>
      </c>
    </row>
    <row r="45" spans="1:14" x14ac:dyDescent="0.2">
      <c r="A45">
        <v>93</v>
      </c>
      <c r="B45" s="9">
        <v>0</v>
      </c>
      <c r="C45" s="10">
        <v>0</v>
      </c>
      <c r="D45" s="11">
        <v>0</v>
      </c>
      <c r="E45" s="6">
        <v>3291</v>
      </c>
      <c r="F45" s="6">
        <v>12799</v>
      </c>
      <c r="G45" s="6">
        <v>17788</v>
      </c>
      <c r="H45" s="6">
        <v>20465</v>
      </c>
      <c r="I45" s="6">
        <v>12327</v>
      </c>
      <c r="J45" s="6">
        <v>2942</v>
      </c>
      <c r="K45" s="6">
        <v>83</v>
      </c>
      <c r="L45" s="6">
        <v>0</v>
      </c>
      <c r="M45" s="6">
        <v>0</v>
      </c>
      <c r="N45" s="5">
        <f t="shared" si="3"/>
        <v>69695</v>
      </c>
    </row>
    <row r="46" spans="1:14" x14ac:dyDescent="0.2">
      <c r="A46">
        <v>94</v>
      </c>
      <c r="B46" s="9">
        <v>0</v>
      </c>
      <c r="C46" s="10">
        <v>0</v>
      </c>
      <c r="D46" s="6">
        <v>8070</v>
      </c>
      <c r="E46" s="6">
        <v>24914</v>
      </c>
      <c r="F46" s="6">
        <v>8162</v>
      </c>
      <c r="G46" s="6">
        <v>23255</v>
      </c>
      <c r="H46" s="6">
        <v>25128</v>
      </c>
      <c r="I46" s="6">
        <v>20491</v>
      </c>
      <c r="J46" s="6">
        <v>4483</v>
      </c>
      <c r="K46" s="6">
        <v>0</v>
      </c>
      <c r="L46" s="6">
        <v>0</v>
      </c>
      <c r="M46" s="6">
        <v>0</v>
      </c>
      <c r="N46" s="5">
        <f t="shared" si="3"/>
        <v>114503</v>
      </c>
    </row>
    <row r="47" spans="1:14" x14ac:dyDescent="0.2">
      <c r="A47">
        <v>95</v>
      </c>
      <c r="B47" s="9">
        <v>1501</v>
      </c>
      <c r="C47" s="10">
        <v>0</v>
      </c>
      <c r="D47" s="6">
        <v>99</v>
      </c>
      <c r="E47" s="6">
        <v>2378</v>
      </c>
      <c r="F47" s="6">
        <v>5265</v>
      </c>
      <c r="G47" s="6">
        <v>13953</v>
      </c>
      <c r="H47" s="6">
        <v>19715</v>
      </c>
      <c r="I47" s="6">
        <v>16624</v>
      </c>
      <c r="J47" s="6">
        <v>3928</v>
      </c>
      <c r="K47" s="6">
        <v>430</v>
      </c>
      <c r="L47" s="6">
        <v>127</v>
      </c>
      <c r="M47" s="6">
        <v>0</v>
      </c>
      <c r="N47" s="5">
        <f t="shared" si="3"/>
        <v>64020</v>
      </c>
    </row>
    <row r="48" spans="1:14" x14ac:dyDescent="0.2">
      <c r="A48">
        <v>96</v>
      </c>
      <c r="B48" s="9">
        <v>0</v>
      </c>
      <c r="C48" s="10">
        <v>0</v>
      </c>
      <c r="D48" s="6">
        <v>238</v>
      </c>
      <c r="E48" s="6">
        <v>4473</v>
      </c>
      <c r="F48" s="6">
        <v>6397</v>
      </c>
      <c r="G48" s="6">
        <v>20905</v>
      </c>
      <c r="H48" s="6">
        <v>22820</v>
      </c>
      <c r="I48" s="6">
        <v>13369</v>
      </c>
      <c r="J48" s="6">
        <v>3388</v>
      </c>
      <c r="K48" s="6">
        <v>97</v>
      </c>
      <c r="L48" s="6">
        <v>0</v>
      </c>
      <c r="M48" s="6">
        <v>0</v>
      </c>
      <c r="N48" s="5">
        <f t="shared" si="3"/>
        <v>71687</v>
      </c>
    </row>
    <row r="49" spans="1:14" x14ac:dyDescent="0.2">
      <c r="A49">
        <v>97</v>
      </c>
      <c r="B49" s="9">
        <v>0</v>
      </c>
      <c r="C49" s="9">
        <v>0</v>
      </c>
      <c r="D49" s="9">
        <v>3497</v>
      </c>
      <c r="E49" s="9">
        <v>8999</v>
      </c>
      <c r="F49" s="9">
        <v>14216</v>
      </c>
      <c r="G49" s="9">
        <v>17537</v>
      </c>
      <c r="H49" s="9">
        <v>17068</v>
      </c>
      <c r="I49" s="9">
        <v>13965</v>
      </c>
      <c r="J49" s="9">
        <v>3675</v>
      </c>
      <c r="K49" s="9">
        <v>0</v>
      </c>
      <c r="L49" s="9">
        <v>0</v>
      </c>
      <c r="M49" s="9">
        <v>0</v>
      </c>
      <c r="N49" s="5">
        <f t="shared" si="3"/>
        <v>78957</v>
      </c>
    </row>
    <row r="51" spans="1:14" x14ac:dyDescent="0.2">
      <c r="A51" s="1" t="s">
        <v>18</v>
      </c>
      <c r="B51" s="7">
        <f>AVERAGE(B40:B49)</f>
        <v>150.1</v>
      </c>
      <c r="C51" s="7">
        <f t="shared" ref="C51:M51" si="4">AVERAGE(C40:C49)</f>
        <v>0</v>
      </c>
      <c r="D51" s="7">
        <f t="shared" si="4"/>
        <v>2369.5</v>
      </c>
      <c r="E51" s="7">
        <f t="shared" si="4"/>
        <v>10721.5</v>
      </c>
      <c r="F51" s="7">
        <f t="shared" si="4"/>
        <v>7780.1</v>
      </c>
      <c r="G51" s="7">
        <f t="shared" si="4"/>
        <v>19049.900000000001</v>
      </c>
      <c r="H51" s="7">
        <f t="shared" si="4"/>
        <v>19119.8</v>
      </c>
      <c r="I51" s="7">
        <f t="shared" si="4"/>
        <v>12874.5</v>
      </c>
      <c r="J51" s="7">
        <f t="shared" si="4"/>
        <v>3400.2</v>
      </c>
      <c r="K51" s="7">
        <f t="shared" si="4"/>
        <v>951.4</v>
      </c>
      <c r="L51" s="7">
        <f t="shared" si="4"/>
        <v>224.5</v>
      </c>
      <c r="M51" s="7">
        <f t="shared" si="4"/>
        <v>108.1</v>
      </c>
    </row>
    <row r="52" spans="1:14" x14ac:dyDescent="0.2">
      <c r="B52" s="7">
        <f>+B51</f>
        <v>150.1</v>
      </c>
      <c r="C52" s="7">
        <f t="shared" ref="C52:M52" si="5">+B52+C51</f>
        <v>150.1</v>
      </c>
      <c r="D52" s="7">
        <f t="shared" si="5"/>
        <v>2519.6</v>
      </c>
      <c r="E52" s="7">
        <f t="shared" si="5"/>
        <v>13241.1</v>
      </c>
      <c r="F52" s="7">
        <f t="shared" si="5"/>
        <v>21021.200000000001</v>
      </c>
      <c r="G52" s="7">
        <f t="shared" si="5"/>
        <v>40071.100000000006</v>
      </c>
      <c r="H52" s="7">
        <f t="shared" si="5"/>
        <v>59190.900000000009</v>
      </c>
      <c r="I52" s="7">
        <f t="shared" si="5"/>
        <v>72065.400000000009</v>
      </c>
      <c r="J52" s="7">
        <f t="shared" si="5"/>
        <v>75465.600000000006</v>
      </c>
      <c r="K52" s="7">
        <f t="shared" si="5"/>
        <v>76417</v>
      </c>
      <c r="L52" s="7">
        <f t="shared" si="5"/>
        <v>76641.5</v>
      </c>
      <c r="M52" s="7">
        <f t="shared" si="5"/>
        <v>76749.600000000006</v>
      </c>
      <c r="N52" s="7">
        <f>AVERAGE(N40:N49)</f>
        <v>76749.600000000006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cols>
    <col min="1" max="14" width="9.7109375" customWidth="1"/>
  </cols>
  <sheetData>
    <row r="1" spans="1:13" x14ac:dyDescent="0.2">
      <c r="A1" s="1" t="s">
        <v>20</v>
      </c>
      <c r="J1" s="1" t="s">
        <v>20</v>
      </c>
    </row>
    <row r="3" spans="1:13" x14ac:dyDescent="0.2">
      <c r="A3" s="8" t="s">
        <v>1</v>
      </c>
      <c r="B3" s="12" t="s">
        <v>21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</row>
    <row r="4" spans="1:13" x14ac:dyDescent="0.2">
      <c r="A4" s="3">
        <v>1</v>
      </c>
      <c r="B4" s="4">
        <v>28</v>
      </c>
      <c r="C4" s="4">
        <v>75</v>
      </c>
      <c r="D4" s="4">
        <v>47</v>
      </c>
      <c r="E4" s="4">
        <v>0</v>
      </c>
      <c r="F4" s="4">
        <v>65</v>
      </c>
      <c r="G4" s="4">
        <v>70</v>
      </c>
      <c r="H4" s="4">
        <v>0</v>
      </c>
      <c r="I4" s="4">
        <v>0</v>
      </c>
      <c r="J4" s="4">
        <v>0</v>
      </c>
      <c r="K4" s="4">
        <v>90</v>
      </c>
      <c r="L4" s="4">
        <v>0</v>
      </c>
      <c r="M4" s="4">
        <v>150</v>
      </c>
    </row>
    <row r="5" spans="1:13" x14ac:dyDescent="0.2">
      <c r="A5" s="3">
        <v>2</v>
      </c>
      <c r="B5" s="4">
        <v>29</v>
      </c>
      <c r="C5" s="4">
        <v>62</v>
      </c>
      <c r="D5" s="4">
        <v>51</v>
      </c>
      <c r="E5" s="4">
        <v>0</v>
      </c>
      <c r="F5" s="4">
        <v>90</v>
      </c>
      <c r="G5" s="4">
        <v>70</v>
      </c>
      <c r="H5" s="4">
        <v>0</v>
      </c>
      <c r="I5" s="4">
        <v>0</v>
      </c>
      <c r="J5" s="4">
        <v>0</v>
      </c>
      <c r="K5" s="4">
        <v>106</v>
      </c>
      <c r="L5" s="4">
        <v>0</v>
      </c>
      <c r="M5" s="4">
        <v>143</v>
      </c>
    </row>
    <row r="6" spans="1:13" x14ac:dyDescent="0.2">
      <c r="A6" s="3">
        <v>3</v>
      </c>
      <c r="B6" s="4">
        <v>29</v>
      </c>
      <c r="C6" s="4">
        <v>69</v>
      </c>
      <c r="D6" s="4">
        <v>75</v>
      </c>
      <c r="E6" s="4">
        <v>0</v>
      </c>
      <c r="F6" s="4">
        <v>90</v>
      </c>
      <c r="G6" s="4">
        <v>57</v>
      </c>
      <c r="H6" s="4">
        <v>24</v>
      </c>
      <c r="I6" s="4">
        <v>0</v>
      </c>
      <c r="J6" s="4">
        <v>0</v>
      </c>
      <c r="K6" s="4">
        <v>111</v>
      </c>
      <c r="L6" s="4">
        <v>0</v>
      </c>
      <c r="M6" s="4">
        <v>143</v>
      </c>
    </row>
    <row r="7" spans="1:13" x14ac:dyDescent="0.2">
      <c r="A7" s="3">
        <v>4</v>
      </c>
      <c r="B7" s="4">
        <v>29</v>
      </c>
      <c r="C7" s="4">
        <v>93</v>
      </c>
      <c r="D7" s="4">
        <v>96</v>
      </c>
      <c r="E7" s="4">
        <v>0</v>
      </c>
      <c r="F7" s="4">
        <v>98</v>
      </c>
      <c r="G7" s="4">
        <v>34</v>
      </c>
      <c r="H7" s="4">
        <v>28</v>
      </c>
      <c r="I7" s="4">
        <v>0</v>
      </c>
      <c r="J7" s="4">
        <v>12</v>
      </c>
      <c r="K7" s="4">
        <v>108</v>
      </c>
      <c r="L7" s="4">
        <v>0</v>
      </c>
      <c r="M7" s="4">
        <v>143</v>
      </c>
    </row>
    <row r="8" spans="1:13" x14ac:dyDescent="0.2">
      <c r="A8" s="3">
        <v>5</v>
      </c>
      <c r="B8" s="4">
        <v>29</v>
      </c>
      <c r="C8" s="4">
        <v>104</v>
      </c>
      <c r="D8" s="4">
        <v>96</v>
      </c>
      <c r="E8" s="4">
        <v>0</v>
      </c>
      <c r="F8" s="4">
        <v>173</v>
      </c>
      <c r="G8" s="4">
        <v>7</v>
      </c>
      <c r="H8" s="4">
        <v>13</v>
      </c>
      <c r="I8" s="4">
        <v>0</v>
      </c>
      <c r="J8" s="4">
        <v>35</v>
      </c>
      <c r="K8" s="4">
        <v>115</v>
      </c>
      <c r="L8" s="4">
        <v>0</v>
      </c>
      <c r="M8" s="4">
        <v>140</v>
      </c>
    </row>
    <row r="9" spans="1:13" x14ac:dyDescent="0.2">
      <c r="A9" s="3">
        <v>6</v>
      </c>
      <c r="B9" s="4">
        <v>29</v>
      </c>
      <c r="C9" s="4">
        <v>96</v>
      </c>
      <c r="D9" s="4">
        <v>87</v>
      </c>
      <c r="E9" s="4">
        <v>0</v>
      </c>
      <c r="F9" s="4">
        <v>142</v>
      </c>
      <c r="G9" s="4">
        <v>0</v>
      </c>
      <c r="H9" s="4">
        <v>0</v>
      </c>
      <c r="I9" s="4">
        <v>0</v>
      </c>
      <c r="J9" s="4">
        <v>14</v>
      </c>
      <c r="K9" s="4">
        <v>118</v>
      </c>
      <c r="L9" s="4">
        <v>0</v>
      </c>
      <c r="M9" s="4">
        <v>132</v>
      </c>
    </row>
    <row r="10" spans="1:13" x14ac:dyDescent="0.2">
      <c r="A10" s="3">
        <v>7</v>
      </c>
      <c r="B10" s="4">
        <v>29</v>
      </c>
      <c r="C10" s="4">
        <v>85</v>
      </c>
      <c r="D10" s="4">
        <v>77</v>
      </c>
      <c r="E10" s="4">
        <v>0</v>
      </c>
      <c r="F10" s="4">
        <v>163</v>
      </c>
      <c r="G10" s="4">
        <v>0</v>
      </c>
      <c r="H10" s="4">
        <v>0</v>
      </c>
      <c r="I10" s="4">
        <v>0</v>
      </c>
      <c r="J10" s="4">
        <v>0</v>
      </c>
      <c r="K10" s="4">
        <v>116</v>
      </c>
      <c r="L10" s="4">
        <v>0</v>
      </c>
      <c r="M10" s="4">
        <v>100</v>
      </c>
    </row>
    <row r="11" spans="1:13" x14ac:dyDescent="0.2">
      <c r="A11" s="3">
        <v>8</v>
      </c>
      <c r="B11" s="4">
        <v>40</v>
      </c>
      <c r="C11" s="4">
        <v>86</v>
      </c>
      <c r="D11" s="4">
        <v>76</v>
      </c>
      <c r="E11" s="4">
        <v>0</v>
      </c>
      <c r="F11" s="4">
        <v>180</v>
      </c>
      <c r="G11" s="4">
        <v>0</v>
      </c>
      <c r="H11" s="4">
        <v>0</v>
      </c>
      <c r="I11" s="4">
        <v>0</v>
      </c>
      <c r="J11" s="4">
        <v>0</v>
      </c>
      <c r="K11" s="4">
        <v>119</v>
      </c>
      <c r="L11" s="4">
        <v>0</v>
      </c>
      <c r="M11" s="4">
        <v>80</v>
      </c>
    </row>
    <row r="12" spans="1:13" x14ac:dyDescent="0.2">
      <c r="A12" s="3">
        <v>9</v>
      </c>
      <c r="B12" s="4">
        <v>58</v>
      </c>
      <c r="C12" s="4">
        <v>85</v>
      </c>
      <c r="D12" s="4">
        <v>58</v>
      </c>
      <c r="E12" s="4">
        <v>0</v>
      </c>
      <c r="F12" s="4">
        <v>140</v>
      </c>
      <c r="G12" s="4">
        <v>0</v>
      </c>
      <c r="H12" s="4">
        <v>0</v>
      </c>
      <c r="I12" s="4">
        <v>0</v>
      </c>
      <c r="J12" s="4">
        <v>46</v>
      </c>
      <c r="K12" s="4">
        <v>135</v>
      </c>
      <c r="L12" s="4">
        <v>0</v>
      </c>
      <c r="M12" s="4">
        <v>72</v>
      </c>
    </row>
    <row r="13" spans="1:13" x14ac:dyDescent="0.2">
      <c r="A13" s="3">
        <v>10</v>
      </c>
      <c r="B13" s="4">
        <v>54</v>
      </c>
      <c r="C13" s="4">
        <v>57</v>
      </c>
      <c r="D13" s="4">
        <v>47</v>
      </c>
      <c r="E13" s="4">
        <v>0</v>
      </c>
      <c r="F13" s="4">
        <v>100</v>
      </c>
      <c r="G13" s="4">
        <v>0</v>
      </c>
      <c r="H13" s="4">
        <v>0</v>
      </c>
      <c r="I13" s="4">
        <v>0</v>
      </c>
      <c r="J13" s="4">
        <v>63</v>
      </c>
      <c r="K13" s="4">
        <v>139</v>
      </c>
      <c r="L13" s="4">
        <v>18</v>
      </c>
      <c r="M13" s="4">
        <v>63</v>
      </c>
    </row>
    <row r="14" spans="1:13" x14ac:dyDescent="0.2">
      <c r="A14" s="3">
        <v>11</v>
      </c>
      <c r="B14" s="4">
        <v>47</v>
      </c>
      <c r="C14" s="4">
        <v>57</v>
      </c>
      <c r="D14" s="4">
        <v>37</v>
      </c>
      <c r="E14" s="4">
        <v>0</v>
      </c>
      <c r="F14" s="4">
        <v>71</v>
      </c>
      <c r="G14" s="4">
        <v>0</v>
      </c>
      <c r="H14" s="4">
        <v>0</v>
      </c>
      <c r="I14" s="4">
        <v>0</v>
      </c>
      <c r="J14" s="4">
        <v>40</v>
      </c>
      <c r="K14" s="4">
        <v>128</v>
      </c>
      <c r="L14" s="4">
        <v>37</v>
      </c>
      <c r="M14" s="4">
        <v>64</v>
      </c>
    </row>
    <row r="15" spans="1:13" x14ac:dyDescent="0.2">
      <c r="A15" s="3">
        <v>12</v>
      </c>
      <c r="B15" s="4">
        <v>47</v>
      </c>
      <c r="C15" s="4">
        <v>65</v>
      </c>
      <c r="D15" s="4">
        <v>28</v>
      </c>
      <c r="E15" s="4">
        <v>0</v>
      </c>
      <c r="F15" s="4">
        <v>50</v>
      </c>
      <c r="G15" s="4">
        <v>0</v>
      </c>
      <c r="H15" s="4">
        <v>0</v>
      </c>
      <c r="I15" s="4">
        <v>0</v>
      </c>
      <c r="J15" s="4">
        <v>46</v>
      </c>
      <c r="K15" s="4">
        <v>120</v>
      </c>
      <c r="L15" s="4">
        <v>37</v>
      </c>
      <c r="M15" s="4">
        <v>64</v>
      </c>
    </row>
    <row r="16" spans="1:13" x14ac:dyDescent="0.2">
      <c r="A16" s="3">
        <v>13</v>
      </c>
      <c r="B16" s="4">
        <v>80</v>
      </c>
      <c r="C16" s="4">
        <v>74</v>
      </c>
      <c r="D16" s="4">
        <v>29</v>
      </c>
      <c r="E16" s="4">
        <v>0</v>
      </c>
      <c r="F16" s="4">
        <v>57</v>
      </c>
      <c r="G16" s="4">
        <v>5</v>
      </c>
      <c r="H16" s="4">
        <v>40</v>
      </c>
      <c r="I16" s="4">
        <v>11</v>
      </c>
      <c r="J16" s="4">
        <v>42</v>
      </c>
      <c r="K16" s="4">
        <v>125</v>
      </c>
      <c r="L16" s="4">
        <v>37</v>
      </c>
      <c r="M16" s="4">
        <v>65</v>
      </c>
    </row>
    <row r="17" spans="1:13" x14ac:dyDescent="0.2">
      <c r="A17" s="3">
        <v>14</v>
      </c>
      <c r="B17" s="4">
        <v>109</v>
      </c>
      <c r="C17" s="4">
        <v>72</v>
      </c>
      <c r="D17" s="4">
        <v>29</v>
      </c>
      <c r="E17" s="4">
        <v>21</v>
      </c>
      <c r="F17" s="4">
        <v>70</v>
      </c>
      <c r="G17" s="4">
        <v>42</v>
      </c>
      <c r="H17" s="4">
        <v>0</v>
      </c>
      <c r="I17" s="4">
        <v>10</v>
      </c>
      <c r="J17" s="4">
        <v>25</v>
      </c>
      <c r="K17" s="4">
        <v>142</v>
      </c>
      <c r="L17" s="4">
        <v>37</v>
      </c>
      <c r="M17" s="4">
        <v>67</v>
      </c>
    </row>
    <row r="18" spans="1:13" x14ac:dyDescent="0.2">
      <c r="A18" s="3">
        <v>15</v>
      </c>
      <c r="B18" s="4">
        <v>107</v>
      </c>
      <c r="C18" s="4">
        <v>71</v>
      </c>
      <c r="D18" s="4">
        <v>13</v>
      </c>
      <c r="E18" s="4">
        <v>65</v>
      </c>
      <c r="F18" s="4">
        <v>62</v>
      </c>
      <c r="G18" s="4">
        <v>21</v>
      </c>
      <c r="H18" s="4">
        <v>0</v>
      </c>
      <c r="I18" s="4">
        <v>0</v>
      </c>
      <c r="J18" s="4">
        <v>0</v>
      </c>
      <c r="K18" s="4">
        <v>155</v>
      </c>
      <c r="L18" s="4">
        <v>37</v>
      </c>
      <c r="M18" s="4">
        <v>84</v>
      </c>
    </row>
    <row r="19" spans="1:13" x14ac:dyDescent="0.2">
      <c r="A19" s="3">
        <v>16</v>
      </c>
      <c r="B19" s="4">
        <v>115</v>
      </c>
      <c r="C19" s="4">
        <v>79</v>
      </c>
      <c r="D19" s="4">
        <v>0</v>
      </c>
      <c r="E19" s="4">
        <v>62</v>
      </c>
      <c r="F19" s="4">
        <v>70</v>
      </c>
      <c r="G19" s="4">
        <v>0</v>
      </c>
      <c r="H19" s="4">
        <v>0</v>
      </c>
      <c r="I19" s="4">
        <v>0</v>
      </c>
      <c r="J19" s="4">
        <v>0</v>
      </c>
      <c r="K19" s="4">
        <v>172</v>
      </c>
      <c r="L19" s="4">
        <v>31</v>
      </c>
      <c r="M19" s="4">
        <v>95</v>
      </c>
    </row>
    <row r="20" spans="1:13" x14ac:dyDescent="0.2">
      <c r="A20" s="3">
        <v>17</v>
      </c>
      <c r="B20" s="4">
        <v>193</v>
      </c>
      <c r="C20" s="4">
        <v>81</v>
      </c>
      <c r="D20" s="4">
        <v>0</v>
      </c>
      <c r="E20" s="4">
        <v>50</v>
      </c>
      <c r="F20" s="4">
        <v>80</v>
      </c>
      <c r="G20" s="4">
        <v>0</v>
      </c>
      <c r="H20" s="4">
        <v>0</v>
      </c>
      <c r="I20" s="4">
        <v>0</v>
      </c>
      <c r="J20" s="4">
        <v>0</v>
      </c>
      <c r="K20" s="4">
        <v>68</v>
      </c>
      <c r="L20" s="4">
        <v>28</v>
      </c>
      <c r="M20" s="4">
        <v>95</v>
      </c>
    </row>
    <row r="21" spans="1:13" x14ac:dyDescent="0.2">
      <c r="A21" s="3">
        <v>18</v>
      </c>
      <c r="B21" s="4">
        <v>191</v>
      </c>
      <c r="C21" s="4">
        <v>25</v>
      </c>
      <c r="D21" s="4">
        <v>0</v>
      </c>
      <c r="E21" s="4">
        <v>50</v>
      </c>
      <c r="F21" s="4">
        <v>64</v>
      </c>
      <c r="G21" s="4">
        <v>0</v>
      </c>
      <c r="H21" s="4">
        <v>0</v>
      </c>
      <c r="I21" s="4">
        <v>0</v>
      </c>
      <c r="J21" s="4">
        <v>0</v>
      </c>
      <c r="K21" s="4">
        <v>34</v>
      </c>
      <c r="L21" s="4">
        <v>28</v>
      </c>
      <c r="M21" s="4">
        <v>84</v>
      </c>
    </row>
    <row r="22" spans="1:13" x14ac:dyDescent="0.2">
      <c r="A22" s="3">
        <v>19</v>
      </c>
      <c r="B22" s="4">
        <v>151</v>
      </c>
      <c r="C22" s="4">
        <v>27</v>
      </c>
      <c r="D22" s="4">
        <v>0</v>
      </c>
      <c r="E22" s="4">
        <v>50</v>
      </c>
      <c r="F22" s="4">
        <v>60</v>
      </c>
      <c r="G22" s="4">
        <v>0</v>
      </c>
      <c r="H22" s="4">
        <v>0</v>
      </c>
      <c r="I22" s="4">
        <v>0</v>
      </c>
      <c r="J22" s="4">
        <v>0</v>
      </c>
      <c r="K22" s="4">
        <v>16</v>
      </c>
      <c r="L22" s="4">
        <v>28</v>
      </c>
      <c r="M22" s="4">
        <v>58</v>
      </c>
    </row>
    <row r="23" spans="1:13" x14ac:dyDescent="0.2">
      <c r="A23" s="3">
        <v>20</v>
      </c>
      <c r="B23" s="4">
        <v>133</v>
      </c>
      <c r="C23" s="4">
        <v>35</v>
      </c>
      <c r="D23" s="4">
        <v>0</v>
      </c>
      <c r="E23" s="4">
        <v>50</v>
      </c>
      <c r="F23" s="4">
        <v>70</v>
      </c>
      <c r="G23" s="4">
        <v>0</v>
      </c>
      <c r="H23" s="4">
        <v>39</v>
      </c>
      <c r="I23" s="4">
        <v>0</v>
      </c>
      <c r="J23" s="4">
        <v>0</v>
      </c>
      <c r="K23" s="4">
        <v>10</v>
      </c>
      <c r="L23" s="4">
        <v>35</v>
      </c>
      <c r="M23" s="4">
        <v>48</v>
      </c>
    </row>
    <row r="24" spans="1:13" x14ac:dyDescent="0.2">
      <c r="A24" s="3">
        <v>21</v>
      </c>
      <c r="B24" s="4">
        <v>105</v>
      </c>
      <c r="C24" s="4">
        <v>47</v>
      </c>
      <c r="D24" s="4">
        <v>0</v>
      </c>
      <c r="E24" s="4">
        <v>50</v>
      </c>
      <c r="F24" s="4">
        <v>58</v>
      </c>
      <c r="G24" s="4">
        <v>0</v>
      </c>
      <c r="H24" s="4">
        <v>57</v>
      </c>
      <c r="I24" s="4">
        <v>13</v>
      </c>
      <c r="J24" s="4">
        <v>16</v>
      </c>
      <c r="K24" s="4">
        <v>10</v>
      </c>
      <c r="L24" s="4">
        <v>35</v>
      </c>
      <c r="M24" s="4">
        <v>45</v>
      </c>
    </row>
    <row r="25" spans="1:13" x14ac:dyDescent="0.2">
      <c r="A25" s="3">
        <v>22</v>
      </c>
      <c r="B25" s="4">
        <v>94</v>
      </c>
      <c r="C25" s="4">
        <v>47</v>
      </c>
      <c r="D25" s="4">
        <v>0</v>
      </c>
      <c r="E25" s="4">
        <v>50</v>
      </c>
      <c r="F25" s="4">
        <v>50</v>
      </c>
      <c r="G25" s="4">
        <v>0</v>
      </c>
      <c r="H25" s="4">
        <v>98</v>
      </c>
      <c r="I25" s="4">
        <v>30</v>
      </c>
      <c r="J25" s="4">
        <v>5</v>
      </c>
      <c r="K25" s="4">
        <v>0</v>
      </c>
      <c r="L25" s="4">
        <v>153</v>
      </c>
      <c r="M25" s="4">
        <v>45</v>
      </c>
    </row>
    <row r="26" spans="1:13" x14ac:dyDescent="0.2">
      <c r="A26" s="3">
        <v>23</v>
      </c>
      <c r="B26" s="4">
        <v>94</v>
      </c>
      <c r="C26" s="4">
        <v>47</v>
      </c>
      <c r="D26" s="4">
        <v>0</v>
      </c>
      <c r="E26" s="4">
        <v>50</v>
      </c>
      <c r="F26" s="4">
        <v>50</v>
      </c>
      <c r="G26" s="4">
        <v>0</v>
      </c>
      <c r="H26" s="4">
        <v>110</v>
      </c>
      <c r="I26" s="4">
        <v>0</v>
      </c>
      <c r="J26" s="4">
        <v>0</v>
      </c>
      <c r="K26" s="4">
        <v>0</v>
      </c>
      <c r="L26" s="4">
        <v>147</v>
      </c>
      <c r="M26" s="4">
        <v>45</v>
      </c>
    </row>
    <row r="27" spans="1:13" x14ac:dyDescent="0.2">
      <c r="A27" s="3">
        <v>24</v>
      </c>
      <c r="B27" s="4">
        <v>94</v>
      </c>
      <c r="C27" s="4">
        <v>47</v>
      </c>
      <c r="D27" s="4">
        <v>0</v>
      </c>
      <c r="E27" s="4">
        <v>50</v>
      </c>
      <c r="F27" s="4">
        <v>50</v>
      </c>
      <c r="G27" s="4">
        <v>0</v>
      </c>
      <c r="H27" s="4">
        <v>100</v>
      </c>
      <c r="I27" s="4">
        <v>17</v>
      </c>
      <c r="J27" s="4">
        <v>6</v>
      </c>
      <c r="K27" s="4">
        <v>6</v>
      </c>
      <c r="L27" s="4">
        <v>220</v>
      </c>
      <c r="M27" s="4">
        <v>44</v>
      </c>
    </row>
    <row r="28" spans="1:13" x14ac:dyDescent="0.2">
      <c r="A28" s="3">
        <v>25</v>
      </c>
      <c r="B28" s="4">
        <v>95</v>
      </c>
      <c r="C28" s="4">
        <v>54</v>
      </c>
      <c r="D28" s="4">
        <v>0</v>
      </c>
      <c r="E28" s="4">
        <v>50</v>
      </c>
      <c r="F28" s="4">
        <v>50</v>
      </c>
      <c r="G28" s="4">
        <v>42</v>
      </c>
      <c r="H28" s="4">
        <v>130</v>
      </c>
      <c r="I28" s="4">
        <v>0</v>
      </c>
      <c r="J28" s="4">
        <v>52</v>
      </c>
      <c r="K28" s="4">
        <v>8</v>
      </c>
      <c r="L28" s="4">
        <v>149</v>
      </c>
      <c r="M28" s="4">
        <v>44</v>
      </c>
    </row>
    <row r="29" spans="1:13" x14ac:dyDescent="0.2">
      <c r="A29" s="3">
        <v>26</v>
      </c>
      <c r="B29" s="4">
        <v>95</v>
      </c>
      <c r="C29" s="4">
        <v>66</v>
      </c>
      <c r="D29" s="4">
        <v>0</v>
      </c>
      <c r="E29" s="4">
        <v>50</v>
      </c>
      <c r="F29" s="4">
        <v>50</v>
      </c>
      <c r="G29" s="4">
        <v>32</v>
      </c>
      <c r="H29" s="4">
        <v>90</v>
      </c>
      <c r="I29" s="4">
        <v>0</v>
      </c>
      <c r="J29" s="4">
        <v>61</v>
      </c>
      <c r="K29" s="4">
        <v>2</v>
      </c>
      <c r="L29" s="4">
        <v>122</v>
      </c>
      <c r="M29" s="4">
        <v>44</v>
      </c>
    </row>
    <row r="30" spans="1:13" x14ac:dyDescent="0.2">
      <c r="A30" s="3">
        <v>27</v>
      </c>
      <c r="B30" s="4">
        <v>95</v>
      </c>
      <c r="C30" s="4">
        <v>66</v>
      </c>
      <c r="D30" s="4">
        <v>0</v>
      </c>
      <c r="E30" s="4">
        <v>50</v>
      </c>
      <c r="F30" s="4">
        <v>50</v>
      </c>
      <c r="G30" s="4">
        <v>35</v>
      </c>
      <c r="H30" s="4">
        <v>75</v>
      </c>
      <c r="I30" s="4">
        <v>0</v>
      </c>
      <c r="J30" s="4">
        <v>55</v>
      </c>
      <c r="K30" s="4">
        <v>0</v>
      </c>
      <c r="L30" s="4">
        <v>104</v>
      </c>
      <c r="M30" s="4">
        <v>43</v>
      </c>
    </row>
    <row r="31" spans="1:13" x14ac:dyDescent="0.2">
      <c r="A31" s="3">
        <v>28</v>
      </c>
      <c r="B31" s="4">
        <v>134</v>
      </c>
      <c r="C31" s="4">
        <v>52</v>
      </c>
      <c r="D31" s="4">
        <v>0</v>
      </c>
      <c r="E31" s="4">
        <v>50</v>
      </c>
      <c r="F31" s="4">
        <v>61</v>
      </c>
      <c r="G31" s="4">
        <v>44</v>
      </c>
      <c r="H31" s="4">
        <v>12</v>
      </c>
      <c r="I31" s="4">
        <v>15</v>
      </c>
      <c r="J31" s="4">
        <v>42</v>
      </c>
      <c r="K31" s="4">
        <v>0</v>
      </c>
      <c r="L31" s="4">
        <v>93</v>
      </c>
      <c r="M31" s="4">
        <v>43</v>
      </c>
    </row>
    <row r="32" spans="1:13" x14ac:dyDescent="0.2">
      <c r="A32" s="3">
        <v>29</v>
      </c>
      <c r="B32" s="4">
        <v>116</v>
      </c>
      <c r="C32" s="1" t="s">
        <v>14</v>
      </c>
      <c r="D32" s="4">
        <v>0</v>
      </c>
      <c r="E32" s="4">
        <v>50</v>
      </c>
      <c r="F32" s="4">
        <v>70</v>
      </c>
      <c r="G32" s="4">
        <v>10</v>
      </c>
      <c r="H32" s="4">
        <v>0</v>
      </c>
      <c r="I32" s="4">
        <v>0</v>
      </c>
      <c r="J32" s="4">
        <v>67</v>
      </c>
      <c r="K32" s="4">
        <v>0</v>
      </c>
      <c r="L32" s="4">
        <v>93</v>
      </c>
      <c r="M32" s="4">
        <v>43</v>
      </c>
    </row>
    <row r="33" spans="1:14" x14ac:dyDescent="0.2">
      <c r="A33" s="3">
        <v>30</v>
      </c>
      <c r="B33" s="4">
        <v>83</v>
      </c>
      <c r="C33" s="1" t="s">
        <v>14</v>
      </c>
      <c r="D33" s="4">
        <v>0</v>
      </c>
      <c r="E33" s="4">
        <v>50</v>
      </c>
      <c r="F33" s="4">
        <v>70</v>
      </c>
      <c r="G33" s="4">
        <v>0</v>
      </c>
      <c r="H33" s="4">
        <v>0</v>
      </c>
      <c r="I33" s="4">
        <v>8</v>
      </c>
      <c r="J33" s="4">
        <v>77</v>
      </c>
      <c r="K33" s="4">
        <v>0</v>
      </c>
      <c r="L33" s="4">
        <v>92</v>
      </c>
      <c r="M33" s="4">
        <v>43</v>
      </c>
    </row>
    <row r="34" spans="1:14" x14ac:dyDescent="0.2">
      <c r="A34" s="3">
        <v>31</v>
      </c>
      <c r="B34" s="4">
        <v>75</v>
      </c>
      <c r="C34" s="1" t="s">
        <v>14</v>
      </c>
      <c r="D34" s="4">
        <v>0</v>
      </c>
      <c r="E34" s="1" t="s">
        <v>14</v>
      </c>
      <c r="F34" s="4">
        <v>70</v>
      </c>
      <c r="G34" s="1" t="s">
        <v>14</v>
      </c>
      <c r="H34" s="4">
        <v>26</v>
      </c>
      <c r="I34" s="4">
        <v>26</v>
      </c>
      <c r="J34" s="1" t="s">
        <v>14</v>
      </c>
      <c r="K34" s="4">
        <v>0</v>
      </c>
      <c r="L34" s="1" t="s">
        <v>14</v>
      </c>
      <c r="M34" s="4">
        <v>56</v>
      </c>
    </row>
    <row r="36" spans="1:14" x14ac:dyDescent="0.2">
      <c r="A36" s="1" t="s">
        <v>15</v>
      </c>
      <c r="B36" s="5">
        <f>SUM(B4:B35)</f>
        <v>2607</v>
      </c>
      <c r="C36" s="5">
        <f t="shared" ref="C36:M36" si="0">SUM(C4:C35)</f>
        <v>1824</v>
      </c>
      <c r="D36" s="5">
        <f t="shared" si="0"/>
        <v>846</v>
      </c>
      <c r="E36" s="5">
        <f t="shared" si="0"/>
        <v>848</v>
      </c>
      <c r="F36" s="5">
        <f t="shared" si="0"/>
        <v>2524</v>
      </c>
      <c r="G36" s="5">
        <f t="shared" si="0"/>
        <v>469</v>
      </c>
      <c r="H36" s="5">
        <f t="shared" si="0"/>
        <v>842</v>
      </c>
      <c r="I36" s="5">
        <f t="shared" si="0"/>
        <v>130</v>
      </c>
      <c r="J36" s="5">
        <f t="shared" si="0"/>
        <v>704</v>
      </c>
      <c r="K36" s="5">
        <f t="shared" si="0"/>
        <v>2153</v>
      </c>
      <c r="L36" s="5">
        <f t="shared" si="0"/>
        <v>1561</v>
      </c>
      <c r="M36" s="5">
        <f t="shared" si="0"/>
        <v>2385</v>
      </c>
      <c r="N36" s="5"/>
    </row>
    <row r="37" spans="1:14" x14ac:dyDescent="0.2">
      <c r="A37" s="1" t="s">
        <v>16</v>
      </c>
      <c r="B37" s="5">
        <f>B36*1.98</f>
        <v>5161.8599999999997</v>
      </c>
      <c r="C37" s="5">
        <f t="shared" ref="C37:M37" si="1">C36*1.98</f>
        <v>3611.52</v>
      </c>
      <c r="D37" s="5">
        <f t="shared" si="1"/>
        <v>1675.08</v>
      </c>
      <c r="E37" s="5">
        <f t="shared" si="1"/>
        <v>1679.04</v>
      </c>
      <c r="F37" s="5">
        <f t="shared" si="1"/>
        <v>4997.5199999999995</v>
      </c>
      <c r="G37" s="5">
        <f t="shared" si="1"/>
        <v>928.62</v>
      </c>
      <c r="H37" s="5">
        <f t="shared" si="1"/>
        <v>1667.16</v>
      </c>
      <c r="I37" s="5">
        <f t="shared" si="1"/>
        <v>257.39999999999998</v>
      </c>
      <c r="J37" s="5">
        <f t="shared" si="1"/>
        <v>1393.92</v>
      </c>
      <c r="K37" s="5">
        <f t="shared" si="1"/>
        <v>4262.9399999999996</v>
      </c>
      <c r="L37" s="5">
        <f t="shared" si="1"/>
        <v>3090.7799999999997</v>
      </c>
      <c r="M37" s="5">
        <f t="shared" si="1"/>
        <v>4722.3</v>
      </c>
      <c r="N37" s="5"/>
    </row>
    <row r="38" spans="1:14" x14ac:dyDescent="0.2">
      <c r="A38" s="1" t="s">
        <v>17</v>
      </c>
      <c r="B38" s="5">
        <f>+B37</f>
        <v>5161.8599999999997</v>
      </c>
      <c r="C38" s="5">
        <f>+B38+C37</f>
        <v>8773.3799999999992</v>
      </c>
      <c r="D38" s="5">
        <f t="shared" ref="D38:M38" si="2">+C38+D37</f>
        <v>10448.459999999999</v>
      </c>
      <c r="E38" s="5">
        <f t="shared" si="2"/>
        <v>12127.5</v>
      </c>
      <c r="F38" s="5">
        <f t="shared" si="2"/>
        <v>17125.02</v>
      </c>
      <c r="G38" s="5">
        <f t="shared" si="2"/>
        <v>18053.64</v>
      </c>
      <c r="H38" s="5">
        <f t="shared" si="2"/>
        <v>19720.8</v>
      </c>
      <c r="I38" s="5">
        <f t="shared" si="2"/>
        <v>19978.2</v>
      </c>
      <c r="J38" s="5">
        <f t="shared" si="2"/>
        <v>21372.120000000003</v>
      </c>
      <c r="K38" s="5">
        <f t="shared" si="2"/>
        <v>25635.06</v>
      </c>
      <c r="L38" s="5">
        <f t="shared" si="2"/>
        <v>28725.84</v>
      </c>
      <c r="M38" s="5">
        <f t="shared" si="2"/>
        <v>33448.14</v>
      </c>
      <c r="N38" s="5"/>
    </row>
    <row r="39" spans="1:14" x14ac:dyDescent="0.2">
      <c r="B39" s="5" t="s">
        <v>14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">
      <c r="A40">
        <v>88</v>
      </c>
      <c r="B40" s="5">
        <v>2637</v>
      </c>
      <c r="C40" s="5">
        <v>4103</v>
      </c>
      <c r="D40" s="5">
        <v>174</v>
      </c>
      <c r="E40" s="5">
        <v>1140</v>
      </c>
      <c r="F40" s="5">
        <v>669</v>
      </c>
      <c r="G40" s="5">
        <v>374</v>
      </c>
      <c r="H40" s="5">
        <v>562</v>
      </c>
      <c r="I40" s="5">
        <v>404</v>
      </c>
      <c r="J40" s="5">
        <v>701</v>
      </c>
      <c r="K40" s="5">
        <v>1703</v>
      </c>
      <c r="L40" s="5">
        <v>1655</v>
      </c>
      <c r="M40" s="5">
        <v>2049</v>
      </c>
      <c r="N40" s="5">
        <f t="shared" ref="N40:N49" si="3">SUM(B40:M40)</f>
        <v>16171</v>
      </c>
    </row>
    <row r="41" spans="1:14" x14ac:dyDescent="0.2">
      <c r="A41">
        <v>89</v>
      </c>
      <c r="B41" s="5">
        <v>1594</v>
      </c>
      <c r="C41" s="5">
        <v>3813</v>
      </c>
      <c r="D41" s="5">
        <v>3586</v>
      </c>
      <c r="E41" s="5">
        <v>420</v>
      </c>
      <c r="F41" s="5">
        <v>879</v>
      </c>
      <c r="G41" s="5">
        <v>255</v>
      </c>
      <c r="H41" s="5">
        <v>362</v>
      </c>
      <c r="I41" s="5">
        <v>838</v>
      </c>
      <c r="J41" s="5">
        <v>4136</v>
      </c>
      <c r="K41" s="5">
        <v>2600</v>
      </c>
      <c r="L41" s="5">
        <v>2020</v>
      </c>
      <c r="M41" s="5">
        <v>1901</v>
      </c>
      <c r="N41" s="5">
        <f t="shared" si="3"/>
        <v>22404</v>
      </c>
    </row>
    <row r="42" spans="1:14" x14ac:dyDescent="0.2">
      <c r="A42">
        <v>90</v>
      </c>
      <c r="B42" s="5">
        <v>3039</v>
      </c>
      <c r="C42" s="5">
        <v>2344</v>
      </c>
      <c r="D42" s="5">
        <v>1679</v>
      </c>
      <c r="E42" s="5">
        <v>1295</v>
      </c>
      <c r="F42" s="5">
        <v>281</v>
      </c>
      <c r="G42" s="5">
        <v>717</v>
      </c>
      <c r="H42" s="5">
        <v>1439</v>
      </c>
      <c r="I42" s="5">
        <v>1228</v>
      </c>
      <c r="J42" s="5">
        <v>2358</v>
      </c>
      <c r="K42" s="5">
        <v>4556</v>
      </c>
      <c r="L42" s="5">
        <v>178</v>
      </c>
      <c r="M42" s="5">
        <v>2608</v>
      </c>
      <c r="N42" s="5">
        <f t="shared" si="3"/>
        <v>21722</v>
      </c>
    </row>
    <row r="43" spans="1:14" x14ac:dyDescent="0.2">
      <c r="A43">
        <v>91</v>
      </c>
      <c r="B43" s="5">
        <v>1566</v>
      </c>
      <c r="C43" s="5">
        <v>1608</v>
      </c>
      <c r="D43" s="5">
        <v>289</v>
      </c>
      <c r="E43" s="5">
        <v>0</v>
      </c>
      <c r="F43" s="5">
        <v>1253</v>
      </c>
      <c r="G43" s="5">
        <v>905</v>
      </c>
      <c r="H43" s="5">
        <v>174</v>
      </c>
      <c r="I43" s="5">
        <v>34</v>
      </c>
      <c r="J43" s="5">
        <v>960</v>
      </c>
      <c r="K43" s="5">
        <v>1857</v>
      </c>
      <c r="L43" s="5">
        <v>1736</v>
      </c>
      <c r="M43" s="5">
        <v>1436</v>
      </c>
      <c r="N43" s="5">
        <f t="shared" si="3"/>
        <v>11818</v>
      </c>
    </row>
    <row r="44" spans="1:14" x14ac:dyDescent="0.2">
      <c r="A44">
        <v>92</v>
      </c>
      <c r="B44" s="5">
        <v>1536</v>
      </c>
      <c r="C44" s="5">
        <v>1279</v>
      </c>
      <c r="D44" s="5">
        <v>507</v>
      </c>
      <c r="E44" s="5">
        <v>0</v>
      </c>
      <c r="F44" s="5">
        <v>784</v>
      </c>
      <c r="G44" s="5">
        <v>248</v>
      </c>
      <c r="H44" s="5">
        <v>18</v>
      </c>
      <c r="I44" s="5">
        <v>16</v>
      </c>
      <c r="J44" s="5">
        <v>3338</v>
      </c>
      <c r="K44" s="5">
        <v>3534</v>
      </c>
      <c r="L44" s="5">
        <v>1536</v>
      </c>
      <c r="M44" s="5">
        <v>1857</v>
      </c>
      <c r="N44" s="5">
        <f t="shared" si="3"/>
        <v>14653</v>
      </c>
    </row>
    <row r="45" spans="1:14" x14ac:dyDescent="0.2">
      <c r="A45">
        <v>93</v>
      </c>
      <c r="B45" s="5">
        <v>1879</v>
      </c>
      <c r="C45" s="5">
        <v>3861</v>
      </c>
      <c r="D45" s="5">
        <v>8928</v>
      </c>
      <c r="E45" s="5">
        <v>2950</v>
      </c>
      <c r="F45" s="5">
        <v>3132</v>
      </c>
      <c r="G45" s="5">
        <v>743</v>
      </c>
      <c r="H45" s="5">
        <v>713</v>
      </c>
      <c r="I45" s="5">
        <v>507</v>
      </c>
      <c r="J45" s="5">
        <v>2192</v>
      </c>
      <c r="K45" s="5">
        <v>1618</v>
      </c>
      <c r="L45" s="5">
        <v>935</v>
      </c>
      <c r="M45" s="5">
        <v>1505</v>
      </c>
      <c r="N45" s="5">
        <f t="shared" si="3"/>
        <v>28963</v>
      </c>
    </row>
    <row r="46" spans="1:14" x14ac:dyDescent="0.2">
      <c r="A46">
        <v>94</v>
      </c>
      <c r="B46" s="5">
        <v>1253</v>
      </c>
      <c r="C46" s="5">
        <v>921</v>
      </c>
      <c r="D46" s="5">
        <v>267</v>
      </c>
      <c r="E46" s="5">
        <v>3113</v>
      </c>
      <c r="F46" s="5">
        <v>3243</v>
      </c>
      <c r="G46" s="5">
        <v>546</v>
      </c>
      <c r="H46" s="5">
        <v>404</v>
      </c>
      <c r="I46" s="5">
        <v>141</v>
      </c>
      <c r="J46" s="5">
        <v>1447</v>
      </c>
      <c r="K46" s="5">
        <v>1984</v>
      </c>
      <c r="L46" s="5">
        <v>1325</v>
      </c>
      <c r="M46" s="5">
        <v>1600</v>
      </c>
      <c r="N46" s="5">
        <f t="shared" si="3"/>
        <v>16244</v>
      </c>
    </row>
    <row r="47" spans="1:14" x14ac:dyDescent="0.2">
      <c r="A47">
        <v>95</v>
      </c>
      <c r="B47" s="5">
        <v>6235</v>
      </c>
      <c r="C47" s="5">
        <v>3572</v>
      </c>
      <c r="D47" s="5">
        <v>2404</v>
      </c>
      <c r="E47" s="5">
        <v>1788</v>
      </c>
      <c r="F47" s="5">
        <v>1893</v>
      </c>
      <c r="G47" s="5">
        <v>616</v>
      </c>
      <c r="H47" s="5">
        <v>600</v>
      </c>
      <c r="I47" s="5">
        <v>158</v>
      </c>
      <c r="J47" s="5">
        <v>1178</v>
      </c>
      <c r="K47" s="5">
        <v>2429</v>
      </c>
      <c r="L47" s="5">
        <v>1093</v>
      </c>
      <c r="M47" s="5">
        <v>3039</v>
      </c>
      <c r="N47" s="5">
        <f t="shared" si="3"/>
        <v>25005</v>
      </c>
    </row>
    <row r="48" spans="1:14" x14ac:dyDescent="0.2">
      <c r="A48">
        <v>96</v>
      </c>
      <c r="B48" s="5">
        <v>3647</v>
      </c>
      <c r="C48" s="5">
        <v>14125</v>
      </c>
      <c r="D48" s="5">
        <v>3051</v>
      </c>
      <c r="E48" s="5">
        <v>2873</v>
      </c>
      <c r="F48" s="5">
        <v>3233</v>
      </c>
      <c r="G48" s="5">
        <v>756</v>
      </c>
      <c r="H48" s="5">
        <v>386</v>
      </c>
      <c r="I48" s="5">
        <v>265</v>
      </c>
      <c r="J48" s="5">
        <v>378</v>
      </c>
      <c r="K48" s="5">
        <v>1867</v>
      </c>
      <c r="L48" s="5">
        <v>1697</v>
      </c>
      <c r="M48" s="5">
        <v>3612</v>
      </c>
      <c r="N48" s="5">
        <f t="shared" si="3"/>
        <v>35890</v>
      </c>
    </row>
    <row r="49" spans="1:14" x14ac:dyDescent="0.2">
      <c r="A49">
        <v>97</v>
      </c>
      <c r="B49" s="6">
        <v>11302</v>
      </c>
      <c r="C49" s="6">
        <v>4360</v>
      </c>
      <c r="D49" s="6">
        <v>1689</v>
      </c>
      <c r="E49" s="6">
        <v>3722</v>
      </c>
      <c r="F49" s="6">
        <v>2740</v>
      </c>
      <c r="G49" s="6">
        <v>432</v>
      </c>
      <c r="H49" s="6">
        <v>774</v>
      </c>
      <c r="I49" s="6">
        <v>107</v>
      </c>
      <c r="J49" s="6">
        <v>2469</v>
      </c>
      <c r="K49" s="6">
        <v>3057</v>
      </c>
      <c r="L49" s="6">
        <v>1818</v>
      </c>
      <c r="M49" s="6">
        <v>1964</v>
      </c>
      <c r="N49" s="5">
        <f t="shared" si="3"/>
        <v>34434</v>
      </c>
    </row>
    <row r="51" spans="1:14" x14ac:dyDescent="0.2">
      <c r="A51" s="1" t="s">
        <v>18</v>
      </c>
      <c r="B51" s="7">
        <f>AVERAGE(B40:B49)</f>
        <v>3468.8</v>
      </c>
      <c r="C51" s="7">
        <f t="shared" ref="C51:M51" si="4">AVERAGE(C40:C49)</f>
        <v>3998.6</v>
      </c>
      <c r="D51" s="7">
        <f t="shared" si="4"/>
        <v>2257.4</v>
      </c>
      <c r="E51" s="7">
        <f t="shared" si="4"/>
        <v>1730.1</v>
      </c>
      <c r="F51" s="7">
        <f t="shared" si="4"/>
        <v>1810.7</v>
      </c>
      <c r="G51" s="7">
        <f t="shared" si="4"/>
        <v>559.20000000000005</v>
      </c>
      <c r="H51" s="7">
        <f t="shared" si="4"/>
        <v>543.20000000000005</v>
      </c>
      <c r="I51" s="7">
        <f t="shared" si="4"/>
        <v>369.8</v>
      </c>
      <c r="J51" s="7">
        <f t="shared" si="4"/>
        <v>1915.7</v>
      </c>
      <c r="K51" s="7">
        <f t="shared" si="4"/>
        <v>2520.5</v>
      </c>
      <c r="L51" s="7">
        <f t="shared" si="4"/>
        <v>1399.3</v>
      </c>
      <c r="M51" s="7">
        <f t="shared" si="4"/>
        <v>2157.1</v>
      </c>
    </row>
    <row r="52" spans="1:14" x14ac:dyDescent="0.2">
      <c r="B52" s="7">
        <f>+B51</f>
        <v>3468.8</v>
      </c>
      <c r="C52" s="7">
        <f t="shared" ref="C52:M52" si="5">+B52+C51</f>
        <v>7467.4</v>
      </c>
      <c r="D52" s="7">
        <f t="shared" si="5"/>
        <v>9724.7999999999993</v>
      </c>
      <c r="E52" s="7">
        <f t="shared" si="5"/>
        <v>11454.9</v>
      </c>
      <c r="F52" s="7">
        <f t="shared" si="5"/>
        <v>13265.6</v>
      </c>
      <c r="G52" s="7">
        <f t="shared" si="5"/>
        <v>13824.800000000001</v>
      </c>
      <c r="H52" s="7">
        <f t="shared" si="5"/>
        <v>14368.000000000002</v>
      </c>
      <c r="I52" s="7">
        <f t="shared" si="5"/>
        <v>14737.800000000001</v>
      </c>
      <c r="J52" s="7">
        <f t="shared" si="5"/>
        <v>16653.5</v>
      </c>
      <c r="K52" s="7">
        <f t="shared" si="5"/>
        <v>19174</v>
      </c>
      <c r="L52" s="7">
        <f t="shared" si="5"/>
        <v>20573.3</v>
      </c>
      <c r="M52" s="7">
        <f t="shared" si="5"/>
        <v>22730.399999999998</v>
      </c>
      <c r="N52" s="7">
        <f>AVERAGE(N40:N49)</f>
        <v>22730.400000000001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1" t="s">
        <v>22</v>
      </c>
      <c r="K1" s="1" t="s">
        <v>22</v>
      </c>
    </row>
    <row r="3" spans="1:13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</row>
    <row r="4" spans="1:13" x14ac:dyDescent="0.2">
      <c r="A4" s="3">
        <v>1</v>
      </c>
      <c r="B4" s="13">
        <v>0</v>
      </c>
      <c r="C4" s="13">
        <v>72</v>
      </c>
      <c r="D4" s="13">
        <v>0</v>
      </c>
      <c r="E4" s="13">
        <v>38.799999999999997</v>
      </c>
      <c r="F4" s="13">
        <v>48</v>
      </c>
      <c r="G4" s="13">
        <v>120</v>
      </c>
      <c r="H4" s="13">
        <v>24</v>
      </c>
      <c r="I4" s="13">
        <v>24</v>
      </c>
      <c r="J4" s="13">
        <v>24</v>
      </c>
      <c r="K4" s="13">
        <v>72</v>
      </c>
      <c r="L4" s="13">
        <v>48</v>
      </c>
      <c r="M4" s="13">
        <v>72</v>
      </c>
    </row>
    <row r="5" spans="1:13" x14ac:dyDescent="0.2">
      <c r="A5" s="3">
        <v>2</v>
      </c>
      <c r="B5" s="13">
        <v>0</v>
      </c>
      <c r="C5" s="13">
        <v>72</v>
      </c>
      <c r="D5" s="13">
        <v>0</v>
      </c>
      <c r="E5" s="13">
        <v>48</v>
      </c>
      <c r="F5" s="13">
        <v>48</v>
      </c>
      <c r="G5" s="13">
        <v>120</v>
      </c>
      <c r="H5" s="13">
        <v>24</v>
      </c>
      <c r="I5" s="13">
        <v>24</v>
      </c>
      <c r="J5" s="13">
        <v>24</v>
      </c>
      <c r="K5" s="13">
        <v>72</v>
      </c>
      <c r="L5" s="13">
        <v>62.3</v>
      </c>
      <c r="M5" s="13">
        <v>71.5</v>
      </c>
    </row>
    <row r="6" spans="1:13" x14ac:dyDescent="0.2">
      <c r="A6" s="3">
        <v>3</v>
      </c>
      <c r="B6" s="13">
        <v>0</v>
      </c>
      <c r="C6" s="13">
        <v>72</v>
      </c>
      <c r="D6" s="13">
        <v>0</v>
      </c>
      <c r="E6" s="13">
        <v>48</v>
      </c>
      <c r="F6" s="13">
        <v>48</v>
      </c>
      <c r="G6" s="13">
        <v>119.8</v>
      </c>
      <c r="H6" s="13">
        <v>24</v>
      </c>
      <c r="I6" s="13">
        <v>24</v>
      </c>
      <c r="J6" s="13">
        <v>24</v>
      </c>
      <c r="K6" s="13">
        <v>72</v>
      </c>
      <c r="L6" s="13">
        <v>72</v>
      </c>
      <c r="M6" s="13">
        <v>63.7</v>
      </c>
    </row>
    <row r="7" spans="1:13" x14ac:dyDescent="0.2">
      <c r="A7" s="3">
        <v>4</v>
      </c>
      <c r="B7" s="13">
        <v>0</v>
      </c>
      <c r="C7" s="13">
        <v>72</v>
      </c>
      <c r="D7" s="13">
        <v>0</v>
      </c>
      <c r="E7" s="13">
        <v>48</v>
      </c>
      <c r="F7" s="13">
        <v>48</v>
      </c>
      <c r="G7" s="13">
        <v>92.4</v>
      </c>
      <c r="H7" s="13">
        <v>24</v>
      </c>
      <c r="I7" s="13">
        <v>24</v>
      </c>
      <c r="J7" s="13">
        <v>24</v>
      </c>
      <c r="K7" s="13">
        <v>72</v>
      </c>
      <c r="L7" s="13">
        <v>72</v>
      </c>
      <c r="M7" s="13">
        <v>72</v>
      </c>
    </row>
    <row r="8" spans="1:13" x14ac:dyDescent="0.2">
      <c r="A8" s="3">
        <v>5</v>
      </c>
      <c r="B8" s="13">
        <v>0</v>
      </c>
      <c r="C8" s="13">
        <v>64.599999999999994</v>
      </c>
      <c r="D8" s="13">
        <v>0</v>
      </c>
      <c r="E8" s="13">
        <v>48</v>
      </c>
      <c r="F8" s="13">
        <v>63.5</v>
      </c>
      <c r="G8" s="13">
        <v>96</v>
      </c>
      <c r="H8" s="13">
        <v>24</v>
      </c>
      <c r="I8" s="13">
        <v>24</v>
      </c>
      <c r="J8" s="13">
        <v>24</v>
      </c>
      <c r="K8" s="13">
        <v>72</v>
      </c>
      <c r="L8" s="13">
        <v>72</v>
      </c>
      <c r="M8" s="13">
        <v>72</v>
      </c>
    </row>
    <row r="9" spans="1:13" x14ac:dyDescent="0.2">
      <c r="A9" s="3">
        <v>6</v>
      </c>
      <c r="B9" s="13">
        <v>0</v>
      </c>
      <c r="C9" s="13">
        <v>72</v>
      </c>
      <c r="D9" s="13">
        <v>0</v>
      </c>
      <c r="E9" s="13">
        <v>48</v>
      </c>
      <c r="F9" s="13">
        <v>72</v>
      </c>
      <c r="G9" s="13">
        <v>96</v>
      </c>
      <c r="H9" s="13">
        <v>24</v>
      </c>
      <c r="I9" s="13">
        <v>24</v>
      </c>
      <c r="J9" s="13">
        <v>24</v>
      </c>
      <c r="K9" s="13">
        <v>72.7</v>
      </c>
      <c r="L9" s="13">
        <v>70.099999999999994</v>
      </c>
      <c r="M9" s="13">
        <v>72</v>
      </c>
    </row>
    <row r="10" spans="1:13" x14ac:dyDescent="0.2">
      <c r="A10" s="3">
        <v>7</v>
      </c>
      <c r="B10" s="13">
        <v>0</v>
      </c>
      <c r="C10" s="13">
        <v>72</v>
      </c>
      <c r="D10" s="13">
        <v>0</v>
      </c>
      <c r="E10" s="13">
        <v>61.4</v>
      </c>
      <c r="F10" s="13">
        <v>84.6</v>
      </c>
      <c r="G10" s="13">
        <v>96</v>
      </c>
      <c r="H10" s="13">
        <v>22.2</v>
      </c>
      <c r="I10" s="13">
        <v>24</v>
      </c>
      <c r="J10" s="13">
        <v>24</v>
      </c>
      <c r="K10" s="13">
        <v>72</v>
      </c>
      <c r="L10" s="13">
        <v>71.7</v>
      </c>
      <c r="M10" s="13">
        <v>72</v>
      </c>
    </row>
    <row r="11" spans="1:13" x14ac:dyDescent="0.2">
      <c r="A11" s="3">
        <v>8</v>
      </c>
      <c r="B11" s="13">
        <v>0</v>
      </c>
      <c r="C11" s="13">
        <v>72</v>
      </c>
      <c r="D11" s="13">
        <v>0</v>
      </c>
      <c r="E11" s="13">
        <v>71.400000000000006</v>
      </c>
      <c r="F11" s="13">
        <v>96</v>
      </c>
      <c r="G11" s="13">
        <v>96</v>
      </c>
      <c r="H11" s="13">
        <v>24</v>
      </c>
      <c r="I11" s="13">
        <v>24</v>
      </c>
      <c r="J11" s="13">
        <v>39.5</v>
      </c>
      <c r="K11" s="13">
        <v>64.7</v>
      </c>
      <c r="L11" s="13">
        <v>72</v>
      </c>
      <c r="M11" s="13">
        <v>72</v>
      </c>
    </row>
    <row r="12" spans="1:13" x14ac:dyDescent="0.2">
      <c r="A12" s="3">
        <v>9</v>
      </c>
      <c r="B12" s="13">
        <v>0</v>
      </c>
      <c r="C12" s="13">
        <v>72</v>
      </c>
      <c r="D12" s="13">
        <v>0</v>
      </c>
      <c r="E12" s="13">
        <v>70.8</v>
      </c>
      <c r="F12" s="13">
        <v>96</v>
      </c>
      <c r="G12" s="13">
        <v>83.7</v>
      </c>
      <c r="H12" s="13">
        <v>24</v>
      </c>
      <c r="I12" s="13">
        <v>24</v>
      </c>
      <c r="J12" s="13">
        <v>44.9</v>
      </c>
      <c r="K12" s="13">
        <v>32</v>
      </c>
      <c r="L12" s="13">
        <v>72</v>
      </c>
      <c r="M12" s="13">
        <v>72</v>
      </c>
    </row>
    <row r="13" spans="1:13" x14ac:dyDescent="0.2">
      <c r="A13" s="3">
        <v>10</v>
      </c>
      <c r="B13" s="13">
        <v>0</v>
      </c>
      <c r="C13" s="13">
        <v>72</v>
      </c>
      <c r="D13" s="13">
        <v>0</v>
      </c>
      <c r="E13" s="13">
        <v>72</v>
      </c>
      <c r="F13" s="13">
        <v>96</v>
      </c>
      <c r="G13" s="13">
        <v>96</v>
      </c>
      <c r="H13" s="13">
        <v>24</v>
      </c>
      <c r="I13" s="13">
        <v>24</v>
      </c>
      <c r="J13" s="13">
        <v>47.8</v>
      </c>
      <c r="K13" s="13">
        <v>69.2</v>
      </c>
      <c r="L13" s="13">
        <v>72</v>
      </c>
      <c r="M13" s="13">
        <v>72</v>
      </c>
    </row>
    <row r="14" spans="1:13" x14ac:dyDescent="0.2">
      <c r="A14" s="3">
        <v>11</v>
      </c>
      <c r="B14" s="13">
        <v>0</v>
      </c>
      <c r="C14" s="13">
        <v>72</v>
      </c>
      <c r="D14" s="13">
        <v>0</v>
      </c>
      <c r="E14" s="13">
        <v>72</v>
      </c>
      <c r="F14" s="13">
        <v>96</v>
      </c>
      <c r="G14" s="13">
        <v>96</v>
      </c>
      <c r="H14" s="13">
        <v>24</v>
      </c>
      <c r="I14" s="13">
        <v>24</v>
      </c>
      <c r="J14" s="13">
        <v>48</v>
      </c>
      <c r="K14" s="13">
        <v>72</v>
      </c>
      <c r="L14" s="13">
        <v>72</v>
      </c>
      <c r="M14" s="13">
        <v>72</v>
      </c>
    </row>
    <row r="15" spans="1:13" x14ac:dyDescent="0.2">
      <c r="A15" s="3">
        <v>12</v>
      </c>
      <c r="B15" s="13">
        <v>0</v>
      </c>
      <c r="C15" s="13">
        <v>72</v>
      </c>
      <c r="D15" s="13">
        <v>0</v>
      </c>
      <c r="E15" s="13">
        <v>72</v>
      </c>
      <c r="F15" s="13">
        <v>96</v>
      </c>
      <c r="G15" s="13">
        <v>89.5</v>
      </c>
      <c r="H15" s="13">
        <v>24</v>
      </c>
      <c r="I15" s="13">
        <v>24</v>
      </c>
      <c r="J15" s="13">
        <v>48</v>
      </c>
      <c r="K15" s="13">
        <v>72</v>
      </c>
      <c r="L15" s="13">
        <v>72</v>
      </c>
      <c r="M15" s="13">
        <v>72</v>
      </c>
    </row>
    <row r="16" spans="1:13" x14ac:dyDescent="0.2">
      <c r="A16" s="3">
        <v>13</v>
      </c>
      <c r="B16" s="13">
        <v>0</v>
      </c>
      <c r="C16" s="13">
        <v>62.4</v>
      </c>
      <c r="D16" s="13">
        <v>0</v>
      </c>
      <c r="E16" s="13">
        <v>72</v>
      </c>
      <c r="F16" s="13">
        <v>96</v>
      </c>
      <c r="G16" s="13">
        <v>96</v>
      </c>
      <c r="H16" s="13">
        <v>24</v>
      </c>
      <c r="I16" s="13">
        <v>24</v>
      </c>
      <c r="J16" s="13">
        <v>48</v>
      </c>
      <c r="K16" s="13">
        <v>87.1</v>
      </c>
      <c r="L16" s="13">
        <v>72</v>
      </c>
      <c r="M16" s="13">
        <v>72</v>
      </c>
    </row>
    <row r="17" spans="1:13" x14ac:dyDescent="0.2">
      <c r="A17" s="3">
        <v>14</v>
      </c>
      <c r="B17" s="13">
        <v>0</v>
      </c>
      <c r="C17" s="13">
        <v>48</v>
      </c>
      <c r="D17" s="13">
        <v>0</v>
      </c>
      <c r="E17" s="13">
        <v>72</v>
      </c>
      <c r="F17" s="13">
        <v>96</v>
      </c>
      <c r="G17" s="13">
        <v>96</v>
      </c>
      <c r="H17" s="13">
        <v>24</v>
      </c>
      <c r="I17" s="13">
        <v>24</v>
      </c>
      <c r="J17" s="13">
        <v>48</v>
      </c>
      <c r="K17" s="13">
        <v>96</v>
      </c>
      <c r="L17" s="13">
        <v>72</v>
      </c>
      <c r="M17" s="13">
        <v>72</v>
      </c>
    </row>
    <row r="18" spans="1:13" x14ac:dyDescent="0.2">
      <c r="A18" s="3">
        <v>15</v>
      </c>
      <c r="B18" s="13">
        <v>30</v>
      </c>
      <c r="C18" s="13">
        <v>48</v>
      </c>
      <c r="D18" s="13">
        <v>0</v>
      </c>
      <c r="E18" s="13">
        <v>72</v>
      </c>
      <c r="F18" s="13">
        <v>96</v>
      </c>
      <c r="G18" s="13">
        <v>96</v>
      </c>
      <c r="H18" s="13">
        <v>24</v>
      </c>
      <c r="I18" s="13">
        <v>24</v>
      </c>
      <c r="J18" s="13">
        <v>48</v>
      </c>
      <c r="K18" s="13">
        <v>96</v>
      </c>
      <c r="L18" s="13">
        <v>72</v>
      </c>
      <c r="M18" s="13">
        <v>72</v>
      </c>
    </row>
    <row r="19" spans="1:13" x14ac:dyDescent="0.2">
      <c r="A19" s="3">
        <v>16</v>
      </c>
      <c r="B19" s="13">
        <v>48</v>
      </c>
      <c r="C19" s="13">
        <v>48</v>
      </c>
      <c r="D19" s="13">
        <v>0</v>
      </c>
      <c r="E19" s="13">
        <v>72</v>
      </c>
      <c r="F19" s="13">
        <v>96</v>
      </c>
      <c r="G19" s="13">
        <v>96</v>
      </c>
      <c r="H19" s="13">
        <v>24</v>
      </c>
      <c r="I19" s="13">
        <v>24</v>
      </c>
      <c r="J19" s="13">
        <v>64.3</v>
      </c>
      <c r="K19" s="13">
        <v>96</v>
      </c>
      <c r="L19" s="13">
        <v>72</v>
      </c>
      <c r="M19" s="13">
        <v>72</v>
      </c>
    </row>
    <row r="20" spans="1:13" x14ac:dyDescent="0.2">
      <c r="A20" s="3">
        <v>17</v>
      </c>
      <c r="B20" s="13">
        <v>26.5</v>
      </c>
      <c r="C20" s="13">
        <v>31</v>
      </c>
      <c r="D20" s="13">
        <v>0</v>
      </c>
      <c r="E20" s="13">
        <v>57</v>
      </c>
      <c r="F20" s="13">
        <v>96</v>
      </c>
      <c r="G20" s="13">
        <v>96</v>
      </c>
      <c r="H20" s="13">
        <v>24</v>
      </c>
      <c r="I20" s="13">
        <v>24</v>
      </c>
      <c r="J20" s="13">
        <v>56.5</v>
      </c>
      <c r="K20" s="13">
        <v>96</v>
      </c>
      <c r="L20" s="13">
        <v>72</v>
      </c>
      <c r="M20" s="13">
        <v>72</v>
      </c>
    </row>
    <row r="21" spans="1:13" x14ac:dyDescent="0.2">
      <c r="A21" s="3">
        <v>18</v>
      </c>
      <c r="B21" s="13">
        <v>24</v>
      </c>
      <c r="C21" s="13">
        <v>0</v>
      </c>
      <c r="D21" s="13">
        <v>0</v>
      </c>
      <c r="E21" s="13">
        <v>48</v>
      </c>
      <c r="F21" s="13">
        <v>94.8</v>
      </c>
      <c r="G21" s="13">
        <v>81.2</v>
      </c>
      <c r="H21" s="13">
        <v>24</v>
      </c>
      <c r="I21" s="13">
        <v>24</v>
      </c>
      <c r="J21" s="13">
        <v>47.5</v>
      </c>
      <c r="K21" s="13">
        <v>96</v>
      </c>
      <c r="L21" s="13">
        <v>72</v>
      </c>
      <c r="M21" s="13">
        <v>72</v>
      </c>
    </row>
    <row r="22" spans="1:13" x14ac:dyDescent="0.2">
      <c r="A22" s="3">
        <v>19</v>
      </c>
      <c r="B22" s="13">
        <v>24</v>
      </c>
      <c r="C22" s="13">
        <v>0</v>
      </c>
      <c r="D22" s="13">
        <v>0</v>
      </c>
      <c r="E22" s="13">
        <v>48</v>
      </c>
      <c r="F22" s="13">
        <v>96</v>
      </c>
      <c r="G22" s="13">
        <v>59</v>
      </c>
      <c r="H22" s="13">
        <v>24</v>
      </c>
      <c r="I22" s="13">
        <v>24</v>
      </c>
      <c r="J22" s="13">
        <v>47.6</v>
      </c>
      <c r="K22" s="13">
        <v>96</v>
      </c>
      <c r="L22" s="13">
        <v>72</v>
      </c>
      <c r="M22" s="13">
        <v>72</v>
      </c>
    </row>
    <row r="23" spans="1:13" x14ac:dyDescent="0.2">
      <c r="A23" s="3">
        <v>20</v>
      </c>
      <c r="B23" s="13">
        <v>38.6</v>
      </c>
      <c r="C23" s="13">
        <v>0</v>
      </c>
      <c r="D23" s="13">
        <v>0</v>
      </c>
      <c r="E23" s="13">
        <v>48</v>
      </c>
      <c r="F23" s="13">
        <v>96</v>
      </c>
      <c r="G23" s="13">
        <v>48</v>
      </c>
      <c r="H23" s="13">
        <v>24</v>
      </c>
      <c r="I23" s="13">
        <v>24</v>
      </c>
      <c r="J23" s="13">
        <v>48</v>
      </c>
      <c r="K23" s="13">
        <v>80.5</v>
      </c>
      <c r="L23" s="13">
        <v>72</v>
      </c>
      <c r="M23" s="13">
        <v>55.4</v>
      </c>
    </row>
    <row r="24" spans="1:13" x14ac:dyDescent="0.2">
      <c r="A24" s="3">
        <v>21</v>
      </c>
      <c r="B24" s="13">
        <v>48</v>
      </c>
      <c r="C24" s="13">
        <v>0</v>
      </c>
      <c r="D24" s="13">
        <v>0</v>
      </c>
      <c r="E24" s="13">
        <v>48</v>
      </c>
      <c r="F24" s="13">
        <v>96</v>
      </c>
      <c r="G24" s="13">
        <v>40.200000000000003</v>
      </c>
      <c r="H24" s="13">
        <v>24</v>
      </c>
      <c r="I24" s="13">
        <v>24</v>
      </c>
      <c r="J24" s="13">
        <v>48</v>
      </c>
      <c r="K24" s="13">
        <v>72</v>
      </c>
      <c r="L24" s="13">
        <v>72</v>
      </c>
      <c r="M24" s="13">
        <v>62.7</v>
      </c>
    </row>
    <row r="25" spans="1:13" x14ac:dyDescent="0.2">
      <c r="A25" s="3">
        <v>22</v>
      </c>
      <c r="B25" s="13">
        <v>62.4</v>
      </c>
      <c r="C25" s="13">
        <v>0</v>
      </c>
      <c r="D25" s="13">
        <v>0</v>
      </c>
      <c r="E25" s="13">
        <v>48</v>
      </c>
      <c r="F25" s="13">
        <v>96</v>
      </c>
      <c r="G25" s="13">
        <v>15.3</v>
      </c>
      <c r="H25" s="13">
        <v>19.899999999999999</v>
      </c>
      <c r="I25" s="13">
        <v>24</v>
      </c>
      <c r="J25" s="13">
        <v>48</v>
      </c>
      <c r="K25" s="13">
        <v>72</v>
      </c>
      <c r="L25" s="13">
        <v>72</v>
      </c>
      <c r="M25" s="13">
        <v>72</v>
      </c>
    </row>
    <row r="26" spans="1:13" x14ac:dyDescent="0.2">
      <c r="A26" s="3">
        <v>23</v>
      </c>
      <c r="B26" s="13">
        <v>72</v>
      </c>
      <c r="C26" s="13">
        <v>0</v>
      </c>
      <c r="D26" s="13">
        <v>0</v>
      </c>
      <c r="E26" s="13">
        <v>33.9</v>
      </c>
      <c r="F26" s="13">
        <v>96</v>
      </c>
      <c r="G26" s="13">
        <v>24</v>
      </c>
      <c r="H26" s="13">
        <v>16.600000000000001</v>
      </c>
      <c r="I26" s="13">
        <v>24</v>
      </c>
      <c r="J26" s="13">
        <v>48</v>
      </c>
      <c r="K26" s="13">
        <v>57.3</v>
      </c>
      <c r="L26" s="13">
        <v>63.5</v>
      </c>
      <c r="M26" s="13">
        <v>45</v>
      </c>
    </row>
    <row r="27" spans="1:13" x14ac:dyDescent="0.2">
      <c r="A27" s="3">
        <v>24</v>
      </c>
      <c r="B27" s="13">
        <v>72</v>
      </c>
      <c r="C27" s="13">
        <v>0</v>
      </c>
      <c r="D27" s="13">
        <v>0</v>
      </c>
      <c r="E27" s="13">
        <v>48</v>
      </c>
      <c r="F27" s="13">
        <v>96</v>
      </c>
      <c r="G27" s="13">
        <v>24</v>
      </c>
      <c r="H27" s="13">
        <v>24</v>
      </c>
      <c r="I27" s="13">
        <v>24</v>
      </c>
      <c r="J27" s="13">
        <v>63</v>
      </c>
      <c r="K27" s="13">
        <v>48</v>
      </c>
      <c r="L27" s="13">
        <v>62.8</v>
      </c>
      <c r="M27" s="13">
        <v>0</v>
      </c>
    </row>
    <row r="28" spans="1:13" x14ac:dyDescent="0.2">
      <c r="A28" s="3">
        <v>25</v>
      </c>
      <c r="B28" s="13">
        <v>72</v>
      </c>
      <c r="C28" s="13">
        <v>0</v>
      </c>
      <c r="D28" s="13">
        <v>0</v>
      </c>
      <c r="E28" s="13">
        <v>48</v>
      </c>
      <c r="F28" s="13">
        <v>96</v>
      </c>
      <c r="G28" s="13">
        <v>24</v>
      </c>
      <c r="H28" s="13">
        <v>24</v>
      </c>
      <c r="I28" s="13">
        <v>24</v>
      </c>
      <c r="J28" s="13">
        <v>72</v>
      </c>
      <c r="K28" s="13">
        <v>48</v>
      </c>
      <c r="L28" s="13">
        <v>71.2</v>
      </c>
      <c r="M28" s="13">
        <v>0</v>
      </c>
    </row>
    <row r="29" spans="1:13" x14ac:dyDescent="0.2">
      <c r="A29" s="3">
        <v>26</v>
      </c>
      <c r="B29" s="13">
        <v>72</v>
      </c>
      <c r="C29" s="13">
        <v>0</v>
      </c>
      <c r="D29" s="13">
        <v>0</v>
      </c>
      <c r="E29" s="13">
        <v>48</v>
      </c>
      <c r="F29" s="13">
        <v>96</v>
      </c>
      <c r="G29" s="13">
        <v>24</v>
      </c>
      <c r="H29" s="13">
        <v>24</v>
      </c>
      <c r="I29" s="13">
        <v>24</v>
      </c>
      <c r="J29" s="13">
        <v>72</v>
      </c>
      <c r="K29" s="13">
        <v>48</v>
      </c>
      <c r="L29" s="13">
        <v>72</v>
      </c>
      <c r="M29" s="13">
        <v>0</v>
      </c>
    </row>
    <row r="30" spans="1:13" x14ac:dyDescent="0.2">
      <c r="A30" s="3">
        <v>27</v>
      </c>
      <c r="B30" s="13">
        <v>72</v>
      </c>
      <c r="C30" s="13">
        <v>0</v>
      </c>
      <c r="D30" s="13">
        <v>0</v>
      </c>
      <c r="E30" s="13">
        <v>48</v>
      </c>
      <c r="F30" s="13">
        <v>96</v>
      </c>
      <c r="G30" s="13">
        <v>24</v>
      </c>
      <c r="H30" s="13">
        <v>24</v>
      </c>
      <c r="I30" s="13">
        <v>24</v>
      </c>
      <c r="J30" s="13">
        <v>65.7</v>
      </c>
      <c r="K30" s="13">
        <v>48</v>
      </c>
      <c r="L30" s="13">
        <v>72</v>
      </c>
      <c r="M30" s="13">
        <v>0</v>
      </c>
    </row>
    <row r="31" spans="1:13" x14ac:dyDescent="0.2">
      <c r="A31" s="3">
        <v>28</v>
      </c>
      <c r="B31" s="13">
        <v>70.8</v>
      </c>
      <c r="C31" s="13">
        <v>0</v>
      </c>
      <c r="D31" s="13">
        <v>8.9</v>
      </c>
      <c r="E31" s="13">
        <v>48</v>
      </c>
      <c r="F31" s="13">
        <v>96</v>
      </c>
      <c r="G31" s="13">
        <v>24</v>
      </c>
      <c r="H31" s="13">
        <v>24</v>
      </c>
      <c r="I31" s="13">
        <v>24</v>
      </c>
      <c r="J31" s="13">
        <v>62.4</v>
      </c>
      <c r="K31" s="13">
        <v>48</v>
      </c>
      <c r="L31" s="13">
        <v>72</v>
      </c>
      <c r="M31" s="13">
        <v>44.1</v>
      </c>
    </row>
    <row r="32" spans="1:13" x14ac:dyDescent="0.2">
      <c r="A32" s="3">
        <v>29</v>
      </c>
      <c r="B32" s="13">
        <v>71.8</v>
      </c>
      <c r="C32" s="1" t="s">
        <v>14</v>
      </c>
      <c r="D32" s="13">
        <v>21.4</v>
      </c>
      <c r="E32" s="13">
        <v>48</v>
      </c>
      <c r="F32" s="13">
        <v>96</v>
      </c>
      <c r="G32" s="13">
        <v>24</v>
      </c>
      <c r="H32" s="13">
        <v>24</v>
      </c>
      <c r="I32" s="13">
        <v>24</v>
      </c>
      <c r="J32" s="13">
        <v>72</v>
      </c>
      <c r="K32" s="13">
        <v>46</v>
      </c>
      <c r="L32" s="13">
        <v>72</v>
      </c>
      <c r="M32" s="13">
        <v>72</v>
      </c>
    </row>
    <row r="33" spans="1:15" x14ac:dyDescent="0.2">
      <c r="A33" s="3">
        <v>30</v>
      </c>
      <c r="B33" s="13">
        <v>72</v>
      </c>
      <c r="C33" s="1" t="s">
        <v>14</v>
      </c>
      <c r="D33" s="13">
        <v>24</v>
      </c>
      <c r="E33" s="13">
        <v>48</v>
      </c>
      <c r="F33" s="13">
        <v>96</v>
      </c>
      <c r="G33" s="13">
        <v>24</v>
      </c>
      <c r="H33" s="13">
        <v>24</v>
      </c>
      <c r="I33" s="13">
        <v>24</v>
      </c>
      <c r="J33" s="13">
        <v>72</v>
      </c>
      <c r="K33" s="13">
        <v>48</v>
      </c>
      <c r="L33" s="13">
        <v>72</v>
      </c>
      <c r="M33" s="13">
        <v>72</v>
      </c>
    </row>
    <row r="34" spans="1:15" x14ac:dyDescent="0.2">
      <c r="A34" s="3">
        <v>31</v>
      </c>
      <c r="B34" s="13">
        <v>72</v>
      </c>
      <c r="C34" s="1" t="s">
        <v>14</v>
      </c>
      <c r="D34" s="13">
        <v>16.399999999999999</v>
      </c>
      <c r="E34" s="1" t="s">
        <v>14</v>
      </c>
      <c r="F34" s="13">
        <v>96</v>
      </c>
      <c r="G34" s="14" t="s">
        <v>14</v>
      </c>
      <c r="H34" s="13">
        <v>24</v>
      </c>
      <c r="I34" s="13">
        <v>24</v>
      </c>
      <c r="J34" s="1" t="s">
        <v>14</v>
      </c>
      <c r="K34" s="13">
        <v>48</v>
      </c>
      <c r="L34" s="1" t="s">
        <v>14</v>
      </c>
      <c r="M34" s="13">
        <v>72</v>
      </c>
    </row>
    <row r="36" spans="1:15" x14ac:dyDescent="0.2">
      <c r="A36" s="15" t="s">
        <v>23</v>
      </c>
      <c r="B36" s="16">
        <f>SUM(B4:B35)</f>
        <v>948.09999999999991</v>
      </c>
      <c r="C36" s="16">
        <f t="shared" ref="C36:M36" si="0">SUM(C4:C35)</f>
        <v>1094</v>
      </c>
      <c r="D36" s="16">
        <f t="shared" si="0"/>
        <v>70.699999999999989</v>
      </c>
      <c r="E36" s="16">
        <f t="shared" si="0"/>
        <v>1653.3000000000002</v>
      </c>
      <c r="F36" s="16">
        <f t="shared" si="0"/>
        <v>2714.8999999999996</v>
      </c>
      <c r="G36" s="16">
        <f t="shared" si="0"/>
        <v>2117.1000000000004</v>
      </c>
      <c r="H36" s="16">
        <f t="shared" si="0"/>
        <v>730.7</v>
      </c>
      <c r="I36" s="16">
        <f t="shared" si="0"/>
        <v>744</v>
      </c>
      <c r="J36" s="16">
        <f t="shared" si="0"/>
        <v>1427.2</v>
      </c>
      <c r="K36" s="16">
        <f t="shared" si="0"/>
        <v>2141.5</v>
      </c>
      <c r="L36" s="16">
        <f t="shared" si="0"/>
        <v>2105.6</v>
      </c>
      <c r="M36" s="16">
        <f t="shared" si="0"/>
        <v>1854.4</v>
      </c>
      <c r="N36" s="5"/>
    </row>
    <row r="37" spans="1:15" x14ac:dyDescent="0.2">
      <c r="A37" s="15" t="s">
        <v>24</v>
      </c>
      <c r="B37" s="16">
        <f>+B36</f>
        <v>948.09999999999991</v>
      </c>
      <c r="C37" s="16">
        <f>+B37+C36</f>
        <v>2042.1</v>
      </c>
      <c r="D37" s="16">
        <f t="shared" ref="D37:L37" si="1">+C37+D36</f>
        <v>2112.7999999999997</v>
      </c>
      <c r="E37" s="16">
        <f t="shared" si="1"/>
        <v>3766.1</v>
      </c>
      <c r="F37" s="16">
        <f t="shared" si="1"/>
        <v>6481</v>
      </c>
      <c r="G37" s="16">
        <f t="shared" si="1"/>
        <v>8598.1</v>
      </c>
      <c r="H37" s="16">
        <f t="shared" si="1"/>
        <v>9328.8000000000011</v>
      </c>
      <c r="I37" s="16">
        <f t="shared" si="1"/>
        <v>10072.800000000001</v>
      </c>
      <c r="J37" s="16">
        <f t="shared" si="1"/>
        <v>11500.000000000002</v>
      </c>
      <c r="K37" s="16">
        <f t="shared" si="1"/>
        <v>13641.500000000002</v>
      </c>
      <c r="L37" s="16">
        <f t="shared" si="1"/>
        <v>15747.100000000002</v>
      </c>
      <c r="M37" s="16">
        <f>+L37+M36</f>
        <v>17601.500000000004</v>
      </c>
      <c r="N37" s="5"/>
    </row>
    <row r="38" spans="1:15" x14ac:dyDescent="0.2">
      <c r="A38" s="15" t="s">
        <v>14</v>
      </c>
      <c r="B38" s="15" t="s">
        <v>14</v>
      </c>
      <c r="C38" s="15" t="s">
        <v>14</v>
      </c>
      <c r="D38" s="15" t="s">
        <v>14</v>
      </c>
      <c r="E38" s="15" t="s">
        <v>14</v>
      </c>
      <c r="F38" s="15" t="s">
        <v>14</v>
      </c>
      <c r="G38" s="15" t="s">
        <v>14</v>
      </c>
      <c r="H38" s="15" t="s">
        <v>14</v>
      </c>
      <c r="I38" s="15" t="s">
        <v>14</v>
      </c>
      <c r="J38" s="15" t="s">
        <v>14</v>
      </c>
      <c r="K38" s="15" t="s">
        <v>14</v>
      </c>
      <c r="L38" s="15" t="s">
        <v>14</v>
      </c>
      <c r="M38" s="15" t="s">
        <v>14</v>
      </c>
      <c r="N38" s="15" t="s">
        <v>14</v>
      </c>
      <c r="O38" s="15" t="s">
        <v>14</v>
      </c>
    </row>
    <row r="39" spans="1:15" x14ac:dyDescent="0.2">
      <c r="A39" s="15" t="s">
        <v>14</v>
      </c>
      <c r="B39" s="15" t="s">
        <v>14</v>
      </c>
      <c r="C39" s="15" t="s">
        <v>14</v>
      </c>
      <c r="D39" s="15" t="s">
        <v>14</v>
      </c>
      <c r="E39" s="15" t="s">
        <v>14</v>
      </c>
      <c r="F39" s="15" t="s">
        <v>14</v>
      </c>
      <c r="G39" s="15" t="s">
        <v>14</v>
      </c>
      <c r="H39" s="15" t="s">
        <v>14</v>
      </c>
      <c r="I39" s="15" t="s">
        <v>14</v>
      </c>
      <c r="J39" s="15" t="s">
        <v>14</v>
      </c>
      <c r="K39" s="15" t="s">
        <v>14</v>
      </c>
      <c r="L39" s="15" t="s">
        <v>14</v>
      </c>
      <c r="M39" s="15" t="s">
        <v>14</v>
      </c>
      <c r="N39" s="15" t="s">
        <v>14</v>
      </c>
      <c r="O39" s="15" t="s">
        <v>14</v>
      </c>
    </row>
    <row r="40" spans="1:15" x14ac:dyDescent="0.2">
      <c r="A40" s="15" t="s">
        <v>14</v>
      </c>
      <c r="B40" s="15" t="s">
        <v>14</v>
      </c>
      <c r="C40" s="15" t="s">
        <v>14</v>
      </c>
      <c r="D40" s="15" t="s">
        <v>14</v>
      </c>
      <c r="E40" s="15" t="s">
        <v>14</v>
      </c>
      <c r="F40" s="15" t="s">
        <v>14</v>
      </c>
      <c r="G40" s="15" t="s">
        <v>14</v>
      </c>
      <c r="H40" s="15" t="s">
        <v>14</v>
      </c>
      <c r="I40" s="15" t="s">
        <v>14</v>
      </c>
      <c r="J40" s="15" t="s">
        <v>14</v>
      </c>
      <c r="K40" s="15" t="s">
        <v>14</v>
      </c>
      <c r="L40" s="15" t="s">
        <v>14</v>
      </c>
      <c r="M40" s="15" t="s">
        <v>14</v>
      </c>
      <c r="N40" s="15" t="s">
        <v>14</v>
      </c>
      <c r="O40" s="15" t="s">
        <v>14</v>
      </c>
    </row>
    <row r="41" spans="1:15" x14ac:dyDescent="0.2">
      <c r="A41" s="15" t="s">
        <v>14</v>
      </c>
      <c r="B41" s="15" t="s">
        <v>14</v>
      </c>
      <c r="C41" s="15" t="s">
        <v>14</v>
      </c>
      <c r="D41" s="15" t="s">
        <v>14</v>
      </c>
      <c r="E41" s="15" t="s">
        <v>14</v>
      </c>
      <c r="F41" s="15" t="s">
        <v>14</v>
      </c>
      <c r="G41" s="15" t="s">
        <v>14</v>
      </c>
      <c r="H41" s="15" t="s">
        <v>14</v>
      </c>
      <c r="I41" s="15" t="s">
        <v>14</v>
      </c>
      <c r="J41" s="15" t="s">
        <v>14</v>
      </c>
      <c r="K41" s="15" t="s">
        <v>14</v>
      </c>
      <c r="L41" s="15" t="s">
        <v>14</v>
      </c>
      <c r="M41" s="15" t="s">
        <v>14</v>
      </c>
      <c r="N41" s="15" t="s">
        <v>14</v>
      </c>
      <c r="O41" s="15" t="s">
        <v>14</v>
      </c>
    </row>
    <row r="42" spans="1:15" x14ac:dyDescent="0.2">
      <c r="A42" s="15" t="s">
        <v>14</v>
      </c>
      <c r="B42" s="15" t="s">
        <v>14</v>
      </c>
      <c r="C42" s="15" t="s">
        <v>14</v>
      </c>
      <c r="D42" s="15" t="s">
        <v>14</v>
      </c>
      <c r="E42" s="15" t="s">
        <v>14</v>
      </c>
      <c r="F42" s="15" t="s">
        <v>14</v>
      </c>
      <c r="G42" s="15" t="s">
        <v>14</v>
      </c>
      <c r="H42" s="15" t="s">
        <v>14</v>
      </c>
      <c r="I42" s="15" t="s">
        <v>14</v>
      </c>
      <c r="J42" s="15" t="s">
        <v>14</v>
      </c>
      <c r="K42" s="15" t="s">
        <v>14</v>
      </c>
      <c r="L42" s="15" t="s">
        <v>14</v>
      </c>
      <c r="M42" s="15" t="s">
        <v>14</v>
      </c>
      <c r="N42" s="15" t="s">
        <v>14</v>
      </c>
      <c r="O42" s="15" t="s">
        <v>14</v>
      </c>
    </row>
    <row r="43" spans="1:15" x14ac:dyDescent="0.2">
      <c r="A43" s="15" t="s">
        <v>14</v>
      </c>
      <c r="B43" s="15" t="s">
        <v>14</v>
      </c>
      <c r="C43" s="15" t="s">
        <v>14</v>
      </c>
      <c r="D43" s="15" t="s">
        <v>14</v>
      </c>
      <c r="E43" s="15" t="s">
        <v>14</v>
      </c>
      <c r="F43" s="15" t="s">
        <v>14</v>
      </c>
      <c r="G43" s="15" t="s">
        <v>14</v>
      </c>
      <c r="H43" s="15" t="s">
        <v>14</v>
      </c>
      <c r="I43" s="15" t="s">
        <v>14</v>
      </c>
      <c r="J43" s="15" t="s">
        <v>14</v>
      </c>
      <c r="K43" s="15" t="s">
        <v>14</v>
      </c>
      <c r="L43" s="15" t="s">
        <v>14</v>
      </c>
      <c r="M43" s="15" t="s">
        <v>14</v>
      </c>
      <c r="N43" s="15" t="s">
        <v>14</v>
      </c>
      <c r="O43" s="15" t="s">
        <v>14</v>
      </c>
    </row>
    <row r="44" spans="1:15" x14ac:dyDescent="0.2">
      <c r="A44" s="15" t="s">
        <v>14</v>
      </c>
      <c r="B44" s="15" t="s">
        <v>14</v>
      </c>
      <c r="C44" s="15" t="s">
        <v>14</v>
      </c>
      <c r="D44" s="15" t="s">
        <v>14</v>
      </c>
      <c r="E44" s="15" t="s">
        <v>14</v>
      </c>
      <c r="F44" s="15" t="s">
        <v>14</v>
      </c>
      <c r="G44" s="15" t="s">
        <v>14</v>
      </c>
      <c r="H44" s="15" t="s">
        <v>14</v>
      </c>
      <c r="I44" s="15" t="s">
        <v>14</v>
      </c>
      <c r="J44" s="15" t="s">
        <v>14</v>
      </c>
      <c r="K44" s="15" t="s">
        <v>14</v>
      </c>
      <c r="L44" s="15" t="s">
        <v>14</v>
      </c>
      <c r="M44" s="15" t="s">
        <v>14</v>
      </c>
      <c r="N44" s="15" t="s">
        <v>14</v>
      </c>
      <c r="O44" s="15" t="s">
        <v>14</v>
      </c>
    </row>
    <row r="45" spans="1:15" x14ac:dyDescent="0.2">
      <c r="A45" s="15" t="s">
        <v>14</v>
      </c>
      <c r="B45" s="15" t="s">
        <v>14</v>
      </c>
      <c r="C45" s="15" t="s">
        <v>14</v>
      </c>
      <c r="D45" s="15" t="s">
        <v>14</v>
      </c>
      <c r="E45" s="15" t="s">
        <v>14</v>
      </c>
      <c r="F45" s="15" t="s">
        <v>14</v>
      </c>
      <c r="G45" s="15" t="s">
        <v>14</v>
      </c>
      <c r="H45" s="15" t="s">
        <v>14</v>
      </c>
      <c r="I45" s="15" t="s">
        <v>14</v>
      </c>
      <c r="J45" s="15" t="s">
        <v>14</v>
      </c>
      <c r="K45" s="15" t="s">
        <v>14</v>
      </c>
      <c r="L45" s="15" t="s">
        <v>14</v>
      </c>
      <c r="M45" s="15" t="s">
        <v>14</v>
      </c>
      <c r="N45" s="15" t="s">
        <v>14</v>
      </c>
      <c r="O45" s="15" t="s">
        <v>14</v>
      </c>
    </row>
    <row r="46" spans="1:15" x14ac:dyDescent="0.2">
      <c r="A46" s="15" t="s">
        <v>14</v>
      </c>
      <c r="B46" s="15" t="s">
        <v>14</v>
      </c>
      <c r="C46" s="15" t="s">
        <v>14</v>
      </c>
      <c r="D46" s="15" t="s">
        <v>14</v>
      </c>
      <c r="E46" s="15" t="s">
        <v>14</v>
      </c>
      <c r="F46" s="15" t="s">
        <v>14</v>
      </c>
      <c r="G46" s="15" t="s">
        <v>14</v>
      </c>
      <c r="H46" s="15" t="s">
        <v>14</v>
      </c>
      <c r="I46" s="15" t="s">
        <v>14</v>
      </c>
      <c r="J46" s="15" t="s">
        <v>14</v>
      </c>
      <c r="K46" s="15" t="s">
        <v>14</v>
      </c>
      <c r="L46" s="15" t="s">
        <v>14</v>
      </c>
      <c r="M46" s="15" t="s">
        <v>14</v>
      </c>
      <c r="N46" s="15" t="s">
        <v>14</v>
      </c>
      <c r="O46" s="15" t="s">
        <v>14</v>
      </c>
    </row>
    <row r="47" spans="1:15" x14ac:dyDescent="0.2">
      <c r="A47" s="15" t="s">
        <v>14</v>
      </c>
      <c r="B47" s="15" t="s">
        <v>14</v>
      </c>
      <c r="C47" s="15" t="s">
        <v>14</v>
      </c>
      <c r="D47" s="15" t="s">
        <v>14</v>
      </c>
      <c r="E47" s="15" t="s">
        <v>14</v>
      </c>
      <c r="F47" s="15" t="s">
        <v>14</v>
      </c>
      <c r="G47" s="15" t="s">
        <v>14</v>
      </c>
      <c r="H47" s="15" t="s">
        <v>14</v>
      </c>
      <c r="I47" s="15" t="s">
        <v>14</v>
      </c>
      <c r="J47" s="15" t="s">
        <v>14</v>
      </c>
      <c r="K47" s="15" t="s">
        <v>14</v>
      </c>
      <c r="L47" s="15" t="s">
        <v>14</v>
      </c>
      <c r="M47" s="15" t="s">
        <v>14</v>
      </c>
      <c r="N47" s="15" t="s">
        <v>14</v>
      </c>
      <c r="O47" s="15" t="s">
        <v>14</v>
      </c>
    </row>
    <row r="48" spans="1:15" x14ac:dyDescent="0.2">
      <c r="A48" s="15" t="s">
        <v>14</v>
      </c>
      <c r="B48" s="15" t="s">
        <v>14</v>
      </c>
      <c r="C48" s="15" t="s">
        <v>14</v>
      </c>
      <c r="D48" s="15" t="s">
        <v>14</v>
      </c>
      <c r="E48" s="15" t="s">
        <v>14</v>
      </c>
      <c r="F48" s="15" t="s">
        <v>14</v>
      </c>
      <c r="G48" s="15" t="s">
        <v>14</v>
      </c>
      <c r="H48" s="15" t="s">
        <v>14</v>
      </c>
      <c r="I48" s="15" t="s">
        <v>14</v>
      </c>
      <c r="J48" s="15" t="s">
        <v>14</v>
      </c>
      <c r="K48" s="15" t="s">
        <v>14</v>
      </c>
      <c r="L48" s="15" t="s">
        <v>14</v>
      </c>
      <c r="M48" s="15" t="s">
        <v>14</v>
      </c>
      <c r="N48" s="15" t="s">
        <v>14</v>
      </c>
      <c r="O48" s="15" t="s">
        <v>14</v>
      </c>
    </row>
    <row r="49" spans="1:15" x14ac:dyDescent="0.2">
      <c r="A49" s="15" t="s">
        <v>14</v>
      </c>
      <c r="B49" s="15" t="s">
        <v>14</v>
      </c>
      <c r="C49" s="15" t="s">
        <v>14</v>
      </c>
      <c r="D49" s="15" t="s">
        <v>14</v>
      </c>
      <c r="E49" s="15" t="s">
        <v>14</v>
      </c>
      <c r="F49" s="15" t="s">
        <v>14</v>
      </c>
      <c r="G49" s="15" t="s">
        <v>14</v>
      </c>
      <c r="H49" s="15" t="s">
        <v>14</v>
      </c>
      <c r="I49" s="15" t="s">
        <v>14</v>
      </c>
      <c r="J49" s="15" t="s">
        <v>14</v>
      </c>
      <c r="K49" s="15" t="s">
        <v>14</v>
      </c>
      <c r="L49" s="15" t="s">
        <v>14</v>
      </c>
      <c r="M49" s="15" t="s">
        <v>14</v>
      </c>
      <c r="N49" s="15" t="s">
        <v>14</v>
      </c>
      <c r="O49" s="15" t="s">
        <v>14</v>
      </c>
    </row>
    <row r="50" spans="1:15" x14ac:dyDescent="0.2">
      <c r="A50" s="15" t="s">
        <v>14</v>
      </c>
      <c r="B50" s="15" t="s">
        <v>14</v>
      </c>
      <c r="C50" s="15" t="s">
        <v>14</v>
      </c>
      <c r="D50" s="15" t="s">
        <v>14</v>
      </c>
      <c r="E50" s="15" t="s">
        <v>14</v>
      </c>
      <c r="F50" s="15" t="s">
        <v>14</v>
      </c>
      <c r="G50" s="15" t="s">
        <v>14</v>
      </c>
      <c r="H50" s="15" t="s">
        <v>14</v>
      </c>
      <c r="I50" s="15" t="s">
        <v>14</v>
      </c>
      <c r="J50" s="15" t="s">
        <v>14</v>
      </c>
      <c r="K50" s="15" t="s">
        <v>14</v>
      </c>
      <c r="L50" s="15" t="s">
        <v>14</v>
      </c>
      <c r="M50" s="15" t="s">
        <v>14</v>
      </c>
      <c r="N50" s="15" t="s">
        <v>14</v>
      </c>
      <c r="O50" s="15" t="s">
        <v>14</v>
      </c>
    </row>
    <row r="51" spans="1:15" x14ac:dyDescent="0.2">
      <c r="A51" s="15" t="s">
        <v>14</v>
      </c>
      <c r="B51" s="15" t="s">
        <v>14</v>
      </c>
      <c r="C51" s="15" t="s">
        <v>14</v>
      </c>
      <c r="D51" s="15" t="s">
        <v>14</v>
      </c>
      <c r="E51" s="15" t="s">
        <v>14</v>
      </c>
      <c r="F51" s="15" t="s">
        <v>14</v>
      </c>
      <c r="G51" s="15" t="s">
        <v>14</v>
      </c>
      <c r="H51" s="15" t="s">
        <v>14</v>
      </c>
      <c r="I51" s="15" t="s">
        <v>14</v>
      </c>
      <c r="J51" s="15" t="s">
        <v>14</v>
      </c>
      <c r="K51" s="15" t="s">
        <v>14</v>
      </c>
      <c r="L51" s="15" t="s">
        <v>14</v>
      </c>
      <c r="M51" s="15" t="s">
        <v>14</v>
      </c>
      <c r="N51" s="15" t="s">
        <v>14</v>
      </c>
      <c r="O51" s="15" t="s">
        <v>14</v>
      </c>
    </row>
    <row r="52" spans="1:15" x14ac:dyDescent="0.2">
      <c r="A52" s="15" t="s">
        <v>14</v>
      </c>
      <c r="B52" s="15" t="s">
        <v>14</v>
      </c>
      <c r="C52" s="15" t="s">
        <v>14</v>
      </c>
      <c r="D52" s="15" t="s">
        <v>14</v>
      </c>
      <c r="E52" s="15" t="s">
        <v>14</v>
      </c>
      <c r="F52" s="15" t="s">
        <v>14</v>
      </c>
      <c r="G52" s="15" t="s">
        <v>14</v>
      </c>
      <c r="H52" s="15" t="s">
        <v>14</v>
      </c>
      <c r="I52" s="15" t="s">
        <v>14</v>
      </c>
      <c r="J52" s="15" t="s">
        <v>14</v>
      </c>
      <c r="K52" s="15" t="s">
        <v>14</v>
      </c>
      <c r="L52" s="15" t="s">
        <v>14</v>
      </c>
      <c r="M52" s="15" t="s">
        <v>14</v>
      </c>
      <c r="N52" s="15" t="s">
        <v>14</v>
      </c>
      <c r="O52" s="15" t="s">
        <v>14</v>
      </c>
    </row>
    <row r="53" spans="1:15" x14ac:dyDescent="0.2">
      <c r="A53" s="15" t="s">
        <v>14</v>
      </c>
      <c r="B53" s="15" t="s">
        <v>14</v>
      </c>
      <c r="C53" s="15" t="s">
        <v>14</v>
      </c>
      <c r="D53" s="15" t="s">
        <v>14</v>
      </c>
      <c r="E53" s="15" t="s">
        <v>14</v>
      </c>
      <c r="F53" s="15" t="s">
        <v>14</v>
      </c>
      <c r="G53" s="15" t="s">
        <v>14</v>
      </c>
      <c r="H53" s="15" t="s">
        <v>14</v>
      </c>
      <c r="I53" s="15" t="s">
        <v>14</v>
      </c>
      <c r="J53" s="15" t="s">
        <v>14</v>
      </c>
      <c r="K53" s="15" t="s">
        <v>14</v>
      </c>
      <c r="L53" s="15" t="s">
        <v>14</v>
      </c>
      <c r="M53" s="15" t="s">
        <v>14</v>
      </c>
      <c r="N53" s="15" t="s">
        <v>14</v>
      </c>
      <c r="O53" s="15" t="s">
        <v>14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cols>
    <col min="1" max="14" width="9.7109375" customWidth="1"/>
  </cols>
  <sheetData>
    <row r="1" spans="1:13" x14ac:dyDescent="0.2">
      <c r="A1" s="1" t="s">
        <v>25</v>
      </c>
      <c r="K1" s="1" t="s">
        <v>25</v>
      </c>
    </row>
    <row r="3" spans="1:13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</row>
    <row r="4" spans="1:13" x14ac:dyDescent="0.2">
      <c r="A4" s="3">
        <v>1</v>
      </c>
      <c r="B4" s="4">
        <v>0</v>
      </c>
      <c r="C4" s="4">
        <v>452</v>
      </c>
      <c r="D4" s="4">
        <v>0</v>
      </c>
      <c r="E4" s="4">
        <v>240</v>
      </c>
      <c r="F4" s="4">
        <v>301</v>
      </c>
      <c r="G4" s="4">
        <v>642</v>
      </c>
      <c r="H4" s="4">
        <v>160</v>
      </c>
      <c r="I4" s="4">
        <v>160</v>
      </c>
      <c r="J4" s="4">
        <v>142</v>
      </c>
      <c r="K4" s="4">
        <v>436</v>
      </c>
      <c r="L4" s="4">
        <v>301</v>
      </c>
      <c r="M4" s="4">
        <v>452</v>
      </c>
    </row>
    <row r="5" spans="1:13" x14ac:dyDescent="0.2">
      <c r="A5" s="3">
        <v>2</v>
      </c>
      <c r="B5" s="4">
        <v>0</v>
      </c>
      <c r="C5" s="4">
        <v>452</v>
      </c>
      <c r="D5" s="4">
        <v>0</v>
      </c>
      <c r="E5" s="4">
        <v>301</v>
      </c>
      <c r="F5" s="4">
        <v>301</v>
      </c>
      <c r="G5" s="4">
        <v>640</v>
      </c>
      <c r="H5" s="4">
        <v>160</v>
      </c>
      <c r="I5" s="4">
        <v>160</v>
      </c>
      <c r="J5" s="4">
        <v>142</v>
      </c>
      <c r="K5" s="4">
        <v>436</v>
      </c>
      <c r="L5" s="4">
        <v>379</v>
      </c>
      <c r="M5" s="4">
        <v>449</v>
      </c>
    </row>
    <row r="6" spans="1:13" x14ac:dyDescent="0.2">
      <c r="A6" s="3">
        <v>3</v>
      </c>
      <c r="B6" s="4">
        <v>0</v>
      </c>
      <c r="C6" s="4">
        <v>452</v>
      </c>
      <c r="D6" s="4">
        <v>0</v>
      </c>
      <c r="E6" s="4">
        <v>301</v>
      </c>
      <c r="F6" s="4">
        <v>301</v>
      </c>
      <c r="G6" s="4">
        <v>641</v>
      </c>
      <c r="H6" s="4">
        <v>160</v>
      </c>
      <c r="I6" s="4">
        <v>160</v>
      </c>
      <c r="J6" s="4">
        <v>142</v>
      </c>
      <c r="K6" s="4">
        <v>436</v>
      </c>
      <c r="L6" s="4">
        <v>436</v>
      </c>
      <c r="M6" s="4">
        <v>398</v>
      </c>
    </row>
    <row r="7" spans="1:13" x14ac:dyDescent="0.2">
      <c r="A7" s="3">
        <v>4</v>
      </c>
      <c r="B7" s="4">
        <v>0</v>
      </c>
      <c r="C7" s="4">
        <v>452</v>
      </c>
      <c r="D7" s="4">
        <v>0</v>
      </c>
      <c r="E7" s="4">
        <v>301</v>
      </c>
      <c r="F7" s="4">
        <v>301</v>
      </c>
      <c r="G7" s="4">
        <v>537</v>
      </c>
      <c r="H7" s="4">
        <v>160</v>
      </c>
      <c r="I7" s="4">
        <v>160</v>
      </c>
      <c r="J7" s="4">
        <v>142</v>
      </c>
      <c r="K7" s="4">
        <v>436</v>
      </c>
      <c r="L7" s="4">
        <v>436</v>
      </c>
      <c r="M7" s="4">
        <v>452</v>
      </c>
    </row>
    <row r="8" spans="1:13" x14ac:dyDescent="0.2">
      <c r="A8" s="3">
        <v>5</v>
      </c>
      <c r="B8" s="4">
        <v>0</v>
      </c>
      <c r="C8" s="4">
        <v>406</v>
      </c>
      <c r="D8" s="4">
        <v>0</v>
      </c>
      <c r="E8" s="4">
        <v>301</v>
      </c>
      <c r="F8" s="4">
        <v>396</v>
      </c>
      <c r="G8" s="4">
        <v>559</v>
      </c>
      <c r="H8" s="4">
        <v>160</v>
      </c>
      <c r="I8" s="4">
        <v>160</v>
      </c>
      <c r="J8" s="4">
        <v>142</v>
      </c>
      <c r="K8" s="4">
        <v>436</v>
      </c>
      <c r="L8" s="4">
        <v>436</v>
      </c>
      <c r="M8" s="4">
        <v>452</v>
      </c>
    </row>
    <row r="9" spans="1:13" x14ac:dyDescent="0.2">
      <c r="A9" s="3">
        <v>6</v>
      </c>
      <c r="B9" s="4">
        <v>0</v>
      </c>
      <c r="C9" s="4">
        <v>452</v>
      </c>
      <c r="D9" s="4">
        <v>0</v>
      </c>
      <c r="E9" s="4">
        <v>301</v>
      </c>
      <c r="F9" s="4">
        <v>451</v>
      </c>
      <c r="G9" s="4">
        <v>559</v>
      </c>
      <c r="H9" s="4">
        <v>160</v>
      </c>
      <c r="I9" s="4">
        <v>160</v>
      </c>
      <c r="J9" s="4">
        <v>142</v>
      </c>
      <c r="K9" s="4">
        <v>441</v>
      </c>
      <c r="L9" s="4">
        <v>424</v>
      </c>
      <c r="M9" s="4">
        <v>452</v>
      </c>
    </row>
    <row r="10" spans="1:13" x14ac:dyDescent="0.2">
      <c r="A10" s="3">
        <v>7</v>
      </c>
      <c r="B10" s="4">
        <v>0</v>
      </c>
      <c r="C10" s="4">
        <v>453</v>
      </c>
      <c r="D10" s="4">
        <v>0</v>
      </c>
      <c r="E10" s="4">
        <v>384</v>
      </c>
      <c r="F10" s="4">
        <v>503</v>
      </c>
      <c r="G10" s="4">
        <v>558</v>
      </c>
      <c r="H10" s="4">
        <v>148</v>
      </c>
      <c r="I10" s="4">
        <v>160</v>
      </c>
      <c r="J10" s="4">
        <v>142</v>
      </c>
      <c r="K10" s="4">
        <v>436</v>
      </c>
      <c r="L10" s="4">
        <v>434</v>
      </c>
      <c r="M10" s="4">
        <v>452</v>
      </c>
    </row>
    <row r="11" spans="1:13" x14ac:dyDescent="0.2">
      <c r="A11" s="3">
        <v>8</v>
      </c>
      <c r="B11" s="4">
        <v>0</v>
      </c>
      <c r="C11" s="4">
        <v>452</v>
      </c>
      <c r="D11" s="4">
        <v>0</v>
      </c>
      <c r="E11" s="4">
        <v>450</v>
      </c>
      <c r="F11" s="4">
        <v>571</v>
      </c>
      <c r="G11" s="4">
        <v>558</v>
      </c>
      <c r="H11" s="4">
        <v>160</v>
      </c>
      <c r="I11" s="4">
        <v>160</v>
      </c>
      <c r="J11" s="4">
        <v>244</v>
      </c>
      <c r="K11" s="4">
        <v>389</v>
      </c>
      <c r="L11" s="4">
        <v>436</v>
      </c>
      <c r="M11" s="4">
        <v>452</v>
      </c>
    </row>
    <row r="12" spans="1:13" x14ac:dyDescent="0.2">
      <c r="A12" s="3">
        <v>9</v>
      </c>
      <c r="B12" s="4">
        <v>0</v>
      </c>
      <c r="C12" s="4">
        <v>452</v>
      </c>
      <c r="D12" s="4">
        <v>0</v>
      </c>
      <c r="E12" s="4">
        <v>445</v>
      </c>
      <c r="F12" s="4">
        <v>571</v>
      </c>
      <c r="G12" s="4">
        <v>484</v>
      </c>
      <c r="H12" s="4">
        <v>160</v>
      </c>
      <c r="I12" s="4">
        <v>160</v>
      </c>
      <c r="J12" s="4">
        <v>281</v>
      </c>
      <c r="K12" s="4">
        <v>192</v>
      </c>
      <c r="L12" s="4">
        <v>434</v>
      </c>
      <c r="M12" s="4">
        <v>452</v>
      </c>
    </row>
    <row r="13" spans="1:13" x14ac:dyDescent="0.2">
      <c r="A13" s="3">
        <v>10</v>
      </c>
      <c r="B13" s="4">
        <v>0</v>
      </c>
      <c r="C13" s="4">
        <v>452</v>
      </c>
      <c r="D13" s="4">
        <v>0</v>
      </c>
      <c r="E13" s="4">
        <v>453</v>
      </c>
      <c r="F13" s="4">
        <v>571</v>
      </c>
      <c r="G13" s="4">
        <v>558</v>
      </c>
      <c r="H13" s="4">
        <v>160</v>
      </c>
      <c r="I13" s="4">
        <v>160</v>
      </c>
      <c r="J13" s="4">
        <v>299</v>
      </c>
      <c r="K13" s="4">
        <v>418</v>
      </c>
      <c r="L13" s="4">
        <v>434</v>
      </c>
      <c r="M13" s="4">
        <v>452</v>
      </c>
    </row>
    <row r="14" spans="1:13" x14ac:dyDescent="0.2">
      <c r="A14" s="3">
        <v>11</v>
      </c>
      <c r="B14" s="4">
        <v>0</v>
      </c>
      <c r="C14" s="4">
        <v>452</v>
      </c>
      <c r="D14" s="4">
        <v>0</v>
      </c>
      <c r="E14" s="4">
        <v>453</v>
      </c>
      <c r="F14" s="4">
        <v>572</v>
      </c>
      <c r="G14" s="4">
        <v>557</v>
      </c>
      <c r="H14" s="4">
        <v>160</v>
      </c>
      <c r="I14" s="4">
        <v>160</v>
      </c>
      <c r="J14" s="4">
        <v>301</v>
      </c>
      <c r="K14" s="4">
        <v>436</v>
      </c>
      <c r="L14" s="4">
        <v>434</v>
      </c>
      <c r="M14" s="4">
        <v>452</v>
      </c>
    </row>
    <row r="15" spans="1:13" x14ac:dyDescent="0.2">
      <c r="A15" s="3">
        <v>12</v>
      </c>
      <c r="B15" s="4">
        <v>0</v>
      </c>
      <c r="C15" s="4">
        <v>452</v>
      </c>
      <c r="D15" s="4">
        <v>0</v>
      </c>
      <c r="E15" s="4">
        <v>453</v>
      </c>
      <c r="F15" s="4">
        <v>572</v>
      </c>
      <c r="G15" s="4">
        <v>520</v>
      </c>
      <c r="H15" s="4">
        <v>160</v>
      </c>
      <c r="I15" s="4">
        <v>160</v>
      </c>
      <c r="J15" s="4">
        <v>301</v>
      </c>
      <c r="K15" s="4">
        <v>436</v>
      </c>
      <c r="L15" s="4">
        <v>434</v>
      </c>
      <c r="M15" s="4">
        <v>452</v>
      </c>
    </row>
    <row r="16" spans="1:13" x14ac:dyDescent="0.2">
      <c r="A16" s="3">
        <v>13</v>
      </c>
      <c r="B16" s="4">
        <v>0</v>
      </c>
      <c r="C16" s="4">
        <v>396</v>
      </c>
      <c r="D16" s="4">
        <v>0</v>
      </c>
      <c r="E16" s="4">
        <v>453</v>
      </c>
      <c r="F16" s="4">
        <v>572</v>
      </c>
      <c r="G16" s="4">
        <v>558</v>
      </c>
      <c r="H16" s="4">
        <v>160</v>
      </c>
      <c r="I16" s="4">
        <v>160</v>
      </c>
      <c r="J16" s="4">
        <v>301</v>
      </c>
      <c r="K16" s="4">
        <v>506</v>
      </c>
      <c r="L16" s="4">
        <v>433</v>
      </c>
      <c r="M16" s="4">
        <v>452</v>
      </c>
    </row>
    <row r="17" spans="1:13" x14ac:dyDescent="0.2">
      <c r="A17" s="3">
        <v>14</v>
      </c>
      <c r="B17" s="4">
        <v>0</v>
      </c>
      <c r="C17" s="4">
        <v>318</v>
      </c>
      <c r="D17" s="4">
        <v>0</v>
      </c>
      <c r="E17" s="4">
        <v>453</v>
      </c>
      <c r="F17" s="4">
        <v>572</v>
      </c>
      <c r="G17" s="4">
        <v>558</v>
      </c>
      <c r="H17" s="4">
        <v>160</v>
      </c>
      <c r="I17" s="4">
        <v>160</v>
      </c>
      <c r="J17" s="4">
        <v>301</v>
      </c>
      <c r="K17" s="4">
        <v>559</v>
      </c>
      <c r="L17" s="4">
        <v>433</v>
      </c>
      <c r="M17" s="4">
        <v>452</v>
      </c>
    </row>
    <row r="18" spans="1:13" x14ac:dyDescent="0.2">
      <c r="A18" s="3">
        <v>15</v>
      </c>
      <c r="B18" s="4">
        <v>199</v>
      </c>
      <c r="C18" s="4">
        <v>318</v>
      </c>
      <c r="D18" s="4">
        <v>0</v>
      </c>
      <c r="E18" s="4">
        <v>453</v>
      </c>
      <c r="F18" s="4">
        <v>572</v>
      </c>
      <c r="G18" s="4">
        <v>558</v>
      </c>
      <c r="H18" s="4">
        <v>160</v>
      </c>
      <c r="I18" s="4">
        <v>160</v>
      </c>
      <c r="J18" s="4">
        <v>301</v>
      </c>
      <c r="K18" s="4">
        <v>559</v>
      </c>
      <c r="L18" s="4">
        <v>433</v>
      </c>
      <c r="M18" s="4">
        <v>452</v>
      </c>
    </row>
    <row r="19" spans="1:13" x14ac:dyDescent="0.2">
      <c r="A19" s="3">
        <v>16</v>
      </c>
      <c r="B19" s="4">
        <v>318</v>
      </c>
      <c r="C19" s="4">
        <v>318</v>
      </c>
      <c r="D19" s="4">
        <v>0</v>
      </c>
      <c r="E19" s="4">
        <v>453</v>
      </c>
      <c r="F19" s="4">
        <v>573</v>
      </c>
      <c r="G19" s="4">
        <v>557</v>
      </c>
      <c r="H19" s="4">
        <v>160</v>
      </c>
      <c r="I19" s="4">
        <v>160</v>
      </c>
      <c r="J19" s="4">
        <v>384</v>
      </c>
      <c r="K19" s="4">
        <v>559</v>
      </c>
      <c r="L19" s="4">
        <v>433</v>
      </c>
      <c r="M19" s="4">
        <v>452</v>
      </c>
    </row>
    <row r="20" spans="1:13" x14ac:dyDescent="0.2">
      <c r="A20" s="3">
        <v>17</v>
      </c>
      <c r="B20" s="4">
        <v>176</v>
      </c>
      <c r="C20" s="4">
        <v>206</v>
      </c>
      <c r="D20" s="4">
        <v>0</v>
      </c>
      <c r="E20" s="4">
        <v>360</v>
      </c>
      <c r="F20" s="4">
        <v>571</v>
      </c>
      <c r="G20" s="4">
        <v>556</v>
      </c>
      <c r="H20" s="4">
        <v>160</v>
      </c>
      <c r="I20" s="4">
        <v>160</v>
      </c>
      <c r="J20" s="4">
        <v>334</v>
      </c>
      <c r="K20" s="4">
        <v>559</v>
      </c>
      <c r="L20" s="4">
        <v>433</v>
      </c>
      <c r="M20" s="4">
        <v>452</v>
      </c>
    </row>
    <row r="21" spans="1:13" x14ac:dyDescent="0.2">
      <c r="A21" s="3">
        <v>18</v>
      </c>
      <c r="B21" s="4">
        <v>160</v>
      </c>
      <c r="C21" s="4">
        <v>0</v>
      </c>
      <c r="D21" s="4">
        <v>0</v>
      </c>
      <c r="E21" s="4">
        <v>301</v>
      </c>
      <c r="F21" s="4">
        <v>565</v>
      </c>
      <c r="G21" s="4">
        <v>467</v>
      </c>
      <c r="H21" s="4">
        <v>160</v>
      </c>
      <c r="I21" s="4">
        <v>160</v>
      </c>
      <c r="J21" s="4">
        <v>279</v>
      </c>
      <c r="K21" s="4">
        <v>559</v>
      </c>
      <c r="L21" s="4">
        <v>433</v>
      </c>
      <c r="M21" s="4">
        <v>452</v>
      </c>
    </row>
    <row r="22" spans="1:13" x14ac:dyDescent="0.2">
      <c r="A22" s="3">
        <v>19</v>
      </c>
      <c r="B22" s="4">
        <v>160</v>
      </c>
      <c r="C22" s="4">
        <v>0</v>
      </c>
      <c r="D22" s="4">
        <v>0</v>
      </c>
      <c r="E22" s="4">
        <v>301</v>
      </c>
      <c r="F22" s="4">
        <v>573</v>
      </c>
      <c r="G22" s="4">
        <v>358</v>
      </c>
      <c r="H22" s="4">
        <v>160</v>
      </c>
      <c r="I22" s="4">
        <v>160</v>
      </c>
      <c r="J22" s="4">
        <v>280</v>
      </c>
      <c r="K22" s="4">
        <v>559</v>
      </c>
      <c r="L22" s="4">
        <v>433</v>
      </c>
      <c r="M22" s="4">
        <v>452</v>
      </c>
    </row>
    <row r="23" spans="1:13" x14ac:dyDescent="0.2">
      <c r="A23" s="3">
        <v>20</v>
      </c>
      <c r="B23" s="4">
        <v>256</v>
      </c>
      <c r="C23" s="4">
        <v>0</v>
      </c>
      <c r="D23" s="4">
        <v>0</v>
      </c>
      <c r="E23" s="4">
        <v>301</v>
      </c>
      <c r="F23" s="4">
        <v>573</v>
      </c>
      <c r="G23" s="4">
        <v>301</v>
      </c>
      <c r="H23" s="4">
        <v>160</v>
      </c>
      <c r="I23" s="4">
        <v>160</v>
      </c>
      <c r="J23" s="4">
        <v>282</v>
      </c>
      <c r="K23" s="4">
        <v>503</v>
      </c>
      <c r="L23" s="4">
        <v>433</v>
      </c>
      <c r="M23" s="4">
        <v>344</v>
      </c>
    </row>
    <row r="24" spans="1:13" x14ac:dyDescent="0.2">
      <c r="A24" s="3">
        <v>21</v>
      </c>
      <c r="B24" s="4">
        <v>318</v>
      </c>
      <c r="C24" s="4">
        <v>0</v>
      </c>
      <c r="D24" s="4">
        <v>0</v>
      </c>
      <c r="E24" s="4">
        <v>301</v>
      </c>
      <c r="F24" s="4">
        <v>573</v>
      </c>
      <c r="G24" s="4">
        <v>252</v>
      </c>
      <c r="H24" s="4">
        <v>160</v>
      </c>
      <c r="I24" s="4">
        <v>160</v>
      </c>
      <c r="J24" s="4">
        <v>282</v>
      </c>
      <c r="K24" s="4">
        <v>453</v>
      </c>
      <c r="L24" s="4">
        <v>433</v>
      </c>
      <c r="M24" s="4">
        <v>389</v>
      </c>
    </row>
    <row r="25" spans="1:13" x14ac:dyDescent="0.2">
      <c r="A25" s="3">
        <v>22</v>
      </c>
      <c r="B25" s="4">
        <v>394</v>
      </c>
      <c r="C25" s="4">
        <v>0</v>
      </c>
      <c r="D25" s="4">
        <v>0</v>
      </c>
      <c r="E25" s="4">
        <v>301</v>
      </c>
      <c r="F25" s="4">
        <v>573</v>
      </c>
      <c r="G25" s="4">
        <v>102</v>
      </c>
      <c r="H25" s="4">
        <v>132</v>
      </c>
      <c r="I25" s="4">
        <v>160</v>
      </c>
      <c r="J25" s="4">
        <v>282</v>
      </c>
      <c r="K25" s="4">
        <v>453</v>
      </c>
      <c r="L25" s="4">
        <v>433</v>
      </c>
      <c r="M25" s="4">
        <v>449</v>
      </c>
    </row>
    <row r="26" spans="1:13" x14ac:dyDescent="0.2">
      <c r="A26" s="3">
        <v>23</v>
      </c>
      <c r="B26" s="4">
        <v>450</v>
      </c>
      <c r="C26" s="4">
        <v>0</v>
      </c>
      <c r="D26" s="4">
        <v>0</v>
      </c>
      <c r="E26" s="4">
        <v>212</v>
      </c>
      <c r="F26" s="4">
        <v>573</v>
      </c>
      <c r="G26" s="4">
        <v>160</v>
      </c>
      <c r="H26" s="4">
        <v>111</v>
      </c>
      <c r="I26" s="4">
        <v>160</v>
      </c>
      <c r="J26" s="4">
        <v>282</v>
      </c>
      <c r="K26" s="4">
        <v>363</v>
      </c>
      <c r="L26" s="4">
        <v>385</v>
      </c>
      <c r="M26" s="4">
        <v>281</v>
      </c>
    </row>
    <row r="27" spans="1:13" x14ac:dyDescent="0.2">
      <c r="A27" s="3">
        <v>24</v>
      </c>
      <c r="B27" s="4">
        <v>450</v>
      </c>
      <c r="C27" s="4">
        <v>0</v>
      </c>
      <c r="D27" s="4">
        <v>0</v>
      </c>
      <c r="E27" s="4">
        <v>301</v>
      </c>
      <c r="F27" s="4">
        <v>573</v>
      </c>
      <c r="G27" s="4">
        <v>160</v>
      </c>
      <c r="H27" s="4">
        <v>160</v>
      </c>
      <c r="I27" s="4">
        <v>160</v>
      </c>
      <c r="J27" s="4">
        <v>377</v>
      </c>
      <c r="K27" s="4">
        <v>301</v>
      </c>
      <c r="L27" s="4">
        <v>392</v>
      </c>
      <c r="M27" s="4">
        <v>0</v>
      </c>
    </row>
    <row r="28" spans="1:13" x14ac:dyDescent="0.2">
      <c r="A28" s="3">
        <v>25</v>
      </c>
      <c r="B28" s="4">
        <v>450</v>
      </c>
      <c r="C28" s="4">
        <v>0</v>
      </c>
      <c r="D28" s="4">
        <v>0</v>
      </c>
      <c r="E28" s="4">
        <v>301</v>
      </c>
      <c r="F28" s="4">
        <v>573</v>
      </c>
      <c r="G28" s="4">
        <v>160</v>
      </c>
      <c r="H28" s="4">
        <v>160</v>
      </c>
      <c r="I28" s="4">
        <v>149</v>
      </c>
      <c r="J28" s="4">
        <v>436</v>
      </c>
      <c r="K28" s="4">
        <v>301</v>
      </c>
      <c r="L28" s="4">
        <v>447</v>
      </c>
      <c r="M28" s="4">
        <v>0</v>
      </c>
    </row>
    <row r="29" spans="1:13" x14ac:dyDescent="0.2">
      <c r="A29" s="3">
        <v>26</v>
      </c>
      <c r="B29" s="4">
        <v>452</v>
      </c>
      <c r="C29" s="4">
        <v>0</v>
      </c>
      <c r="D29" s="4">
        <v>0</v>
      </c>
      <c r="E29" s="4">
        <v>301</v>
      </c>
      <c r="F29" s="4">
        <v>572</v>
      </c>
      <c r="G29" s="4">
        <v>160</v>
      </c>
      <c r="H29" s="4">
        <v>160</v>
      </c>
      <c r="I29" s="4">
        <v>141</v>
      </c>
      <c r="J29" s="4">
        <v>436</v>
      </c>
      <c r="K29" s="4">
        <v>301</v>
      </c>
      <c r="L29" s="4">
        <v>452</v>
      </c>
      <c r="M29" s="4">
        <v>0</v>
      </c>
    </row>
    <row r="30" spans="1:13" x14ac:dyDescent="0.2">
      <c r="A30" s="3">
        <v>27</v>
      </c>
      <c r="B30" s="4">
        <v>452</v>
      </c>
      <c r="C30" s="4">
        <v>0</v>
      </c>
      <c r="D30" s="4">
        <v>0</v>
      </c>
      <c r="E30" s="4">
        <v>301</v>
      </c>
      <c r="F30" s="4">
        <v>573</v>
      </c>
      <c r="G30" s="4">
        <v>160</v>
      </c>
      <c r="H30" s="4">
        <v>160</v>
      </c>
      <c r="I30" s="4">
        <v>141</v>
      </c>
      <c r="J30" s="4">
        <v>399</v>
      </c>
      <c r="K30" s="4">
        <v>301</v>
      </c>
      <c r="L30" s="4">
        <v>452</v>
      </c>
      <c r="M30" s="4">
        <v>0</v>
      </c>
    </row>
    <row r="31" spans="1:13" x14ac:dyDescent="0.2">
      <c r="A31" s="3">
        <v>28</v>
      </c>
      <c r="B31" s="4">
        <v>444</v>
      </c>
      <c r="C31" s="4">
        <v>0</v>
      </c>
      <c r="D31" s="4">
        <v>59</v>
      </c>
      <c r="E31" s="4">
        <v>301</v>
      </c>
      <c r="F31" s="4">
        <v>573</v>
      </c>
      <c r="G31" s="4">
        <v>160</v>
      </c>
      <c r="H31" s="4">
        <v>160</v>
      </c>
      <c r="I31" s="4">
        <v>141</v>
      </c>
      <c r="J31" s="4">
        <v>380</v>
      </c>
      <c r="K31" s="4">
        <v>301</v>
      </c>
      <c r="L31" s="4">
        <v>452</v>
      </c>
      <c r="M31" s="4">
        <v>276</v>
      </c>
    </row>
    <row r="32" spans="1:13" x14ac:dyDescent="0.2">
      <c r="A32" s="3">
        <v>29</v>
      </c>
      <c r="B32" s="4">
        <v>451</v>
      </c>
      <c r="C32" s="1" t="s">
        <v>14</v>
      </c>
      <c r="D32" s="4">
        <v>136</v>
      </c>
      <c r="E32" s="4">
        <v>301</v>
      </c>
      <c r="F32" s="4">
        <v>573</v>
      </c>
      <c r="G32" s="4">
        <v>160</v>
      </c>
      <c r="H32" s="4">
        <v>160</v>
      </c>
      <c r="I32" s="4">
        <v>141</v>
      </c>
      <c r="J32" s="4">
        <v>436</v>
      </c>
      <c r="K32" s="4">
        <v>287</v>
      </c>
      <c r="L32" s="4">
        <v>452</v>
      </c>
      <c r="M32" s="4">
        <v>449</v>
      </c>
    </row>
    <row r="33" spans="1:14" x14ac:dyDescent="0.2">
      <c r="A33" s="3">
        <v>30</v>
      </c>
      <c r="B33" s="4">
        <v>452</v>
      </c>
      <c r="C33" s="1" t="s">
        <v>14</v>
      </c>
      <c r="D33" s="4">
        <v>142</v>
      </c>
      <c r="E33" s="4">
        <v>301</v>
      </c>
      <c r="F33" s="4">
        <v>573</v>
      </c>
      <c r="G33" s="4">
        <v>160</v>
      </c>
      <c r="H33" s="4">
        <v>160</v>
      </c>
      <c r="I33" s="4">
        <v>141</v>
      </c>
      <c r="J33" s="4">
        <v>436</v>
      </c>
      <c r="K33" s="4">
        <v>301</v>
      </c>
      <c r="L33" s="4">
        <v>452</v>
      </c>
      <c r="M33" s="4">
        <v>449</v>
      </c>
    </row>
    <row r="34" spans="1:14" x14ac:dyDescent="0.2">
      <c r="A34" s="3">
        <v>31</v>
      </c>
      <c r="B34" s="4">
        <v>452</v>
      </c>
      <c r="C34" s="1" t="s">
        <v>14</v>
      </c>
      <c r="D34" s="4">
        <v>97</v>
      </c>
      <c r="E34" s="15" t="s">
        <v>14</v>
      </c>
      <c r="F34" s="4">
        <v>573</v>
      </c>
      <c r="G34" s="1" t="s">
        <v>14</v>
      </c>
      <c r="H34" s="4">
        <v>160</v>
      </c>
      <c r="I34" s="4">
        <v>141</v>
      </c>
      <c r="J34" s="1"/>
      <c r="K34" s="4">
        <v>301</v>
      </c>
      <c r="L34" s="1" t="s">
        <v>14</v>
      </c>
      <c r="M34" s="4">
        <v>449</v>
      </c>
    </row>
    <row r="36" spans="1:14" hidden="1" x14ac:dyDescent="0.2"/>
    <row r="37" spans="1:14" hidden="1" x14ac:dyDescent="0.2">
      <c r="A37" s="1" t="s">
        <v>15</v>
      </c>
      <c r="B37" s="5">
        <f t="shared" ref="B37:M37" si="0">SUM(B4:B35)</f>
        <v>6034</v>
      </c>
      <c r="C37" s="5">
        <f t="shared" si="0"/>
        <v>6935</v>
      </c>
      <c r="D37" s="5">
        <f t="shared" si="0"/>
        <v>434</v>
      </c>
      <c r="E37" s="5">
        <f t="shared" si="0"/>
        <v>10379</v>
      </c>
      <c r="F37" s="5">
        <f t="shared" si="0"/>
        <v>16284</v>
      </c>
      <c r="G37" s="5">
        <f t="shared" si="0"/>
        <v>12360</v>
      </c>
      <c r="H37" s="5">
        <f t="shared" si="0"/>
        <v>4871</v>
      </c>
      <c r="I37" s="5">
        <f t="shared" si="0"/>
        <v>4835</v>
      </c>
      <c r="J37" s="5">
        <f t="shared" si="0"/>
        <v>8628</v>
      </c>
      <c r="K37" s="5">
        <f t="shared" si="0"/>
        <v>12954</v>
      </c>
      <c r="L37" s="5">
        <f t="shared" si="0"/>
        <v>12832</v>
      </c>
      <c r="M37" s="5">
        <f t="shared" si="0"/>
        <v>11617</v>
      </c>
      <c r="N37" s="5"/>
    </row>
    <row r="38" spans="1:14" x14ac:dyDescent="0.2">
      <c r="A38" s="1" t="s">
        <v>16</v>
      </c>
      <c r="B38" s="5">
        <f>SUM(B4:B34)</f>
        <v>6034</v>
      </c>
      <c r="C38" s="5">
        <f t="shared" ref="C38:M38" si="1">SUM(C4:C34)</f>
        <v>6935</v>
      </c>
      <c r="D38" s="5">
        <f t="shared" si="1"/>
        <v>434</v>
      </c>
      <c r="E38" s="5">
        <f t="shared" si="1"/>
        <v>10379</v>
      </c>
      <c r="F38" s="5">
        <f t="shared" si="1"/>
        <v>16284</v>
      </c>
      <c r="G38" s="5">
        <f t="shared" si="1"/>
        <v>12360</v>
      </c>
      <c r="H38" s="5">
        <f t="shared" si="1"/>
        <v>4871</v>
      </c>
      <c r="I38" s="5">
        <f t="shared" si="1"/>
        <v>4835</v>
      </c>
      <c r="J38" s="5">
        <f t="shared" si="1"/>
        <v>8628</v>
      </c>
      <c r="K38" s="5">
        <f t="shared" si="1"/>
        <v>12954</v>
      </c>
      <c r="L38" s="5">
        <f t="shared" si="1"/>
        <v>12832</v>
      </c>
      <c r="M38" s="5">
        <f t="shared" si="1"/>
        <v>11617</v>
      </c>
      <c r="N38" s="5"/>
    </row>
    <row r="39" spans="1:14" x14ac:dyDescent="0.2">
      <c r="A39" s="1" t="s">
        <v>17</v>
      </c>
      <c r="B39" s="5">
        <f>+B38</f>
        <v>6034</v>
      </c>
      <c r="C39" s="5">
        <f>+B39+C38</f>
        <v>12969</v>
      </c>
      <c r="D39" s="5">
        <f t="shared" ref="D39:M39" si="2">+C39+D38</f>
        <v>13403</v>
      </c>
      <c r="E39" s="5">
        <f t="shared" si="2"/>
        <v>23782</v>
      </c>
      <c r="F39" s="5">
        <f t="shared" si="2"/>
        <v>40066</v>
      </c>
      <c r="G39" s="5">
        <f t="shared" si="2"/>
        <v>52426</v>
      </c>
      <c r="H39" s="5">
        <f t="shared" si="2"/>
        <v>57297</v>
      </c>
      <c r="I39" s="5">
        <f t="shared" si="2"/>
        <v>62132</v>
      </c>
      <c r="J39" s="5">
        <f t="shared" si="2"/>
        <v>70760</v>
      </c>
      <c r="K39" s="5">
        <f t="shared" si="2"/>
        <v>83714</v>
      </c>
      <c r="L39" s="5">
        <f t="shared" si="2"/>
        <v>96546</v>
      </c>
      <c r="M39" s="5">
        <f t="shared" si="2"/>
        <v>108163</v>
      </c>
      <c r="N39" s="5"/>
    </row>
    <row r="40" spans="1:14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2">
      <c r="A41">
        <v>88</v>
      </c>
      <c r="B41" s="5">
        <v>0</v>
      </c>
      <c r="C41" s="5">
        <v>1984</v>
      </c>
      <c r="D41" s="5">
        <v>1500</v>
      </c>
      <c r="E41" s="5">
        <v>3805</v>
      </c>
      <c r="F41" s="5">
        <v>12408</v>
      </c>
      <c r="G41" s="5">
        <v>11010</v>
      </c>
      <c r="H41" s="5">
        <v>5910</v>
      </c>
      <c r="I41" s="5">
        <v>9470</v>
      </c>
      <c r="J41" s="5">
        <v>10783</v>
      </c>
      <c r="K41" s="5">
        <v>11961</v>
      </c>
      <c r="L41" s="5">
        <v>16493</v>
      </c>
      <c r="M41" s="5">
        <v>8472</v>
      </c>
      <c r="N41" s="5">
        <f t="shared" ref="N41:N50" si="3">SUM(B41:M41)</f>
        <v>93796</v>
      </c>
    </row>
    <row r="42" spans="1:14" x14ac:dyDescent="0.2">
      <c r="A42">
        <v>89</v>
      </c>
      <c r="B42" s="5">
        <v>0</v>
      </c>
      <c r="C42" s="5">
        <v>0</v>
      </c>
      <c r="D42" s="5">
        <v>11628</v>
      </c>
      <c r="E42" s="5">
        <v>4094</v>
      </c>
      <c r="F42" s="5">
        <v>11864</v>
      </c>
      <c r="G42" s="5">
        <v>5560</v>
      </c>
      <c r="H42" s="5">
        <v>4284</v>
      </c>
      <c r="I42" s="5">
        <v>9819</v>
      </c>
      <c r="J42" s="5">
        <v>15963</v>
      </c>
      <c r="K42" s="5">
        <v>12960</v>
      </c>
      <c r="L42" s="5">
        <v>16459</v>
      </c>
      <c r="M42" s="5">
        <v>6514</v>
      </c>
      <c r="N42" s="5">
        <f t="shared" si="3"/>
        <v>99145</v>
      </c>
    </row>
    <row r="43" spans="1:14" x14ac:dyDescent="0.2">
      <c r="A43">
        <v>90</v>
      </c>
      <c r="B43" s="5">
        <v>74</v>
      </c>
      <c r="C43" s="5">
        <v>963</v>
      </c>
      <c r="D43" s="5">
        <v>3683</v>
      </c>
      <c r="E43" s="5">
        <v>2032</v>
      </c>
      <c r="F43" s="5">
        <v>10142</v>
      </c>
      <c r="G43" s="5">
        <v>11536</v>
      </c>
      <c r="H43" s="5">
        <v>6100</v>
      </c>
      <c r="I43" s="5">
        <v>11432</v>
      </c>
      <c r="J43" s="5">
        <v>13729</v>
      </c>
      <c r="K43" s="5">
        <v>13461</v>
      </c>
      <c r="L43" s="5">
        <v>16134</v>
      </c>
      <c r="M43" s="5">
        <v>6058</v>
      </c>
      <c r="N43" s="5">
        <f t="shared" si="3"/>
        <v>95344</v>
      </c>
    </row>
    <row r="44" spans="1:14" x14ac:dyDescent="0.2">
      <c r="A44">
        <v>91</v>
      </c>
      <c r="B44" s="5">
        <v>0</v>
      </c>
      <c r="C44" s="5">
        <v>0</v>
      </c>
      <c r="D44" s="5">
        <v>0</v>
      </c>
      <c r="E44" s="5">
        <v>0</v>
      </c>
      <c r="F44" s="5">
        <v>12092</v>
      </c>
      <c r="G44" s="5">
        <v>5474</v>
      </c>
      <c r="H44" s="5">
        <v>5316</v>
      </c>
      <c r="I44" s="5">
        <v>6304</v>
      </c>
      <c r="J44" s="5">
        <v>11556</v>
      </c>
      <c r="K44" s="5">
        <v>8649</v>
      </c>
      <c r="L44" s="5">
        <v>15767</v>
      </c>
      <c r="M44" s="5">
        <v>8853</v>
      </c>
      <c r="N44" s="5">
        <f t="shared" si="3"/>
        <v>74011</v>
      </c>
    </row>
    <row r="45" spans="1:14" x14ac:dyDescent="0.2">
      <c r="A45">
        <v>92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252</v>
      </c>
      <c r="I45" s="5">
        <v>274</v>
      </c>
      <c r="J45" s="5">
        <v>8100</v>
      </c>
      <c r="K45" s="5">
        <v>5786</v>
      </c>
      <c r="L45" s="5">
        <v>8579</v>
      </c>
      <c r="M45" s="5">
        <v>5370</v>
      </c>
      <c r="N45" s="5">
        <f t="shared" si="3"/>
        <v>28361</v>
      </c>
    </row>
    <row r="46" spans="1:14" x14ac:dyDescent="0.2">
      <c r="A46">
        <v>93</v>
      </c>
      <c r="B46" s="5">
        <v>4362</v>
      </c>
      <c r="C46" s="5">
        <v>2767</v>
      </c>
      <c r="D46" s="5">
        <v>14753</v>
      </c>
      <c r="E46" s="5">
        <v>6679</v>
      </c>
      <c r="F46" s="5">
        <v>8112</v>
      </c>
      <c r="G46" s="5">
        <v>10358</v>
      </c>
      <c r="H46" s="5">
        <v>5273</v>
      </c>
      <c r="I46" s="5">
        <v>7589</v>
      </c>
      <c r="J46" s="5">
        <v>9152</v>
      </c>
      <c r="K46" s="5">
        <v>13998</v>
      </c>
      <c r="L46" s="5">
        <v>9344</v>
      </c>
      <c r="M46" s="5">
        <v>4028</v>
      </c>
      <c r="N46" s="5">
        <f t="shared" si="3"/>
        <v>96415</v>
      </c>
    </row>
    <row r="47" spans="1:14" x14ac:dyDescent="0.2">
      <c r="A47">
        <v>94</v>
      </c>
      <c r="B47" s="5">
        <v>4</v>
      </c>
      <c r="C47" s="5">
        <v>0</v>
      </c>
      <c r="D47" s="5">
        <v>0</v>
      </c>
      <c r="E47" s="5">
        <v>485</v>
      </c>
      <c r="F47" s="5">
        <v>13256</v>
      </c>
      <c r="G47" s="5">
        <v>4255</v>
      </c>
      <c r="H47" s="5">
        <v>655</v>
      </c>
      <c r="I47" s="5">
        <v>983</v>
      </c>
      <c r="J47" s="5">
        <v>2827</v>
      </c>
      <c r="K47" s="5">
        <v>2102</v>
      </c>
      <c r="L47" s="5">
        <v>12499</v>
      </c>
      <c r="M47" s="5">
        <v>0</v>
      </c>
      <c r="N47" s="5">
        <f t="shared" si="3"/>
        <v>37066</v>
      </c>
    </row>
    <row r="48" spans="1:14" x14ac:dyDescent="0.2">
      <c r="A48">
        <v>95</v>
      </c>
      <c r="B48" s="5">
        <v>7946</v>
      </c>
      <c r="C48" s="5">
        <v>3660</v>
      </c>
      <c r="D48" s="5">
        <v>14380</v>
      </c>
      <c r="E48" s="5">
        <v>7466</v>
      </c>
      <c r="F48" s="5">
        <v>10629</v>
      </c>
      <c r="G48" s="5">
        <v>9403</v>
      </c>
      <c r="H48" s="5">
        <v>4352</v>
      </c>
      <c r="I48" s="5">
        <v>4361</v>
      </c>
      <c r="J48" s="5">
        <v>9333</v>
      </c>
      <c r="K48" s="5">
        <v>8225</v>
      </c>
      <c r="L48" s="5">
        <v>11987</v>
      </c>
      <c r="M48" s="5">
        <v>5342</v>
      </c>
      <c r="N48" s="5">
        <f t="shared" si="3"/>
        <v>97084</v>
      </c>
    </row>
    <row r="49" spans="1:14" x14ac:dyDescent="0.2">
      <c r="A49">
        <v>96</v>
      </c>
      <c r="B49" s="5">
        <v>12080</v>
      </c>
      <c r="C49" s="5">
        <v>17029</v>
      </c>
      <c r="D49" s="5">
        <v>12517</v>
      </c>
      <c r="E49" s="5">
        <v>7884</v>
      </c>
      <c r="F49" s="5">
        <v>15665</v>
      </c>
      <c r="G49" s="5">
        <v>4510</v>
      </c>
      <c r="H49" s="5">
        <v>6564</v>
      </c>
      <c r="I49" s="5">
        <v>4683</v>
      </c>
      <c r="J49" s="5">
        <v>9080</v>
      </c>
      <c r="K49" s="5">
        <v>9222</v>
      </c>
      <c r="L49" s="5">
        <v>13002</v>
      </c>
      <c r="M49" s="5">
        <v>3961</v>
      </c>
      <c r="N49" s="5">
        <f t="shared" si="3"/>
        <v>116197</v>
      </c>
    </row>
    <row r="50" spans="1:14" x14ac:dyDescent="0.2">
      <c r="A50">
        <v>97</v>
      </c>
      <c r="B50" s="6">
        <v>15167</v>
      </c>
      <c r="C50" s="6">
        <v>10146</v>
      </c>
      <c r="D50" s="5">
        <v>0</v>
      </c>
      <c r="E50" s="6">
        <v>2420</v>
      </c>
      <c r="F50" s="6">
        <v>7019</v>
      </c>
      <c r="G50" s="6">
        <v>7980</v>
      </c>
      <c r="H50" s="6">
        <v>5726</v>
      </c>
      <c r="I50" s="6">
        <v>4911</v>
      </c>
      <c r="J50" s="6">
        <v>10519</v>
      </c>
      <c r="K50" s="6">
        <v>10440</v>
      </c>
      <c r="L50" s="6">
        <v>10983</v>
      </c>
      <c r="M50" s="6">
        <v>4758</v>
      </c>
      <c r="N50" s="5">
        <f t="shared" si="3"/>
        <v>90069</v>
      </c>
    </row>
    <row r="51" spans="1:14" x14ac:dyDescent="0.2">
      <c r="N51" s="5" t="s">
        <v>14</v>
      </c>
    </row>
    <row r="52" spans="1:14" x14ac:dyDescent="0.2">
      <c r="A52" s="1" t="s">
        <v>18</v>
      </c>
      <c r="B52" s="7">
        <f t="shared" ref="B52:M52" si="4">AVERAGE(B41:B50)</f>
        <v>3963.3</v>
      </c>
      <c r="C52" s="7">
        <f t="shared" si="4"/>
        <v>3654.9</v>
      </c>
      <c r="D52" s="7">
        <f t="shared" si="4"/>
        <v>5846.1</v>
      </c>
      <c r="E52" s="7">
        <f t="shared" si="4"/>
        <v>3486.5</v>
      </c>
      <c r="F52" s="7">
        <f t="shared" si="4"/>
        <v>10118.700000000001</v>
      </c>
      <c r="G52" s="7">
        <f t="shared" si="4"/>
        <v>7008.6</v>
      </c>
      <c r="H52" s="7">
        <f t="shared" si="4"/>
        <v>4443.2</v>
      </c>
      <c r="I52" s="7">
        <f t="shared" si="4"/>
        <v>5982.6</v>
      </c>
      <c r="J52" s="7">
        <f t="shared" si="4"/>
        <v>10104.200000000001</v>
      </c>
      <c r="K52" s="7">
        <f t="shared" si="4"/>
        <v>9680.4</v>
      </c>
      <c r="L52" s="7">
        <f t="shared" si="4"/>
        <v>13124.7</v>
      </c>
      <c r="M52" s="7">
        <f t="shared" si="4"/>
        <v>5335.6</v>
      </c>
      <c r="N52" s="5" t="s">
        <v>14</v>
      </c>
    </row>
    <row r="53" spans="1:14" x14ac:dyDescent="0.2">
      <c r="B53" s="7">
        <f>+B52</f>
        <v>3963.3</v>
      </c>
      <c r="C53" s="7">
        <f t="shared" ref="C53:M53" si="5">+B53+C52</f>
        <v>7618.2000000000007</v>
      </c>
      <c r="D53" s="7">
        <f t="shared" si="5"/>
        <v>13464.300000000001</v>
      </c>
      <c r="E53" s="7">
        <f t="shared" si="5"/>
        <v>16950.800000000003</v>
      </c>
      <c r="F53" s="7">
        <f t="shared" si="5"/>
        <v>27069.500000000004</v>
      </c>
      <c r="G53" s="7">
        <f t="shared" si="5"/>
        <v>34078.100000000006</v>
      </c>
      <c r="H53" s="7">
        <f t="shared" si="5"/>
        <v>38521.300000000003</v>
      </c>
      <c r="I53" s="7">
        <f t="shared" si="5"/>
        <v>44503.9</v>
      </c>
      <c r="J53" s="7">
        <f t="shared" si="5"/>
        <v>54608.100000000006</v>
      </c>
      <c r="K53" s="7">
        <f t="shared" si="5"/>
        <v>64288.500000000007</v>
      </c>
      <c r="L53" s="7">
        <f t="shared" si="5"/>
        <v>77413.200000000012</v>
      </c>
      <c r="M53" s="7">
        <f t="shared" si="5"/>
        <v>82748.800000000017</v>
      </c>
      <c r="N53" s="7">
        <f>AVERAGE(N41:N50)</f>
        <v>82748.800000000003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opLeftCell="A2" workbookViewId="0">
      <pane xSplit="1" ySplit="2" topLeftCell="B4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2.75" x14ac:dyDescent="0.2"/>
  <sheetData>
    <row r="1" spans="1:11" x14ac:dyDescent="0.2">
      <c r="D1" s="1" t="s">
        <v>26</v>
      </c>
    </row>
    <row r="2" spans="1:11" x14ac:dyDescent="0.2">
      <c r="I2" s="17"/>
      <c r="J2" s="17"/>
      <c r="K2" s="17"/>
    </row>
    <row r="3" spans="1:11" ht="25.5" x14ac:dyDescent="0.2"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8" t="s">
        <v>32</v>
      </c>
      <c r="H3" s="18" t="s">
        <v>33</v>
      </c>
      <c r="I3" s="19" t="s">
        <v>34</v>
      </c>
      <c r="J3" s="19" t="s">
        <v>35</v>
      </c>
      <c r="K3" s="19" t="s">
        <v>36</v>
      </c>
    </row>
    <row r="4" spans="1:11" x14ac:dyDescent="0.2">
      <c r="A4" t="s">
        <v>37</v>
      </c>
      <c r="B4" s="4">
        <v>0</v>
      </c>
      <c r="C4" s="4">
        <v>0</v>
      </c>
      <c r="D4" s="4">
        <v>0</v>
      </c>
      <c r="E4" s="4">
        <v>0</v>
      </c>
      <c r="F4" s="4">
        <v>9</v>
      </c>
      <c r="G4" s="4">
        <v>8</v>
      </c>
      <c r="H4" s="4">
        <v>9</v>
      </c>
      <c r="I4">
        <f>SUM(B4:H4)</f>
        <v>26</v>
      </c>
      <c r="J4">
        <f>+I4</f>
        <v>26</v>
      </c>
      <c r="K4" s="20">
        <f>+J4*1.98</f>
        <v>51.48</v>
      </c>
    </row>
    <row r="5" spans="1:11" x14ac:dyDescent="0.2">
      <c r="A5" s="1" t="s">
        <v>38</v>
      </c>
      <c r="B5" s="4">
        <v>9</v>
      </c>
      <c r="C5" s="4">
        <v>8</v>
      </c>
      <c r="D5" s="4">
        <v>9</v>
      </c>
      <c r="E5" s="4">
        <v>10</v>
      </c>
      <c r="F5" s="4">
        <v>10</v>
      </c>
      <c r="G5" s="4">
        <v>10</v>
      </c>
      <c r="H5" s="4">
        <v>10</v>
      </c>
      <c r="I5">
        <f t="shared" ref="I5:I56" si="0">SUM(B5:H5)</f>
        <v>66</v>
      </c>
      <c r="J5">
        <f>+I5+J4</f>
        <v>92</v>
      </c>
      <c r="K5" s="20">
        <f t="shared" ref="K5:K56" si="1">+J5*1.98</f>
        <v>182.16</v>
      </c>
    </row>
    <row r="6" spans="1:11" x14ac:dyDescent="0.2">
      <c r="A6" s="1" t="s">
        <v>39</v>
      </c>
      <c r="B6" s="4">
        <v>10</v>
      </c>
      <c r="C6" s="4">
        <v>10</v>
      </c>
      <c r="D6" s="4">
        <v>11</v>
      </c>
      <c r="E6" s="4">
        <v>12</v>
      </c>
      <c r="F6" s="4">
        <v>11</v>
      </c>
      <c r="G6" s="4">
        <v>10</v>
      </c>
      <c r="H6" s="4">
        <v>11</v>
      </c>
      <c r="I6">
        <f t="shared" si="0"/>
        <v>75</v>
      </c>
      <c r="J6">
        <f t="shared" ref="J6:J56" si="2">+I6+J5</f>
        <v>167</v>
      </c>
      <c r="K6" s="20">
        <f t="shared" si="1"/>
        <v>330.66</v>
      </c>
    </row>
    <row r="7" spans="1:11" x14ac:dyDescent="0.2">
      <c r="A7" t="s">
        <v>40</v>
      </c>
      <c r="B7" s="4">
        <v>10</v>
      </c>
      <c r="C7" s="4">
        <v>9</v>
      </c>
      <c r="D7" s="4">
        <v>11</v>
      </c>
      <c r="E7" s="4">
        <v>16</v>
      </c>
      <c r="F7" s="4">
        <v>32</v>
      </c>
      <c r="G7" s="4">
        <v>76</v>
      </c>
      <c r="H7" s="4">
        <v>111</v>
      </c>
      <c r="I7">
        <f t="shared" si="0"/>
        <v>265</v>
      </c>
      <c r="J7">
        <f t="shared" si="2"/>
        <v>432</v>
      </c>
      <c r="K7" s="20">
        <f t="shared" si="1"/>
        <v>855.36</v>
      </c>
    </row>
    <row r="8" spans="1:11" x14ac:dyDescent="0.2">
      <c r="A8" s="1" t="s">
        <v>41</v>
      </c>
      <c r="B8" s="4">
        <v>108</v>
      </c>
      <c r="C8" s="4">
        <v>123</v>
      </c>
      <c r="D8" s="4">
        <v>122</v>
      </c>
      <c r="E8" s="4">
        <v>122</v>
      </c>
      <c r="F8" s="4">
        <v>148</v>
      </c>
      <c r="G8" s="4">
        <v>168</v>
      </c>
      <c r="H8" s="4">
        <v>173</v>
      </c>
      <c r="I8">
        <f t="shared" si="0"/>
        <v>964</v>
      </c>
      <c r="J8">
        <f t="shared" si="2"/>
        <v>1396</v>
      </c>
      <c r="K8" s="20">
        <f t="shared" si="1"/>
        <v>2764.08</v>
      </c>
    </row>
    <row r="9" spans="1:11" x14ac:dyDescent="0.2">
      <c r="A9" s="1" t="s">
        <v>42</v>
      </c>
      <c r="B9" s="4">
        <v>160</v>
      </c>
      <c r="C9" s="4">
        <v>165</v>
      </c>
      <c r="D9" s="4">
        <v>188</v>
      </c>
      <c r="E9" s="4">
        <v>205</v>
      </c>
      <c r="F9" s="4">
        <v>228</v>
      </c>
      <c r="G9" s="4">
        <v>241</v>
      </c>
      <c r="H9" s="4">
        <v>249</v>
      </c>
      <c r="I9">
        <f t="shared" si="0"/>
        <v>1436</v>
      </c>
      <c r="J9">
        <f t="shared" si="2"/>
        <v>2832</v>
      </c>
      <c r="K9" s="20">
        <f t="shared" si="1"/>
        <v>5607.36</v>
      </c>
    </row>
    <row r="10" spans="1:11" x14ac:dyDescent="0.2">
      <c r="A10" t="s">
        <v>43</v>
      </c>
      <c r="B10" s="4">
        <v>237</v>
      </c>
      <c r="C10" s="4">
        <v>195</v>
      </c>
      <c r="D10" s="4">
        <v>149</v>
      </c>
      <c r="E10" s="4">
        <v>181</v>
      </c>
      <c r="F10" s="4">
        <v>231</v>
      </c>
      <c r="G10" s="4">
        <v>257</v>
      </c>
      <c r="H10" s="4">
        <v>260</v>
      </c>
      <c r="I10">
        <f t="shared" si="0"/>
        <v>1510</v>
      </c>
      <c r="J10">
        <f t="shared" si="2"/>
        <v>4342</v>
      </c>
      <c r="K10" s="20">
        <f t="shared" si="1"/>
        <v>8597.16</v>
      </c>
    </row>
    <row r="11" spans="1:11" x14ac:dyDescent="0.2">
      <c r="A11" s="1" t="s">
        <v>44</v>
      </c>
      <c r="B11" s="4">
        <v>233</v>
      </c>
      <c r="C11" s="4">
        <v>210</v>
      </c>
      <c r="D11" s="4">
        <v>200</v>
      </c>
      <c r="E11" s="4">
        <v>190</v>
      </c>
      <c r="F11" s="4">
        <v>121</v>
      </c>
      <c r="G11" s="4">
        <v>110</v>
      </c>
      <c r="H11" s="4">
        <v>120</v>
      </c>
      <c r="I11">
        <f t="shared" si="0"/>
        <v>1184</v>
      </c>
      <c r="J11">
        <f t="shared" si="2"/>
        <v>5526</v>
      </c>
      <c r="K11" s="20">
        <f t="shared" si="1"/>
        <v>10941.48</v>
      </c>
    </row>
    <row r="12" spans="1:11" x14ac:dyDescent="0.2">
      <c r="A12" t="s">
        <v>45</v>
      </c>
      <c r="B12" s="4">
        <v>112</v>
      </c>
      <c r="C12" s="4">
        <v>113</v>
      </c>
      <c r="D12" s="4">
        <v>114</v>
      </c>
      <c r="E12" s="4">
        <v>118</v>
      </c>
      <c r="F12" s="4">
        <v>133</v>
      </c>
      <c r="G12" s="4">
        <v>143</v>
      </c>
      <c r="H12" s="4">
        <v>151</v>
      </c>
      <c r="I12">
        <f t="shared" si="0"/>
        <v>884</v>
      </c>
      <c r="J12">
        <f t="shared" si="2"/>
        <v>6410</v>
      </c>
      <c r="K12" s="20">
        <f t="shared" si="1"/>
        <v>12691.8</v>
      </c>
    </row>
    <row r="13" spans="1:11" x14ac:dyDescent="0.2">
      <c r="A13" s="1" t="s">
        <v>46</v>
      </c>
      <c r="B13" s="4">
        <v>138</v>
      </c>
      <c r="C13" s="4">
        <v>125</v>
      </c>
      <c r="D13" s="4">
        <v>135</v>
      </c>
      <c r="E13" s="4">
        <v>136</v>
      </c>
      <c r="F13" s="4">
        <v>136</v>
      </c>
      <c r="G13" s="4">
        <v>149</v>
      </c>
      <c r="H13" s="4">
        <v>136</v>
      </c>
      <c r="I13">
        <f t="shared" si="0"/>
        <v>955</v>
      </c>
      <c r="J13">
        <f t="shared" si="2"/>
        <v>7365</v>
      </c>
      <c r="K13" s="20">
        <f t="shared" si="1"/>
        <v>14582.7</v>
      </c>
    </row>
    <row r="14" spans="1:11" x14ac:dyDescent="0.2">
      <c r="A14" s="1" t="s">
        <v>47</v>
      </c>
      <c r="B14" s="4">
        <v>138</v>
      </c>
      <c r="C14" s="4">
        <v>109</v>
      </c>
      <c r="D14" s="4">
        <v>122</v>
      </c>
      <c r="E14" s="4">
        <v>112</v>
      </c>
      <c r="F14" s="4">
        <v>102</v>
      </c>
      <c r="G14" s="4">
        <v>75</v>
      </c>
      <c r="H14" s="4">
        <v>95</v>
      </c>
      <c r="I14">
        <f t="shared" si="0"/>
        <v>753</v>
      </c>
      <c r="J14">
        <f t="shared" si="2"/>
        <v>8118</v>
      </c>
      <c r="K14" s="20">
        <f t="shared" si="1"/>
        <v>16073.64</v>
      </c>
    </row>
    <row r="15" spans="1:11" x14ac:dyDescent="0.2">
      <c r="A15" t="s">
        <v>48</v>
      </c>
      <c r="B15" s="4">
        <v>97</v>
      </c>
      <c r="C15" s="4">
        <v>109</v>
      </c>
      <c r="D15" s="4">
        <v>96</v>
      </c>
      <c r="E15" s="4">
        <v>91</v>
      </c>
      <c r="F15" s="4">
        <v>87</v>
      </c>
      <c r="G15" s="4">
        <v>98</v>
      </c>
      <c r="H15" s="4">
        <v>98</v>
      </c>
      <c r="I15">
        <f t="shared" si="0"/>
        <v>676</v>
      </c>
      <c r="J15">
        <f t="shared" si="2"/>
        <v>8794</v>
      </c>
      <c r="K15" s="20">
        <f t="shared" si="1"/>
        <v>17412.12</v>
      </c>
    </row>
    <row r="16" spans="1:11" x14ac:dyDescent="0.2">
      <c r="A16" s="1" t="s">
        <v>49</v>
      </c>
      <c r="B16" s="4">
        <v>74</v>
      </c>
      <c r="C16" s="4">
        <v>80</v>
      </c>
      <c r="D16" s="4">
        <v>76</v>
      </c>
      <c r="E16" s="4">
        <v>77</v>
      </c>
      <c r="F16" s="4">
        <v>79</v>
      </c>
      <c r="G16" s="4">
        <v>86</v>
      </c>
      <c r="H16" s="4">
        <v>152</v>
      </c>
      <c r="I16">
        <f t="shared" si="0"/>
        <v>624</v>
      </c>
      <c r="J16">
        <f t="shared" si="2"/>
        <v>9418</v>
      </c>
      <c r="K16" s="20">
        <f t="shared" si="1"/>
        <v>18647.64</v>
      </c>
    </row>
    <row r="17" spans="1:11" x14ac:dyDescent="0.2">
      <c r="A17" s="1" t="s">
        <v>50</v>
      </c>
      <c r="B17" s="4">
        <v>264</v>
      </c>
      <c r="C17" s="4">
        <v>194</v>
      </c>
      <c r="D17" s="4">
        <v>221</v>
      </c>
      <c r="E17" s="4">
        <v>282</v>
      </c>
      <c r="F17" s="4">
        <v>301</v>
      </c>
      <c r="G17" s="4">
        <v>293</v>
      </c>
      <c r="H17" s="4">
        <v>322</v>
      </c>
      <c r="I17">
        <f t="shared" si="0"/>
        <v>1877</v>
      </c>
      <c r="J17">
        <f t="shared" si="2"/>
        <v>11295</v>
      </c>
      <c r="K17" s="20">
        <f t="shared" si="1"/>
        <v>22364.1</v>
      </c>
    </row>
    <row r="18" spans="1:11" x14ac:dyDescent="0.2">
      <c r="A18" t="s">
        <v>51</v>
      </c>
      <c r="B18" s="4">
        <v>329</v>
      </c>
      <c r="C18" s="4">
        <v>333</v>
      </c>
      <c r="D18" s="4">
        <v>318</v>
      </c>
      <c r="E18" s="4">
        <v>324</v>
      </c>
      <c r="F18" s="4">
        <v>334</v>
      </c>
      <c r="G18" s="4">
        <v>316</v>
      </c>
      <c r="H18" s="4">
        <v>325</v>
      </c>
      <c r="I18">
        <f t="shared" si="0"/>
        <v>2279</v>
      </c>
      <c r="J18">
        <f t="shared" si="2"/>
        <v>13574</v>
      </c>
      <c r="K18" s="20">
        <f t="shared" si="1"/>
        <v>26876.52</v>
      </c>
    </row>
    <row r="19" spans="1:11" x14ac:dyDescent="0.2">
      <c r="A19" s="1" t="s">
        <v>52</v>
      </c>
      <c r="B19" s="4">
        <v>318</v>
      </c>
      <c r="C19" s="4">
        <v>324</v>
      </c>
      <c r="D19" s="4">
        <v>334</v>
      </c>
      <c r="E19" s="4">
        <v>316</v>
      </c>
      <c r="F19" s="4">
        <v>325</v>
      </c>
      <c r="G19" s="4">
        <v>339</v>
      </c>
      <c r="H19" s="4">
        <v>362</v>
      </c>
      <c r="I19">
        <f t="shared" si="0"/>
        <v>2318</v>
      </c>
      <c r="J19">
        <f t="shared" si="2"/>
        <v>15892</v>
      </c>
      <c r="K19" s="20">
        <f t="shared" si="1"/>
        <v>31466.16</v>
      </c>
    </row>
    <row r="20" spans="1:11" x14ac:dyDescent="0.2">
      <c r="A20" t="s">
        <v>53</v>
      </c>
      <c r="B20" s="4">
        <v>354</v>
      </c>
      <c r="C20" s="4">
        <v>344</v>
      </c>
      <c r="D20" s="4">
        <v>253</v>
      </c>
      <c r="E20" s="4">
        <v>158</v>
      </c>
      <c r="F20" s="4">
        <v>166</v>
      </c>
      <c r="G20" s="4">
        <v>162</v>
      </c>
      <c r="H20" s="4">
        <v>163</v>
      </c>
      <c r="I20">
        <f t="shared" si="0"/>
        <v>1600</v>
      </c>
      <c r="J20">
        <f t="shared" si="2"/>
        <v>17492</v>
      </c>
      <c r="K20" s="20">
        <f t="shared" si="1"/>
        <v>34634.159999999996</v>
      </c>
    </row>
    <row r="21" spans="1:11" x14ac:dyDescent="0.2">
      <c r="A21" s="1" t="s">
        <v>54</v>
      </c>
      <c r="B21" s="4">
        <v>164</v>
      </c>
      <c r="C21" s="4">
        <v>153</v>
      </c>
      <c r="D21" s="4">
        <v>133</v>
      </c>
      <c r="E21" s="4">
        <v>130</v>
      </c>
      <c r="F21" s="4">
        <v>129</v>
      </c>
      <c r="G21" s="4">
        <v>133</v>
      </c>
      <c r="H21" s="4">
        <v>123</v>
      </c>
      <c r="I21">
        <f t="shared" si="0"/>
        <v>965</v>
      </c>
      <c r="J21">
        <f t="shared" si="2"/>
        <v>18457</v>
      </c>
      <c r="K21" s="20">
        <f t="shared" si="1"/>
        <v>36544.86</v>
      </c>
    </row>
    <row r="22" spans="1:11" x14ac:dyDescent="0.2">
      <c r="A22" s="1" t="s">
        <v>55</v>
      </c>
      <c r="B22" s="4">
        <v>129</v>
      </c>
      <c r="C22" s="4">
        <v>111</v>
      </c>
      <c r="D22" s="4">
        <v>244</v>
      </c>
      <c r="E22" s="4">
        <v>266</v>
      </c>
      <c r="F22" s="4">
        <v>390</v>
      </c>
      <c r="G22" s="4">
        <v>397</v>
      </c>
      <c r="H22" s="4">
        <v>400</v>
      </c>
      <c r="I22">
        <f t="shared" si="0"/>
        <v>1937</v>
      </c>
      <c r="J22">
        <f t="shared" si="2"/>
        <v>20394</v>
      </c>
      <c r="K22" s="20">
        <f t="shared" si="1"/>
        <v>40380.120000000003</v>
      </c>
    </row>
    <row r="23" spans="1:11" x14ac:dyDescent="0.2">
      <c r="A23" t="s">
        <v>56</v>
      </c>
      <c r="B23" s="4">
        <v>404</v>
      </c>
      <c r="C23" s="4">
        <v>397</v>
      </c>
      <c r="D23" s="4">
        <v>403</v>
      </c>
      <c r="E23" s="4">
        <v>382</v>
      </c>
      <c r="F23" s="4">
        <v>340</v>
      </c>
      <c r="G23" s="4">
        <v>311</v>
      </c>
      <c r="H23" s="4">
        <v>284</v>
      </c>
      <c r="I23">
        <f t="shared" si="0"/>
        <v>2521</v>
      </c>
      <c r="J23">
        <f t="shared" si="2"/>
        <v>22915</v>
      </c>
      <c r="K23" s="20">
        <f t="shared" si="1"/>
        <v>45371.7</v>
      </c>
    </row>
    <row r="24" spans="1:11" x14ac:dyDescent="0.2">
      <c r="A24" s="1" t="s">
        <v>57</v>
      </c>
      <c r="B24" s="4">
        <v>295</v>
      </c>
      <c r="C24" s="4">
        <v>294</v>
      </c>
      <c r="D24" s="4">
        <v>293</v>
      </c>
      <c r="E24" s="4">
        <v>298</v>
      </c>
      <c r="F24" s="4">
        <v>306</v>
      </c>
      <c r="G24" s="4">
        <v>296</v>
      </c>
      <c r="H24" s="4">
        <v>293</v>
      </c>
      <c r="I24">
        <f t="shared" si="0"/>
        <v>2075</v>
      </c>
      <c r="J24">
        <f t="shared" si="2"/>
        <v>24990</v>
      </c>
      <c r="K24" s="20">
        <f t="shared" si="1"/>
        <v>49480.2</v>
      </c>
    </row>
    <row r="25" spans="1:11" x14ac:dyDescent="0.2">
      <c r="A25" s="1" t="s">
        <v>58</v>
      </c>
      <c r="B25" s="4">
        <v>293</v>
      </c>
      <c r="C25" s="4">
        <v>277</v>
      </c>
      <c r="D25" s="4">
        <v>273</v>
      </c>
      <c r="E25" s="4">
        <v>342</v>
      </c>
      <c r="F25" s="4">
        <v>358</v>
      </c>
      <c r="G25" s="4">
        <v>361</v>
      </c>
      <c r="H25" s="4">
        <v>361</v>
      </c>
      <c r="I25">
        <f t="shared" si="0"/>
        <v>2265</v>
      </c>
      <c r="J25">
        <f t="shared" si="2"/>
        <v>27255</v>
      </c>
      <c r="K25" s="20">
        <f t="shared" si="1"/>
        <v>53964.9</v>
      </c>
    </row>
    <row r="26" spans="1:11" x14ac:dyDescent="0.2">
      <c r="A26" t="s">
        <v>59</v>
      </c>
      <c r="B26" s="4">
        <v>357</v>
      </c>
      <c r="C26" s="4">
        <v>368</v>
      </c>
      <c r="D26" s="4">
        <v>376</v>
      </c>
      <c r="E26" s="4">
        <v>356</v>
      </c>
      <c r="F26" s="4">
        <v>358</v>
      </c>
      <c r="G26" s="4">
        <v>354</v>
      </c>
      <c r="H26" s="4">
        <v>322</v>
      </c>
      <c r="I26">
        <f t="shared" si="0"/>
        <v>2491</v>
      </c>
      <c r="J26">
        <f t="shared" si="2"/>
        <v>29746</v>
      </c>
      <c r="K26" s="20">
        <f t="shared" si="1"/>
        <v>58897.08</v>
      </c>
    </row>
    <row r="27" spans="1:11" x14ac:dyDescent="0.2">
      <c r="A27" s="1" t="s">
        <v>60</v>
      </c>
      <c r="B27" s="4">
        <v>318</v>
      </c>
      <c r="C27" s="4">
        <v>319</v>
      </c>
      <c r="D27" s="4">
        <v>234</v>
      </c>
      <c r="E27" s="4">
        <v>213</v>
      </c>
      <c r="F27" s="4">
        <v>231</v>
      </c>
      <c r="G27" s="4">
        <v>202</v>
      </c>
      <c r="H27" s="4">
        <v>176</v>
      </c>
      <c r="I27">
        <f t="shared" si="0"/>
        <v>1693</v>
      </c>
      <c r="J27">
        <f t="shared" si="2"/>
        <v>31439</v>
      </c>
      <c r="K27" s="20">
        <f t="shared" si="1"/>
        <v>62249.22</v>
      </c>
    </row>
    <row r="28" spans="1:11" x14ac:dyDescent="0.2">
      <c r="A28" t="s">
        <v>61</v>
      </c>
      <c r="B28" s="4">
        <v>175</v>
      </c>
      <c r="C28" s="4">
        <v>208</v>
      </c>
      <c r="D28" s="4">
        <v>202</v>
      </c>
      <c r="E28" s="4">
        <v>193</v>
      </c>
      <c r="F28" s="4">
        <v>189</v>
      </c>
      <c r="G28" s="4">
        <v>214</v>
      </c>
      <c r="H28" s="4">
        <v>217</v>
      </c>
      <c r="I28">
        <f t="shared" si="0"/>
        <v>1398</v>
      </c>
      <c r="J28">
        <f t="shared" si="2"/>
        <v>32837</v>
      </c>
      <c r="K28" s="20">
        <f t="shared" si="1"/>
        <v>65017.26</v>
      </c>
    </row>
    <row r="29" spans="1:11" x14ac:dyDescent="0.2">
      <c r="A29" s="1" t="s">
        <v>62</v>
      </c>
      <c r="B29" s="4">
        <v>205</v>
      </c>
      <c r="C29" s="4">
        <v>199</v>
      </c>
      <c r="D29" s="4">
        <v>155</v>
      </c>
      <c r="E29" s="4">
        <v>86</v>
      </c>
      <c r="F29" s="4">
        <v>60</v>
      </c>
      <c r="G29" s="4">
        <v>57</v>
      </c>
      <c r="H29" s="4">
        <v>53</v>
      </c>
      <c r="I29">
        <f t="shared" si="0"/>
        <v>815</v>
      </c>
      <c r="J29">
        <f t="shared" si="2"/>
        <v>33652</v>
      </c>
      <c r="K29" s="20">
        <f t="shared" si="1"/>
        <v>66630.960000000006</v>
      </c>
    </row>
    <row r="30" spans="1:11" x14ac:dyDescent="0.2">
      <c r="A30" s="1" t="s">
        <v>63</v>
      </c>
      <c r="B30" s="4">
        <v>50</v>
      </c>
      <c r="C30" s="4">
        <v>35</v>
      </c>
      <c r="D30" s="4">
        <v>25</v>
      </c>
      <c r="E30" s="4">
        <v>31</v>
      </c>
      <c r="F30" s="4">
        <v>30</v>
      </c>
      <c r="G30" s="4">
        <v>25</v>
      </c>
      <c r="H30" s="4">
        <v>25</v>
      </c>
      <c r="I30">
        <f t="shared" si="0"/>
        <v>221</v>
      </c>
      <c r="J30">
        <f t="shared" si="2"/>
        <v>33873</v>
      </c>
      <c r="K30" s="20">
        <f t="shared" si="1"/>
        <v>67068.539999999994</v>
      </c>
    </row>
    <row r="31" spans="1:11" x14ac:dyDescent="0.2">
      <c r="A31" t="s">
        <v>64</v>
      </c>
      <c r="B31" s="4">
        <v>22</v>
      </c>
      <c r="C31" s="4">
        <v>23</v>
      </c>
      <c r="D31" s="4">
        <v>13</v>
      </c>
      <c r="E31" s="4">
        <v>6</v>
      </c>
      <c r="F31" s="4">
        <v>18</v>
      </c>
      <c r="G31" s="4">
        <v>12</v>
      </c>
      <c r="H31" s="4">
        <v>13</v>
      </c>
      <c r="I31">
        <f t="shared" si="0"/>
        <v>107</v>
      </c>
      <c r="J31">
        <f t="shared" si="2"/>
        <v>33980</v>
      </c>
      <c r="K31" s="20">
        <f t="shared" si="1"/>
        <v>67280.399999999994</v>
      </c>
    </row>
    <row r="32" spans="1:11" x14ac:dyDescent="0.2">
      <c r="A32" s="1" t="s">
        <v>65</v>
      </c>
      <c r="B32" s="4">
        <v>17</v>
      </c>
      <c r="C32" s="4">
        <v>10</v>
      </c>
      <c r="D32" s="4">
        <v>8</v>
      </c>
      <c r="E32" s="4">
        <v>9</v>
      </c>
      <c r="F32" s="4">
        <v>25</v>
      </c>
      <c r="G32" s="4">
        <v>24</v>
      </c>
      <c r="H32" s="4">
        <v>6</v>
      </c>
      <c r="I32">
        <f t="shared" si="0"/>
        <v>99</v>
      </c>
      <c r="J32">
        <f t="shared" si="2"/>
        <v>34079</v>
      </c>
      <c r="K32" s="20">
        <f t="shared" si="1"/>
        <v>67476.42</v>
      </c>
    </row>
    <row r="33" spans="1:11" x14ac:dyDescent="0.2">
      <c r="A33" s="1" t="s">
        <v>66</v>
      </c>
      <c r="B33" s="4">
        <v>10</v>
      </c>
      <c r="C33" s="4">
        <v>17</v>
      </c>
      <c r="D33" s="4">
        <v>16</v>
      </c>
      <c r="E33" s="4">
        <v>17</v>
      </c>
      <c r="F33" s="4">
        <v>22</v>
      </c>
      <c r="G33" s="4">
        <v>31</v>
      </c>
      <c r="H33" s="4">
        <v>26</v>
      </c>
      <c r="I33">
        <f t="shared" si="0"/>
        <v>139</v>
      </c>
      <c r="J33">
        <f t="shared" si="2"/>
        <v>34218</v>
      </c>
      <c r="K33" s="20">
        <f t="shared" si="1"/>
        <v>67751.64</v>
      </c>
    </row>
    <row r="34" spans="1:11" x14ac:dyDescent="0.2">
      <c r="A34" t="s">
        <v>67</v>
      </c>
      <c r="B34" s="4">
        <v>29</v>
      </c>
      <c r="C34" s="4">
        <v>30</v>
      </c>
      <c r="D34" s="4">
        <v>32</v>
      </c>
      <c r="E34" s="4">
        <v>52</v>
      </c>
      <c r="F34" s="4">
        <v>46</v>
      </c>
      <c r="G34" s="4">
        <v>39</v>
      </c>
      <c r="H34" s="4">
        <v>34</v>
      </c>
      <c r="I34">
        <f t="shared" si="0"/>
        <v>262</v>
      </c>
      <c r="J34">
        <f t="shared" si="2"/>
        <v>34480</v>
      </c>
      <c r="K34" s="20">
        <f t="shared" si="1"/>
        <v>68270.399999999994</v>
      </c>
    </row>
    <row r="35" spans="1:11" x14ac:dyDescent="0.2">
      <c r="A35" s="1" t="s">
        <v>68</v>
      </c>
      <c r="B35" s="4">
        <v>33</v>
      </c>
      <c r="C35" s="4">
        <v>32</v>
      </c>
      <c r="D35" s="4">
        <v>37</v>
      </c>
      <c r="E35" s="4">
        <v>37</v>
      </c>
      <c r="F35" s="4">
        <v>38</v>
      </c>
      <c r="G35" s="4">
        <v>33</v>
      </c>
      <c r="H35" s="4">
        <v>32</v>
      </c>
      <c r="I35">
        <f t="shared" si="0"/>
        <v>242</v>
      </c>
      <c r="J35">
        <f t="shared" si="2"/>
        <v>34722</v>
      </c>
      <c r="K35" s="20">
        <f t="shared" si="1"/>
        <v>68749.56</v>
      </c>
    </row>
    <row r="36" spans="1:11" x14ac:dyDescent="0.2">
      <c r="A36" t="s">
        <v>69</v>
      </c>
      <c r="B36" s="4">
        <v>32</v>
      </c>
      <c r="C36" s="4">
        <v>32</v>
      </c>
      <c r="D36" s="4">
        <v>33</v>
      </c>
      <c r="E36" s="4">
        <v>33</v>
      </c>
      <c r="F36" s="4">
        <v>33</v>
      </c>
      <c r="G36" s="4">
        <v>63</v>
      </c>
      <c r="H36" s="4">
        <v>60</v>
      </c>
      <c r="I36">
        <f t="shared" si="0"/>
        <v>286</v>
      </c>
      <c r="J36">
        <f t="shared" si="2"/>
        <v>35008</v>
      </c>
      <c r="K36" s="20">
        <f t="shared" si="1"/>
        <v>69315.839999999997</v>
      </c>
    </row>
    <row r="37" spans="1:11" x14ac:dyDescent="0.2">
      <c r="A37" s="1" t="s">
        <v>70</v>
      </c>
      <c r="B37" s="4">
        <v>55</v>
      </c>
      <c r="C37" s="4">
        <v>49</v>
      </c>
      <c r="D37" s="4">
        <v>36</v>
      </c>
      <c r="E37" s="4">
        <v>0</v>
      </c>
      <c r="F37" s="4">
        <v>8</v>
      </c>
      <c r="G37" s="4">
        <v>27</v>
      </c>
      <c r="H37" s="4">
        <v>35</v>
      </c>
      <c r="I37">
        <f t="shared" si="0"/>
        <v>210</v>
      </c>
      <c r="J37">
        <f t="shared" si="2"/>
        <v>35218</v>
      </c>
      <c r="K37" s="20">
        <f t="shared" si="1"/>
        <v>69731.64</v>
      </c>
    </row>
    <row r="38" spans="1:11" x14ac:dyDescent="0.2">
      <c r="A38" s="1" t="s">
        <v>71</v>
      </c>
      <c r="B38" s="4">
        <v>30</v>
      </c>
      <c r="C38" s="4">
        <v>39</v>
      </c>
      <c r="D38" s="4">
        <v>50</v>
      </c>
      <c r="E38" s="4">
        <v>54</v>
      </c>
      <c r="F38" s="4">
        <v>54</v>
      </c>
      <c r="G38" s="4">
        <v>38</v>
      </c>
      <c r="H38" s="4">
        <v>38</v>
      </c>
      <c r="I38">
        <f t="shared" si="0"/>
        <v>303</v>
      </c>
      <c r="J38">
        <f t="shared" si="2"/>
        <v>35521</v>
      </c>
      <c r="K38" s="20">
        <f t="shared" si="1"/>
        <v>70331.58</v>
      </c>
    </row>
    <row r="39" spans="1:11" x14ac:dyDescent="0.2">
      <c r="A39" t="s">
        <v>72</v>
      </c>
      <c r="B39" s="4">
        <v>42</v>
      </c>
      <c r="C39" s="4">
        <v>43</v>
      </c>
      <c r="D39" s="4">
        <v>44</v>
      </c>
      <c r="E39" s="4">
        <v>25</v>
      </c>
      <c r="F39" s="4">
        <v>23</v>
      </c>
      <c r="G39" s="4">
        <v>20</v>
      </c>
      <c r="H39" s="4">
        <v>10</v>
      </c>
      <c r="I39">
        <f t="shared" si="0"/>
        <v>207</v>
      </c>
      <c r="J39">
        <f t="shared" si="2"/>
        <v>35728</v>
      </c>
      <c r="K39" s="20">
        <f t="shared" si="1"/>
        <v>70741.440000000002</v>
      </c>
    </row>
    <row r="40" spans="1:11" x14ac:dyDescent="0.2">
      <c r="A40" s="1" t="s">
        <v>73</v>
      </c>
      <c r="B40" s="4">
        <v>7</v>
      </c>
      <c r="C40" s="4">
        <v>7</v>
      </c>
      <c r="D40" s="4">
        <v>8</v>
      </c>
      <c r="E40" s="4">
        <v>8</v>
      </c>
      <c r="F40" s="4">
        <v>8</v>
      </c>
      <c r="G40" s="4">
        <v>7</v>
      </c>
      <c r="H40" s="4">
        <v>8</v>
      </c>
      <c r="I40">
        <f t="shared" si="0"/>
        <v>53</v>
      </c>
      <c r="J40">
        <f t="shared" si="2"/>
        <v>35781</v>
      </c>
      <c r="K40" s="20">
        <f t="shared" si="1"/>
        <v>70846.38</v>
      </c>
    </row>
    <row r="41" spans="1:11" x14ac:dyDescent="0.2">
      <c r="A41" s="1" t="s">
        <v>74</v>
      </c>
      <c r="B41" s="4">
        <v>7</v>
      </c>
      <c r="C41" s="4">
        <v>9</v>
      </c>
      <c r="D41" s="4">
        <v>10</v>
      </c>
      <c r="E41" s="4">
        <v>11</v>
      </c>
      <c r="F41" s="4">
        <v>20</v>
      </c>
      <c r="G41" s="4">
        <v>24</v>
      </c>
      <c r="H41" s="4">
        <v>9</v>
      </c>
      <c r="I41">
        <f t="shared" si="0"/>
        <v>90</v>
      </c>
      <c r="J41">
        <f t="shared" si="2"/>
        <v>35871</v>
      </c>
      <c r="K41" s="20">
        <f t="shared" si="1"/>
        <v>71024.58</v>
      </c>
    </row>
    <row r="42" spans="1:11" x14ac:dyDescent="0.2">
      <c r="A42" t="s">
        <v>75</v>
      </c>
      <c r="B42" s="4">
        <v>8</v>
      </c>
      <c r="C42" s="4">
        <v>12</v>
      </c>
      <c r="D42" s="4">
        <v>18</v>
      </c>
      <c r="E42" s="4">
        <v>21</v>
      </c>
      <c r="F42" s="4">
        <v>16</v>
      </c>
      <c r="G42" s="4">
        <v>11</v>
      </c>
      <c r="H42" s="4">
        <v>8</v>
      </c>
      <c r="I42">
        <f t="shared" si="0"/>
        <v>94</v>
      </c>
      <c r="J42">
        <f t="shared" si="2"/>
        <v>35965</v>
      </c>
      <c r="K42" s="20">
        <f t="shared" si="1"/>
        <v>71210.7</v>
      </c>
    </row>
    <row r="43" spans="1:11" x14ac:dyDescent="0.2">
      <c r="A43" s="1" t="s">
        <v>76</v>
      </c>
      <c r="B43" s="4">
        <v>12</v>
      </c>
      <c r="C43" s="4">
        <v>13</v>
      </c>
      <c r="D43" s="4">
        <v>14</v>
      </c>
      <c r="E43" s="4">
        <v>14</v>
      </c>
      <c r="F43" s="4">
        <v>14</v>
      </c>
      <c r="G43" s="4">
        <v>14</v>
      </c>
      <c r="H43" s="4">
        <v>15</v>
      </c>
      <c r="I43">
        <f t="shared" si="0"/>
        <v>96</v>
      </c>
      <c r="J43">
        <f t="shared" si="2"/>
        <v>36061</v>
      </c>
      <c r="K43" s="20">
        <f t="shared" si="1"/>
        <v>71400.78</v>
      </c>
    </row>
    <row r="44" spans="1:11" x14ac:dyDescent="0.2">
      <c r="A44" t="s">
        <v>77</v>
      </c>
      <c r="B44" s="4">
        <v>15</v>
      </c>
      <c r="C44" s="4">
        <v>16</v>
      </c>
      <c r="D44" s="4">
        <v>18</v>
      </c>
      <c r="E44" s="4">
        <v>16</v>
      </c>
      <c r="F44" s="4">
        <v>15</v>
      </c>
      <c r="G44" s="4">
        <v>14</v>
      </c>
      <c r="H44" s="4">
        <v>14</v>
      </c>
      <c r="I44">
        <f t="shared" si="0"/>
        <v>108</v>
      </c>
      <c r="J44">
        <f t="shared" si="2"/>
        <v>36169</v>
      </c>
      <c r="K44" s="20">
        <f t="shared" si="1"/>
        <v>71614.62</v>
      </c>
    </row>
    <row r="45" spans="1:11" x14ac:dyDescent="0.2">
      <c r="A45" s="1" t="s">
        <v>78</v>
      </c>
      <c r="B45" s="4">
        <v>14</v>
      </c>
      <c r="C45" s="4">
        <v>14</v>
      </c>
      <c r="D45" s="4">
        <v>14</v>
      </c>
      <c r="E45" s="4">
        <v>31</v>
      </c>
      <c r="F45" s="4">
        <v>44</v>
      </c>
      <c r="G45" s="4">
        <v>43</v>
      </c>
      <c r="H45" s="4">
        <v>44</v>
      </c>
      <c r="I45">
        <f t="shared" si="0"/>
        <v>204</v>
      </c>
      <c r="J45">
        <f t="shared" si="2"/>
        <v>36373</v>
      </c>
      <c r="K45" s="20">
        <f t="shared" si="1"/>
        <v>72018.539999999994</v>
      </c>
    </row>
    <row r="46" spans="1:11" x14ac:dyDescent="0.2">
      <c r="A46" s="1" t="s">
        <v>79</v>
      </c>
      <c r="B46" s="4">
        <v>50</v>
      </c>
      <c r="C46" s="4">
        <v>52</v>
      </c>
      <c r="D46" s="4">
        <v>50</v>
      </c>
      <c r="E46" s="4">
        <v>50</v>
      </c>
      <c r="F46" s="4">
        <v>49</v>
      </c>
      <c r="G46" s="4">
        <v>49</v>
      </c>
      <c r="H46" s="4">
        <v>46</v>
      </c>
      <c r="I46">
        <f t="shared" si="0"/>
        <v>346</v>
      </c>
      <c r="J46">
        <f t="shared" si="2"/>
        <v>36719</v>
      </c>
      <c r="K46" s="20">
        <f t="shared" si="1"/>
        <v>72703.62</v>
      </c>
    </row>
    <row r="47" spans="1:11" x14ac:dyDescent="0.2">
      <c r="A47" t="s">
        <v>80</v>
      </c>
      <c r="B47" s="4">
        <v>45</v>
      </c>
      <c r="C47" s="4">
        <v>43</v>
      </c>
      <c r="D47" s="4">
        <v>41</v>
      </c>
      <c r="E47" s="4">
        <v>40</v>
      </c>
      <c r="F47" s="4">
        <v>39</v>
      </c>
      <c r="G47" s="4">
        <v>37</v>
      </c>
      <c r="H47" s="4">
        <v>24</v>
      </c>
      <c r="I47">
        <f t="shared" si="0"/>
        <v>269</v>
      </c>
      <c r="J47">
        <f t="shared" si="2"/>
        <v>36988</v>
      </c>
      <c r="K47" s="20">
        <f t="shared" si="1"/>
        <v>73236.240000000005</v>
      </c>
    </row>
    <row r="48" spans="1:11" x14ac:dyDescent="0.2">
      <c r="A48" s="1" t="s">
        <v>81</v>
      </c>
      <c r="B48" s="4">
        <v>24</v>
      </c>
      <c r="C48" s="4">
        <v>31</v>
      </c>
      <c r="D48" s="4">
        <v>31</v>
      </c>
      <c r="E48" s="4">
        <v>32</v>
      </c>
      <c r="F48" s="4">
        <v>32</v>
      </c>
      <c r="G48" s="4">
        <v>43</v>
      </c>
      <c r="H48" s="4">
        <v>49</v>
      </c>
      <c r="I48">
        <f t="shared" si="0"/>
        <v>242</v>
      </c>
      <c r="J48">
        <f t="shared" si="2"/>
        <v>37230</v>
      </c>
      <c r="K48" s="20">
        <f t="shared" si="1"/>
        <v>73715.399999999994</v>
      </c>
    </row>
    <row r="49" spans="1:11" x14ac:dyDescent="0.2">
      <c r="A49" s="1" t="s">
        <v>82</v>
      </c>
      <c r="B49" s="4">
        <v>46</v>
      </c>
      <c r="C49" s="4">
        <v>47</v>
      </c>
      <c r="D49" s="4">
        <v>70</v>
      </c>
      <c r="E49" s="4">
        <v>157</v>
      </c>
      <c r="F49" s="4">
        <v>174</v>
      </c>
      <c r="G49" s="4">
        <v>154</v>
      </c>
      <c r="H49" s="4">
        <v>198</v>
      </c>
      <c r="I49">
        <f t="shared" si="0"/>
        <v>846</v>
      </c>
      <c r="J49">
        <f t="shared" si="2"/>
        <v>38076</v>
      </c>
      <c r="K49" s="20">
        <f t="shared" si="1"/>
        <v>75390.48</v>
      </c>
    </row>
    <row r="50" spans="1:11" x14ac:dyDescent="0.2">
      <c r="A50" t="s">
        <v>83</v>
      </c>
      <c r="B50" s="4">
        <v>173</v>
      </c>
      <c r="C50" s="4">
        <v>140</v>
      </c>
      <c r="D50" s="4">
        <v>84</v>
      </c>
      <c r="E50" s="4">
        <v>13</v>
      </c>
      <c r="F50" s="4">
        <v>7</v>
      </c>
      <c r="G50" s="4">
        <v>23</v>
      </c>
      <c r="H50" s="4">
        <v>69</v>
      </c>
      <c r="I50">
        <f t="shared" si="0"/>
        <v>509</v>
      </c>
      <c r="J50">
        <f t="shared" si="2"/>
        <v>38585</v>
      </c>
      <c r="K50" s="20">
        <f t="shared" si="1"/>
        <v>76398.3</v>
      </c>
    </row>
    <row r="51" spans="1:11" x14ac:dyDescent="0.2">
      <c r="A51" s="1" t="s">
        <v>84</v>
      </c>
      <c r="B51" s="4">
        <v>80</v>
      </c>
      <c r="C51" s="4">
        <v>124</v>
      </c>
      <c r="D51" s="4">
        <v>175</v>
      </c>
      <c r="E51" s="4">
        <v>166</v>
      </c>
      <c r="F51" s="4">
        <v>171</v>
      </c>
      <c r="G51" s="4">
        <v>162</v>
      </c>
      <c r="H51" s="4">
        <v>167</v>
      </c>
      <c r="I51">
        <f t="shared" si="0"/>
        <v>1045</v>
      </c>
      <c r="J51">
        <f t="shared" si="2"/>
        <v>39630</v>
      </c>
      <c r="K51" s="20">
        <f t="shared" si="1"/>
        <v>78467.399999999994</v>
      </c>
    </row>
    <row r="52" spans="1:11" x14ac:dyDescent="0.2">
      <c r="A52" t="s">
        <v>85</v>
      </c>
      <c r="B52" s="4">
        <v>167</v>
      </c>
      <c r="C52" s="4">
        <v>173</v>
      </c>
      <c r="D52" s="4">
        <v>271</v>
      </c>
      <c r="E52" s="4">
        <v>249</v>
      </c>
      <c r="F52" s="4">
        <v>282</v>
      </c>
      <c r="G52" s="4">
        <v>276</v>
      </c>
      <c r="H52" s="4">
        <v>205</v>
      </c>
      <c r="I52">
        <f t="shared" si="0"/>
        <v>1623</v>
      </c>
      <c r="J52">
        <f t="shared" si="2"/>
        <v>41253</v>
      </c>
      <c r="K52" s="20">
        <f t="shared" si="1"/>
        <v>81680.94</v>
      </c>
    </row>
    <row r="53" spans="1:11" x14ac:dyDescent="0.2">
      <c r="A53" s="1" t="s">
        <v>86</v>
      </c>
      <c r="B53" s="4">
        <v>196</v>
      </c>
      <c r="C53" s="4">
        <v>207</v>
      </c>
      <c r="D53" s="4">
        <v>209</v>
      </c>
      <c r="E53" s="4">
        <v>213</v>
      </c>
      <c r="F53" s="4">
        <v>190</v>
      </c>
      <c r="G53" s="4">
        <v>171</v>
      </c>
      <c r="H53" s="4">
        <v>192</v>
      </c>
      <c r="I53">
        <f t="shared" si="0"/>
        <v>1378</v>
      </c>
      <c r="J53">
        <f t="shared" si="2"/>
        <v>42631</v>
      </c>
      <c r="K53" s="20">
        <f t="shared" si="1"/>
        <v>84409.38</v>
      </c>
    </row>
    <row r="54" spans="1:11" x14ac:dyDescent="0.2">
      <c r="A54" s="1" t="s">
        <v>87</v>
      </c>
      <c r="B54" s="4">
        <v>196</v>
      </c>
      <c r="C54" s="4">
        <v>173</v>
      </c>
      <c r="D54" s="4">
        <v>209</v>
      </c>
      <c r="E54" s="4">
        <v>195</v>
      </c>
      <c r="F54" s="4">
        <v>199</v>
      </c>
      <c r="G54" s="4">
        <v>195</v>
      </c>
      <c r="H54" s="4">
        <v>201</v>
      </c>
      <c r="I54">
        <f t="shared" si="0"/>
        <v>1368</v>
      </c>
      <c r="J54">
        <f t="shared" si="2"/>
        <v>43999</v>
      </c>
      <c r="K54" s="20">
        <f t="shared" si="1"/>
        <v>87118.02</v>
      </c>
    </row>
    <row r="55" spans="1:11" x14ac:dyDescent="0.2">
      <c r="A55" t="s">
        <v>88</v>
      </c>
      <c r="B55" s="4">
        <v>188</v>
      </c>
      <c r="C55" s="4">
        <v>199</v>
      </c>
      <c r="D55" s="4">
        <v>172</v>
      </c>
      <c r="E55" s="4">
        <v>98</v>
      </c>
      <c r="F55" s="4">
        <v>105</v>
      </c>
      <c r="G55" s="4">
        <v>107</v>
      </c>
      <c r="H55" s="4">
        <v>105</v>
      </c>
      <c r="I55">
        <f t="shared" si="0"/>
        <v>974</v>
      </c>
      <c r="J55">
        <f t="shared" si="2"/>
        <v>44973</v>
      </c>
      <c r="K55" s="20">
        <f t="shared" si="1"/>
        <v>89046.54</v>
      </c>
    </row>
    <row r="56" spans="1:11" x14ac:dyDescent="0.2">
      <c r="A56" s="1" t="s">
        <v>89</v>
      </c>
      <c r="B56" s="4">
        <v>145</v>
      </c>
      <c r="C56" s="4">
        <v>153</v>
      </c>
      <c r="D56" s="4">
        <v>136</v>
      </c>
      <c r="E56" s="4">
        <v>136</v>
      </c>
      <c r="F56" s="4">
        <v>229</v>
      </c>
      <c r="G56" s="4">
        <v>0</v>
      </c>
      <c r="H56" s="4">
        <v>0</v>
      </c>
      <c r="I56">
        <f t="shared" si="0"/>
        <v>799</v>
      </c>
      <c r="J56">
        <f t="shared" si="2"/>
        <v>45772</v>
      </c>
      <c r="K56" s="20">
        <f t="shared" si="1"/>
        <v>90628.56</v>
      </c>
    </row>
    <row r="57" spans="1:11" x14ac:dyDescent="0.2">
      <c r="A57" s="1"/>
    </row>
    <row r="59" spans="1:11" x14ac:dyDescent="0.2">
      <c r="A59" s="1"/>
    </row>
    <row r="61" spans="1:11" x14ac:dyDescent="0.2">
      <c r="A61" s="1"/>
    </row>
    <row r="62" spans="1:11" x14ac:dyDescent="0.2">
      <c r="A62" s="1"/>
    </row>
    <row r="64" spans="1:11" x14ac:dyDescent="0.2">
      <c r="A64" s="1"/>
    </row>
    <row r="65" spans="1:1" x14ac:dyDescent="0.2">
      <c r="A65" s="1"/>
    </row>
    <row r="67" spans="1:1" x14ac:dyDescent="0.2">
      <c r="A67" s="1"/>
    </row>
    <row r="69" spans="1:1" x14ac:dyDescent="0.2">
      <c r="A69" s="1"/>
    </row>
    <row r="70" spans="1:1" x14ac:dyDescent="0.2">
      <c r="A70" s="1"/>
    </row>
    <row r="72" spans="1:1" x14ac:dyDescent="0.2">
      <c r="A72" s="1"/>
    </row>
    <row r="73" spans="1:1" x14ac:dyDescent="0.2">
      <c r="A73" s="1"/>
    </row>
    <row r="75" spans="1:1" x14ac:dyDescent="0.2">
      <c r="A75" s="1"/>
    </row>
    <row r="77" spans="1:1" x14ac:dyDescent="0.2">
      <c r="A77" s="1"/>
    </row>
    <row r="78" spans="1:1" x14ac:dyDescent="0.2">
      <c r="A78" s="1"/>
    </row>
    <row r="80" spans="1:1" x14ac:dyDescent="0.2">
      <c r="A80" s="1"/>
    </row>
    <row r="81" spans="1:1" x14ac:dyDescent="0.2">
      <c r="A81" s="1"/>
    </row>
    <row r="83" spans="1:1" x14ac:dyDescent="0.2">
      <c r="A83" s="1"/>
    </row>
    <row r="85" spans="1:1" x14ac:dyDescent="0.2">
      <c r="A85" s="1"/>
    </row>
    <row r="86" spans="1:1" x14ac:dyDescent="0.2">
      <c r="A86" s="1"/>
    </row>
    <row r="88" spans="1:1" x14ac:dyDescent="0.2">
      <c r="A88" s="1"/>
    </row>
    <row r="89" spans="1:1" x14ac:dyDescent="0.2">
      <c r="A89" s="1"/>
    </row>
    <row r="91" spans="1:1" x14ac:dyDescent="0.2">
      <c r="A91" s="1"/>
    </row>
    <row r="93" spans="1:1" x14ac:dyDescent="0.2">
      <c r="A93" s="1"/>
    </row>
    <row r="94" spans="1:1" x14ac:dyDescent="0.2">
      <c r="A94" s="1"/>
    </row>
    <row r="96" spans="1:1" x14ac:dyDescent="0.2">
      <c r="A96" s="1"/>
    </row>
    <row r="97" spans="1:1" x14ac:dyDescent="0.2">
      <c r="A97" s="1"/>
    </row>
    <row r="99" spans="1:1" x14ac:dyDescent="0.2">
      <c r="A99" s="1"/>
    </row>
    <row r="101" spans="1:1" x14ac:dyDescent="0.2">
      <c r="A101" s="1"/>
    </row>
    <row r="102" spans="1:1" x14ac:dyDescent="0.2">
      <c r="A102" s="1"/>
    </row>
    <row r="104" spans="1:1" x14ac:dyDescent="0.2">
      <c r="A104" s="1"/>
    </row>
    <row r="105" spans="1:1" x14ac:dyDescent="0.2">
      <c r="A105" s="1"/>
    </row>
    <row r="107" spans="1:1" x14ac:dyDescent="0.2">
      <c r="A107" s="1"/>
    </row>
    <row r="109" spans="1:1" x14ac:dyDescent="0.2">
      <c r="A109" s="1"/>
    </row>
    <row r="110" spans="1:1" x14ac:dyDescent="0.2">
      <c r="A110" s="1"/>
    </row>
  </sheetData>
  <sheetProtection sheet="1" objects="1" scenarios="1"/>
  <pageMargins left="0.75" right="0.75" top="1" bottom="1" header="0.5" footer="0.5"/>
  <pageSetup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J-CAN</vt:lpstr>
      <vt:lpstr>ST-48</vt:lpstr>
      <vt:lpstr>SPILL</vt:lpstr>
      <vt:lpstr>D-PLNT HRS</vt:lpstr>
      <vt:lpstr>D-PLNT A.F.</vt:lpstr>
      <vt:lpstr>STRAITS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2011-09-30T15:45:26Z</dcterms:created>
  <dcterms:modified xsi:type="dcterms:W3CDTF">2011-09-30T15:45:53Z</dcterms:modified>
</cp:coreProperties>
</file>