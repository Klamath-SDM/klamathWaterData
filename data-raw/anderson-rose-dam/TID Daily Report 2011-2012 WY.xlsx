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5" yWindow="180" windowWidth="14025" windowHeight="11640" tabRatio="868"/>
  </bookViews>
  <sheets>
    <sheet name="Sep 2012" sheetId="12" r:id="rId1"/>
    <sheet name="Aug 2012" sheetId="11" r:id="rId2"/>
    <sheet name="Jul 2012" sheetId="10" r:id="rId3"/>
    <sheet name="Jun 2012" sheetId="9" r:id="rId4"/>
    <sheet name="May 2012" sheetId="8" r:id="rId5"/>
    <sheet name="Apr 2012" sheetId="7" r:id="rId6"/>
    <sheet name="Mar 2012" sheetId="6" r:id="rId7"/>
    <sheet name="Feb 2012" sheetId="5" r:id="rId8"/>
    <sheet name="Jan 2012" sheetId="4" r:id="rId9"/>
    <sheet name="Dec 2011" sheetId="3" r:id="rId10"/>
    <sheet name="Nov 2011" sheetId="2" r:id="rId11"/>
    <sheet name="Oct 2011" sheetId="1" r:id="rId12"/>
  </sheets>
  <definedNames>
    <definedName name="_xlnm.Print_Area" localSheetId="5">'Apr 2012'!$A$1:$H$34</definedName>
    <definedName name="_xlnm.Print_Area" localSheetId="1">'Aug 2012'!$A$1:$H$39</definedName>
    <definedName name="_xlnm.Print_Area" localSheetId="7">'Feb 2012'!$A$1:$H$33</definedName>
    <definedName name="_xlnm.Print_Area" localSheetId="8">'Jan 2012'!$A$1:$H$35</definedName>
    <definedName name="_xlnm.Print_Area" localSheetId="2">'Jul 2012'!$A$1:$H$39</definedName>
    <definedName name="_xlnm.Print_Area" localSheetId="3">'Jun 2012'!$A$1:$H$38</definedName>
    <definedName name="_xlnm.Print_Area" localSheetId="6">'Mar 2012'!$A$1:$H$35</definedName>
    <definedName name="_xlnm.Print_Area" localSheetId="10">'Nov 2011'!$A$1:$H$38</definedName>
    <definedName name="_xlnm.Print_Area" localSheetId="11">'Oct 2011'!$A$1:$H$40</definedName>
    <definedName name="_xlnm.Print_Area" localSheetId="0">'Sep 2012'!$A$1:$H$38</definedName>
  </definedNames>
  <calcPr calcId="125725"/>
</workbook>
</file>

<file path=xl/calcChain.xml><?xml version="1.0" encoding="utf-8"?>
<calcChain xmlns="http://schemas.openxmlformats.org/spreadsheetml/2006/main">
  <c r="E34" i="2"/>
  <c r="G34"/>
  <c r="G35" i="3" s="1"/>
  <c r="G35" i="4" s="1"/>
  <c r="G33" i="5" s="1"/>
  <c r="G35" i="6" s="1"/>
  <c r="G34" i="7" s="1"/>
  <c r="G32" i="5"/>
  <c r="B33" i="7"/>
  <c r="C33"/>
  <c r="D33"/>
  <c r="E33"/>
  <c r="F33"/>
  <c r="G33"/>
  <c r="B36"/>
  <c r="C36"/>
  <c r="D36"/>
  <c r="F44"/>
  <c r="G44"/>
  <c r="H44"/>
  <c r="F45"/>
  <c r="G45"/>
  <c r="H45"/>
  <c r="F46"/>
  <c r="G46"/>
  <c r="H46"/>
  <c r="F47"/>
  <c r="G47"/>
  <c r="H47"/>
  <c r="F48"/>
  <c r="G48"/>
  <c r="H48"/>
  <c r="F52"/>
  <c r="F53"/>
  <c r="F54"/>
  <c r="F55"/>
  <c r="F56"/>
  <c r="D57"/>
  <c r="F57"/>
  <c r="B34" i="11"/>
  <c r="C34"/>
  <c r="D34"/>
  <c r="E34"/>
  <c r="F34"/>
  <c r="G34"/>
  <c r="B37"/>
  <c r="C37"/>
  <c r="D37"/>
  <c r="F45"/>
  <c r="G45"/>
  <c r="H45"/>
  <c r="F46"/>
  <c r="G46"/>
  <c r="H46"/>
  <c r="F47"/>
  <c r="G47"/>
  <c r="H47"/>
  <c r="F48"/>
  <c r="G48"/>
  <c r="H48"/>
  <c r="F49"/>
  <c r="G49"/>
  <c r="H49"/>
  <c r="F53"/>
  <c r="F54"/>
  <c r="F58"/>
  <c r="F55"/>
  <c r="F56"/>
  <c r="F57"/>
  <c r="D58"/>
  <c r="B34" i="3"/>
  <c r="C34"/>
  <c r="D34"/>
  <c r="E34"/>
  <c r="F34"/>
  <c r="G34"/>
  <c r="B37"/>
  <c r="C37"/>
  <c r="D37"/>
  <c r="F45"/>
  <c r="G45"/>
  <c r="H45"/>
  <c r="F46"/>
  <c r="G46"/>
  <c r="H46"/>
  <c r="F47"/>
  <c r="G47"/>
  <c r="H47"/>
  <c r="F48"/>
  <c r="G48"/>
  <c r="H48"/>
  <c r="F49"/>
  <c r="G49"/>
  <c r="H49"/>
  <c r="D58"/>
  <c r="F58"/>
  <c r="B32" i="5"/>
  <c r="C32"/>
  <c r="D32"/>
  <c r="E32"/>
  <c r="F32"/>
  <c r="B35"/>
  <c r="C35"/>
  <c r="D35"/>
  <c r="F43"/>
  <c r="G43"/>
  <c r="H43"/>
  <c r="F44"/>
  <c r="G44"/>
  <c r="H44"/>
  <c r="F45"/>
  <c r="G45"/>
  <c r="H45"/>
  <c r="F46"/>
  <c r="G46"/>
  <c r="H46"/>
  <c r="F47"/>
  <c r="G47"/>
  <c r="H47"/>
  <c r="F51"/>
  <c r="F52"/>
  <c r="F53"/>
  <c r="F54"/>
  <c r="F56"/>
  <c r="F55"/>
  <c r="D56"/>
  <c r="B34" i="4"/>
  <c r="C34"/>
  <c r="D34"/>
  <c r="E34"/>
  <c r="F34"/>
  <c r="G34"/>
  <c r="B37"/>
  <c r="C37"/>
  <c r="D37"/>
  <c r="F45"/>
  <c r="G45"/>
  <c r="H45"/>
  <c r="F46"/>
  <c r="G46"/>
  <c r="H46"/>
  <c r="F47"/>
  <c r="G47"/>
  <c r="H47"/>
  <c r="F48"/>
  <c r="G48"/>
  <c r="H48"/>
  <c r="F49"/>
  <c r="G49"/>
  <c r="H49"/>
  <c r="F53"/>
  <c r="F54"/>
  <c r="F58"/>
  <c r="F55"/>
  <c r="F56"/>
  <c r="F57"/>
  <c r="D58"/>
  <c r="B34" i="10"/>
  <c r="C34"/>
  <c r="D34"/>
  <c r="E34"/>
  <c r="F34"/>
  <c r="G34"/>
  <c r="B37"/>
  <c r="C37"/>
  <c r="D37"/>
  <c r="F45"/>
  <c r="G45"/>
  <c r="H45"/>
  <c r="F46"/>
  <c r="G46"/>
  <c r="H46"/>
  <c r="F47"/>
  <c r="G47"/>
  <c r="H47"/>
  <c r="F48"/>
  <c r="G48"/>
  <c r="H48"/>
  <c r="F49"/>
  <c r="G49"/>
  <c r="H49"/>
  <c r="F53"/>
  <c r="F54"/>
  <c r="F58"/>
  <c r="F55"/>
  <c r="F56"/>
  <c r="F57"/>
  <c r="D58"/>
  <c r="B33" i="9"/>
  <c r="C33"/>
  <c r="D33"/>
  <c r="E33"/>
  <c r="F33"/>
  <c r="G33"/>
  <c r="B36"/>
  <c r="C36"/>
  <c r="D36"/>
  <c r="F44"/>
  <c r="G44"/>
  <c r="H44"/>
  <c r="F45"/>
  <c r="G45"/>
  <c r="H45"/>
  <c r="F46"/>
  <c r="G46"/>
  <c r="H46"/>
  <c r="F47"/>
  <c r="G47"/>
  <c r="H47"/>
  <c r="F48"/>
  <c r="G48"/>
  <c r="H48"/>
  <c r="F52"/>
  <c r="F53"/>
  <c r="F54"/>
  <c r="F55"/>
  <c r="F57"/>
  <c r="F56"/>
  <c r="D57"/>
  <c r="B34" i="6"/>
  <c r="C34"/>
  <c r="D34"/>
  <c r="E34"/>
  <c r="F34"/>
  <c r="G34"/>
  <c r="B37"/>
  <c r="C37"/>
  <c r="D37"/>
  <c r="F45"/>
  <c r="G45"/>
  <c r="H45"/>
  <c r="F46"/>
  <c r="G46"/>
  <c r="H46"/>
  <c r="F47"/>
  <c r="G47"/>
  <c r="H47"/>
  <c r="F48"/>
  <c r="G48"/>
  <c r="H48"/>
  <c r="F49"/>
  <c r="G49"/>
  <c r="H49"/>
  <c r="F53"/>
  <c r="F54"/>
  <c r="F58"/>
  <c r="F55"/>
  <c r="F56"/>
  <c r="F57"/>
  <c r="D58"/>
  <c r="B34" i="8"/>
  <c r="C34"/>
  <c r="D34"/>
  <c r="E34"/>
  <c r="F34"/>
  <c r="G34"/>
  <c r="B37"/>
  <c r="C37"/>
  <c r="D37"/>
  <c r="F45"/>
  <c r="G45"/>
  <c r="H45"/>
  <c r="F46"/>
  <c r="G46"/>
  <c r="H46"/>
  <c r="F47"/>
  <c r="G47"/>
  <c r="H47"/>
  <c r="F48"/>
  <c r="G48"/>
  <c r="H48"/>
  <c r="F49"/>
  <c r="G49"/>
  <c r="H49"/>
  <c r="F53"/>
  <c r="F54"/>
  <c r="F58"/>
  <c r="F55"/>
  <c r="F56"/>
  <c r="F57"/>
  <c r="D58"/>
  <c r="B33" i="2"/>
  <c r="C33"/>
  <c r="D33"/>
  <c r="E33"/>
  <c r="F33"/>
  <c r="G33"/>
  <c r="E35" i="3"/>
  <c r="E35" i="4" s="1"/>
  <c r="E33" i="5" s="1"/>
  <c r="E35" i="6" s="1"/>
  <c r="E34" i="7" s="1"/>
  <c r="E35" i="8" s="1"/>
  <c r="E34" i="9" s="1"/>
  <c r="E35" i="10" s="1"/>
  <c r="B36" i="2"/>
  <c r="B38"/>
  <c r="B39" i="3" s="1"/>
  <c r="B39" i="4" s="1"/>
  <c r="B37" i="5" s="1"/>
  <c r="B39" i="6" s="1"/>
  <c r="B38" i="7" s="1"/>
  <c r="C36" i="2"/>
  <c r="D36"/>
  <c r="D38"/>
  <c r="D39" i="3" s="1"/>
  <c r="D39" i="4" s="1"/>
  <c r="D37" i="5" s="1"/>
  <c r="D39" i="6" s="1"/>
  <c r="D38" i="7" s="1"/>
  <c r="D39" i="8" s="1"/>
  <c r="D38" i="9" s="1"/>
  <c r="D39" i="10" s="1"/>
  <c r="C38" i="2"/>
  <c r="C39" i="3" s="1"/>
  <c r="C39" i="4" s="1"/>
  <c r="C37" i="5" s="1"/>
  <c r="C39" i="6" s="1"/>
  <c r="C38" i="7" s="1"/>
  <c r="F44" i="2"/>
  <c r="G44"/>
  <c r="H44"/>
  <c r="F45"/>
  <c r="G45"/>
  <c r="H45"/>
  <c r="F46"/>
  <c r="G46"/>
  <c r="H46"/>
  <c r="F47"/>
  <c r="G47"/>
  <c r="H47"/>
  <c r="F48"/>
  <c r="G48"/>
  <c r="H48"/>
  <c r="D57"/>
  <c r="F57"/>
  <c r="B34" i="1"/>
  <c r="C34"/>
  <c r="C35"/>
  <c r="C34" i="2" s="1"/>
  <c r="C35" i="3" s="1"/>
  <c r="C35" i="4" s="1"/>
  <c r="C33" i="5" s="1"/>
  <c r="C35" i="6" s="1"/>
  <c r="C34" i="7" s="1"/>
  <c r="C35" i="8" s="1"/>
  <c r="C34" i="9" s="1"/>
  <c r="D34" i="1"/>
  <c r="E34"/>
  <c r="E35"/>
  <c r="F34"/>
  <c r="G34"/>
  <c r="G35"/>
  <c r="H34"/>
  <c r="B35"/>
  <c r="B34" i="2" s="1"/>
  <c r="B35" i="3" s="1"/>
  <c r="B35" i="4" s="1"/>
  <c r="B33" i="5" s="1"/>
  <c r="B35" i="6" s="1"/>
  <c r="B34" i="7" s="1"/>
  <c r="B35" i="8" s="1"/>
  <c r="D35" i="1"/>
  <c r="D34" i="2" s="1"/>
  <c r="D35" i="3" s="1"/>
  <c r="D35" i="4" s="1"/>
  <c r="D33" i="5" s="1"/>
  <c r="D35" i="6" s="1"/>
  <c r="D34" i="7" s="1"/>
  <c r="F35" i="1"/>
  <c r="F34" i="2" s="1"/>
  <c r="F35" i="3" s="1"/>
  <c r="F35" i="4" s="1"/>
  <c r="F33" i="5" s="1"/>
  <c r="F35" i="6" s="1"/>
  <c r="F34" i="7" s="1"/>
  <c r="F35" i="8" s="1"/>
  <c r="F34" i="9" s="1"/>
  <c r="F35" i="10" s="1"/>
  <c r="F35" i="11" s="1"/>
  <c r="B37" i="1"/>
  <c r="B39"/>
  <c r="C37"/>
  <c r="D37"/>
  <c r="D39"/>
  <c r="C39"/>
  <c r="F45"/>
  <c r="G45"/>
  <c r="H45"/>
  <c r="F46"/>
  <c r="G46"/>
  <c r="H46"/>
  <c r="F47"/>
  <c r="G47"/>
  <c r="H47"/>
  <c r="F48"/>
  <c r="G48"/>
  <c r="H48"/>
  <c r="F49"/>
  <c r="G49"/>
  <c r="H49"/>
  <c r="D58"/>
  <c r="F58"/>
  <c r="D59"/>
  <c r="F59"/>
  <c r="B33" i="12"/>
  <c r="C33"/>
  <c r="D33"/>
  <c r="E33"/>
  <c r="F33"/>
  <c r="G33"/>
  <c r="B36"/>
  <c r="C36"/>
  <c r="D36"/>
  <c r="F44"/>
  <c r="G44"/>
  <c r="H44"/>
  <c r="F45"/>
  <c r="G45"/>
  <c r="H45"/>
  <c r="F46"/>
  <c r="G46"/>
  <c r="H46"/>
  <c r="F47"/>
  <c r="G47"/>
  <c r="H47"/>
  <c r="F48"/>
  <c r="G48"/>
  <c r="H48"/>
  <c r="F52"/>
  <c r="F53"/>
  <c r="F54"/>
  <c r="F55"/>
  <c r="F56"/>
  <c r="D57"/>
  <c r="F57"/>
  <c r="B39" i="8" l="1"/>
  <c r="G35"/>
  <c r="G34" i="9" s="1"/>
  <c r="D35" i="8"/>
  <c r="D34" i="9" s="1"/>
  <c r="D35" i="10" s="1"/>
  <c r="D35" i="11" s="1"/>
  <c r="D34" i="12" s="1"/>
  <c r="C39" i="8"/>
  <c r="C38" i="9" s="1"/>
  <c r="F34" i="12"/>
  <c r="D39" i="11"/>
  <c r="D38" i="12" s="1"/>
  <c r="E35" i="11"/>
  <c r="E34" i="12" s="1"/>
  <c r="C35" i="10"/>
  <c r="C35" i="11" s="1"/>
  <c r="C34" i="12" s="1"/>
  <c r="G35" i="10"/>
  <c r="G35" i="11" s="1"/>
  <c r="G34" i="12" s="1"/>
  <c r="C39" i="10"/>
  <c r="C39" i="11" s="1"/>
  <c r="C38" i="12" s="1"/>
  <c r="B34" i="9"/>
  <c r="B35" i="10" s="1"/>
  <c r="B35" i="11" s="1"/>
  <c r="B34" i="12" s="1"/>
  <c r="B38" i="9"/>
  <c r="B39" i="10" s="1"/>
  <c r="B39" i="11" s="1"/>
  <c r="B38" i="12" s="1"/>
</calcChain>
</file>

<file path=xl/sharedStrings.xml><?xml version="1.0" encoding="utf-8"?>
<sst xmlns="http://schemas.openxmlformats.org/spreadsheetml/2006/main" count="483" uniqueCount="131">
  <si>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</si>
  <si>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</si>
  <si>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</si>
  <si>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</si>
  <si>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</si>
  <si>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</si>
  <si>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</si>
  <si>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</si>
  <si>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</si>
  <si>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</si>
  <si>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</si>
  <si>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</si>
  <si>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</si>
  <si>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</si>
  <si>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</si>
  <si>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</si>
  <si>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</si>
  <si>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</si>
  <si>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</si>
  <si>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</si>
  <si>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</si>
  <si>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</si>
  <si>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</si>
  <si>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</si>
  <si>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</si>
  <si>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</si>
  <si>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</si>
  <si>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>9AM 0/75</t>
  </si>
  <si>
    <t>10:00 am Sta 48 75/50</t>
  </si>
  <si>
    <t xml:space="preserve">* 1 D-Plant unit off at 3:PM </t>
  </si>
  <si>
    <t>*2 PM 50/100</t>
  </si>
  <si>
    <t>*8 AM 100/75</t>
  </si>
  <si>
    <t>*8 AM 75/50</t>
  </si>
  <si>
    <t>*10 AM 50/75 4 PM 75/50</t>
  </si>
  <si>
    <t>*1 PM 50/25</t>
  </si>
  <si>
    <t>*9 AM 25/0</t>
  </si>
  <si>
    <t>T</t>
  </si>
  <si>
    <t>Tr</t>
  </si>
  <si>
    <t>* 1 PM 25/15</t>
  </si>
  <si>
    <t>* 4 PM 0/25</t>
  </si>
  <si>
    <t>* 8 AM 15/0</t>
  </si>
  <si>
    <t>* 8 AM 0/100</t>
  </si>
  <si>
    <t>* 8 AM 100/15</t>
  </si>
  <si>
    <t>* 2 PM 15/50</t>
  </si>
  <si>
    <t>8 AM 50/25</t>
  </si>
  <si>
    <t>8 AM 25/15  9:30 AM 15/0</t>
  </si>
  <si>
    <t>* 1 PM 0/25</t>
  </si>
  <si>
    <t>* 10 AM 25/15</t>
  </si>
  <si>
    <t>* 8 AM 15/50  2 PM 50/100</t>
  </si>
  <si>
    <t>* 9 AM One D-Plant unit started</t>
  </si>
  <si>
    <t>* 10:39 AM Started 2nd unit D * (48) 1 PM  100/150  2 PM 150/200 4 PM 200/250</t>
  </si>
  <si>
    <t>* 8 AM 250/200</t>
  </si>
  <si>
    <t>* 2 PM 200/300</t>
  </si>
  <si>
    <t>* 2 PM 300/400</t>
  </si>
  <si>
    <t>* 8 AM 400/350</t>
  </si>
  <si>
    <t>* 11 AM 350/300</t>
  </si>
  <si>
    <t>* 8:25 Am D-Plant Shut Off</t>
  </si>
  <si>
    <t>* noon 300/350</t>
  </si>
  <si>
    <t>* 8:00 am 350/300</t>
  </si>
  <si>
    <t>* 2 PM 300/250 3PM 250/200</t>
  </si>
  <si>
    <t>* 7:30 AM 200/250 2PM 250/200</t>
  </si>
  <si>
    <t>* 7 AM 200/250</t>
  </si>
  <si>
    <t>* 1 PM 250/200</t>
  </si>
  <si>
    <t>* 11 AM 200/150 4PM 150/100</t>
  </si>
  <si>
    <t>* 1 PM 100/150</t>
  </si>
  <si>
    <t>* 8 AM 150/200 * 2PM 200/300</t>
  </si>
  <si>
    <t>* 10 AM 300/250</t>
  </si>
  <si>
    <t>* 9 AM 250/350 3 PM 350/300</t>
  </si>
  <si>
    <t>* 1 PM 150/100</t>
  </si>
  <si>
    <t>* 2 PM 300/250</t>
  </si>
  <si>
    <t>* 7 AM 250/200 3 PM 200/150</t>
  </si>
  <si>
    <t>* 3 PM 150/100</t>
  </si>
  <si>
    <t>* 8 AM 100/200 3 PM 200/150</t>
  </si>
  <si>
    <t>* 8 AM 100/150 4 PM 150/100</t>
  </si>
  <si>
    <t>* 8 AM 100/150</t>
  </si>
  <si>
    <t>* 7 AM 150/200 3 PM 200/250 6 PM 250/300</t>
  </si>
  <si>
    <t>* 7 AM 300/250</t>
  </si>
  <si>
    <t>* 3 PM 250/350</t>
  </si>
  <si>
    <t>*8 AM 350/300 3 PM 300/250</t>
  </si>
  <si>
    <t>* 4 AM 250/300 3 PM 300/350</t>
  </si>
  <si>
    <t>* 7 AM 350/300</t>
  </si>
  <si>
    <t>* 9 AM 300/250</t>
  </si>
  <si>
    <t>* 2 PM 250/300</t>
  </si>
  <si>
    <t>* 3 PM 300/350 6 PM 350/300</t>
  </si>
  <si>
    <t>* 9 AM 300/350</t>
  </si>
  <si>
    <t>* 10 AM 350/300</t>
  </si>
  <si>
    <t>*3 PM 300/250</t>
  </si>
  <si>
    <t>* 1 PM 250/300 3 PM 300/350</t>
  </si>
  <si>
    <t>* 9 AM 350/300</t>
  </si>
  <si>
    <t>* 8 AM 350/300</t>
  </si>
  <si>
    <t>* 6 PM 300/350</t>
  </si>
  <si>
    <t>* 7 AM 350/300 6 PM 300/350</t>
  </si>
  <si>
    <t>* 7 AM 350/400</t>
  </si>
  <si>
    <t>* 4 PM 400/350 6:30 PM 350/300</t>
  </si>
  <si>
    <t>* 3 PM 300/250</t>
  </si>
  <si>
    <t>* 3 PM 250/200</t>
  </si>
  <si>
    <t>* 4PM 200/150</t>
  </si>
  <si>
    <t>* 2 PM 150/200</t>
  </si>
  <si>
    <t>* 8 AM 200/150 2PM 150/200</t>
  </si>
  <si>
    <t>* 4 PM 200/250 6 PM 250/300</t>
  </si>
  <si>
    <t>* 1 PM 300/250</t>
  </si>
  <si>
    <t>* 8 AM 250/200 10AM 200/150</t>
  </si>
  <si>
    <t>* 8 AM 150/100</t>
  </si>
  <si>
    <t>*7 AM 100/150 1 PM 150/200 3 PM 200/250</t>
  </si>
  <si>
    <t>* 8 AM 250/350 5 PM 350/250</t>
  </si>
  <si>
    <t>* 11 AM 250/350 6 PM 350/300</t>
  </si>
  <si>
    <t>* 7 AM 300/200 5 PM 200/250</t>
  </si>
  <si>
    <t>* 8 AM 250/350 5 PM 350/300</t>
  </si>
  <si>
    <t>*7 AM 200/250 1 PM 250/200</t>
  </si>
  <si>
    <t>* 3 PM 200/150</t>
  </si>
  <si>
    <t>* 1 PM 150/100 6 PM 100/50</t>
  </si>
  <si>
    <t>* 7 AM 50/100 6 PM 100/50</t>
  </si>
  <si>
    <t>* 7 AM 50/100</t>
  </si>
  <si>
    <t>* 7 AM 100/50</t>
  </si>
  <si>
    <t>* 6 PM 50/100</t>
  </si>
  <si>
    <t>* 8 AM 50/100 6 PM 100/50</t>
  </si>
  <si>
    <t>* 5 PM 50/100</t>
  </si>
  <si>
    <t>* 8 AM 100/50</t>
  </si>
  <si>
    <t>* 1 PM 50/100</t>
  </si>
  <si>
    <t>*1 PM 100/50</t>
  </si>
  <si>
    <t>* 9 AM 50/25</t>
  </si>
  <si>
    <t>* 2 PM 25/100</t>
  </si>
  <si>
    <t>* 8 AM 50/25 4 PM 25/10</t>
  </si>
  <si>
    <t>* 8 AM 10/20</t>
  </si>
  <si>
    <t>* 7 AM 20/75</t>
  </si>
  <si>
    <t>* 3 PM  75/125</t>
  </si>
  <si>
    <t>* 8 AM 125/50</t>
  </si>
  <si>
    <t>* 8 am 50/20</t>
  </si>
  <si>
    <t>3 PM 20/0</t>
  </si>
  <si>
    <t>* 8 AM 0/50</t>
  </si>
  <si>
    <t>* 8 AM 50/20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</si>
</sst>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_);[Red]\(0\)"/>
    <numFmt numFmtId="167" formatCode="h:mm;@"/>
  </numFmts>
  <fonts count="2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23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1" fontId="1" fillId="0" borderId="21" xfId="3" applyNumberFormat="1" applyFont="1" applyFill="1" applyBorder="1" applyAlignment="1">
      <alignment horizontal="right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0" fontId="22" fillId="0" borderId="0" xfId="0" applyFont="1"/>
    <xf numFmtId="4" fontId="21" fillId="0" borderId="1" xfId="3" applyNumberFormat="1" applyFont="1" applyFill="1" applyBorder="1" applyAlignment="1">
      <alignment horizontal="right" wrapText="1"/>
    </xf>
    <xf numFmtId="18" fontId="0" fillId="0" borderId="0" xfId="0" applyNumberFormat="1"/>
    <xf numFmtId="14" fontId="23" fillId="2" borderId="20" xfId="1" applyNumberFormat="1" applyFont="1" applyFill="1" applyBorder="1" applyAlignment="1">
      <alignment horizontal="center" wrapText="1"/>
    </xf>
    <xf numFmtId="3" fontId="23" fillId="2" borderId="1" xfId="1" applyNumberFormat="1" applyFont="1" applyFill="1" applyBorder="1" applyAlignment="1">
      <alignment horizontal="center" wrapText="1"/>
    </xf>
    <xf numFmtId="2" fontId="23" fillId="2" borderId="1" xfId="1" applyNumberFormat="1" applyFont="1" applyFill="1" applyBorder="1" applyAlignment="1">
      <alignment horizontal="center" wrapText="1"/>
    </xf>
    <xf numFmtId="4" fontId="23" fillId="2" borderId="1" xfId="1" applyNumberFormat="1" applyFont="1" applyFill="1" applyBorder="1" applyAlignment="1">
      <alignment horizontal="center" wrapText="1"/>
    </xf>
    <xf numFmtId="14" fontId="23" fillId="2" borderId="19" xfId="1" applyNumberFormat="1" applyFont="1" applyFill="1" applyBorder="1" applyAlignment="1">
      <alignment wrapText="1"/>
    </xf>
    <xf numFmtId="14" fontId="24" fillId="0" borderId="1" xfId="2" applyNumberFormat="1" applyFont="1" applyFill="1" applyBorder="1" applyAlignment="1">
      <alignment horizontal="right" wrapText="1"/>
    </xf>
    <xf numFmtId="3" fontId="24" fillId="0" borderId="1" xfId="3" applyNumberFormat="1" applyFont="1" applyFill="1" applyBorder="1" applyAlignment="1">
      <alignment horizontal="right" wrapText="1"/>
    </xf>
    <xf numFmtId="2" fontId="24" fillId="0" borderId="1" xfId="3" applyNumberFormat="1" applyFont="1" applyFill="1" applyBorder="1" applyAlignment="1">
      <alignment horizontal="right" wrapText="1"/>
    </xf>
    <xf numFmtId="14" fontId="23" fillId="0" borderId="2" xfId="0" applyNumberFormat="1" applyFont="1" applyBorder="1"/>
    <xf numFmtId="14" fontId="23" fillId="0" borderId="1" xfId="0" applyNumberFormat="1" applyFont="1" applyBorder="1"/>
    <xf numFmtId="3" fontId="23" fillId="0" borderId="1" xfId="0" applyNumberFormat="1" applyFont="1" applyBorder="1"/>
    <xf numFmtId="4" fontId="23" fillId="0" borderId="1" xfId="0" applyNumberFormat="1" applyFont="1" applyBorder="1"/>
    <xf numFmtId="14" fontId="24" fillId="0" borderId="1" xfId="3" applyNumberFormat="1" applyFont="1" applyFill="1" applyBorder="1" applyAlignment="1">
      <alignment horizontal="right" wrapText="1"/>
    </xf>
    <xf numFmtId="14" fontId="24" fillId="0" borderId="19" xfId="2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5" fillId="0" borderId="0" xfId="0" applyFont="1"/>
    <xf numFmtId="1" fontId="26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7"/>
  <sheetViews>
    <sheetView tabSelected="1" zoomScaleNormal="100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/>
  <cols>
    <col min="1" max="1" width="13.5703125" bestFit="1" customWidth="1"/>
    <col min="2" max="8" width="11.7109375" customWidth="1"/>
    <col min="9" max="9" width="26.28515625" bestFit="1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28">
        <v>41153</v>
      </c>
      <c r="B3" s="25">
        <v>77</v>
      </c>
      <c r="C3" s="25">
        <v>0</v>
      </c>
      <c r="D3" s="25">
        <v>307</v>
      </c>
      <c r="E3" s="26">
        <v>0</v>
      </c>
      <c r="F3" s="26">
        <v>0</v>
      </c>
      <c r="G3" s="25">
        <v>0</v>
      </c>
      <c r="H3" s="27">
        <v>4034.64</v>
      </c>
      <c r="I3" t="s">
        <v>119</v>
      </c>
    </row>
    <row r="4" spans="1:9">
      <c r="A4" s="28">
        <v>41154</v>
      </c>
      <c r="B4" s="25">
        <v>50</v>
      </c>
      <c r="C4" s="25">
        <v>0</v>
      </c>
      <c r="D4" s="25">
        <v>307</v>
      </c>
      <c r="E4" s="26">
        <v>0</v>
      </c>
      <c r="F4" s="26">
        <v>0</v>
      </c>
      <c r="G4" s="25">
        <v>0</v>
      </c>
      <c r="H4" s="27">
        <v>4034.64</v>
      </c>
    </row>
    <row r="5" spans="1:9">
      <c r="A5" s="28">
        <v>41155</v>
      </c>
      <c r="B5" s="25">
        <v>34</v>
      </c>
      <c r="C5" s="25">
        <v>37</v>
      </c>
      <c r="D5" s="25">
        <v>297</v>
      </c>
      <c r="E5" s="26">
        <v>0</v>
      </c>
      <c r="F5" s="26">
        <v>0</v>
      </c>
      <c r="G5" s="25">
        <v>0</v>
      </c>
      <c r="H5" s="27">
        <v>4034.65</v>
      </c>
      <c r="I5" t="s">
        <v>120</v>
      </c>
    </row>
    <row r="6" spans="1:9">
      <c r="A6" s="28">
        <v>41156</v>
      </c>
      <c r="B6" s="25">
        <v>56</v>
      </c>
      <c r="C6" s="25">
        <v>8</v>
      </c>
      <c r="D6" s="25">
        <v>319</v>
      </c>
      <c r="E6" s="26">
        <v>0</v>
      </c>
      <c r="F6" s="26">
        <v>0</v>
      </c>
      <c r="G6" s="25">
        <v>0</v>
      </c>
      <c r="H6" s="27">
        <v>4034.65</v>
      </c>
      <c r="I6" t="s">
        <v>121</v>
      </c>
    </row>
    <row r="7" spans="1:9">
      <c r="A7" s="28">
        <v>41157</v>
      </c>
      <c r="B7" s="25">
        <v>100</v>
      </c>
      <c r="C7" s="25">
        <v>0</v>
      </c>
      <c r="D7" s="25">
        <v>326</v>
      </c>
      <c r="E7" s="26">
        <v>0</v>
      </c>
      <c r="F7" s="26">
        <v>0</v>
      </c>
      <c r="G7" s="25">
        <v>0</v>
      </c>
      <c r="H7" s="27">
        <v>4034.66</v>
      </c>
    </row>
    <row r="8" spans="1:9">
      <c r="A8" s="28">
        <v>41158</v>
      </c>
      <c r="B8" s="25">
        <v>100</v>
      </c>
      <c r="C8" s="25">
        <v>0</v>
      </c>
      <c r="D8" s="25">
        <v>313</v>
      </c>
      <c r="E8" s="26">
        <v>0</v>
      </c>
      <c r="F8" s="26">
        <v>0</v>
      </c>
      <c r="G8" s="25">
        <v>0</v>
      </c>
      <c r="H8" s="27">
        <v>4034.67</v>
      </c>
    </row>
    <row r="9" spans="1:9">
      <c r="A9" s="28">
        <v>41159</v>
      </c>
      <c r="B9" s="25">
        <v>67</v>
      </c>
      <c r="C9" s="25">
        <v>24</v>
      </c>
      <c r="D9" s="25">
        <v>289</v>
      </c>
      <c r="E9" s="26">
        <v>0</v>
      </c>
      <c r="F9" s="26">
        <v>0</v>
      </c>
      <c r="G9" s="25">
        <v>0</v>
      </c>
      <c r="H9" s="27">
        <v>4034.68</v>
      </c>
      <c r="I9" t="s">
        <v>117</v>
      </c>
    </row>
    <row r="10" spans="1:9">
      <c r="A10" s="28">
        <v>41160</v>
      </c>
      <c r="B10" s="25">
        <v>28</v>
      </c>
      <c r="C10" s="25">
        <v>50</v>
      </c>
      <c r="D10" s="25">
        <v>256</v>
      </c>
      <c r="E10" s="26">
        <v>0</v>
      </c>
      <c r="F10" s="26">
        <v>0</v>
      </c>
      <c r="G10" s="25">
        <v>0</v>
      </c>
      <c r="H10" s="27">
        <v>4034.69</v>
      </c>
      <c r="I10" t="s">
        <v>122</v>
      </c>
    </row>
    <row r="11" spans="1:9">
      <c r="A11" s="28">
        <v>41161</v>
      </c>
      <c r="B11" s="25">
        <v>17</v>
      </c>
      <c r="C11" s="25">
        <v>42</v>
      </c>
      <c r="D11" s="25">
        <v>248</v>
      </c>
      <c r="E11" s="26">
        <v>0</v>
      </c>
      <c r="F11" s="26">
        <v>0</v>
      </c>
      <c r="G11" s="25">
        <v>0</v>
      </c>
      <c r="H11" s="27">
        <v>4034.69</v>
      </c>
      <c r="I11" t="s">
        <v>123</v>
      </c>
    </row>
    <row r="12" spans="1:9">
      <c r="A12" s="28">
        <v>41162</v>
      </c>
      <c r="B12" s="25">
        <v>20</v>
      </c>
      <c r="C12" s="25">
        <v>62</v>
      </c>
      <c r="D12" s="25">
        <v>245</v>
      </c>
      <c r="E12" s="26">
        <v>0</v>
      </c>
      <c r="F12" s="26">
        <v>0</v>
      </c>
      <c r="G12" s="25">
        <v>0</v>
      </c>
      <c r="H12" s="27">
        <v>4034.7</v>
      </c>
    </row>
    <row r="13" spans="1:9">
      <c r="A13" s="28">
        <v>41163</v>
      </c>
      <c r="B13" s="25">
        <v>20</v>
      </c>
      <c r="C13" s="25">
        <v>16</v>
      </c>
      <c r="D13" s="25">
        <v>287</v>
      </c>
      <c r="E13" s="26">
        <v>0</v>
      </c>
      <c r="F13" s="26">
        <v>0</v>
      </c>
      <c r="G13" s="25">
        <v>0</v>
      </c>
      <c r="H13" s="27">
        <v>4034.7</v>
      </c>
    </row>
    <row r="14" spans="1:9">
      <c r="A14" s="28">
        <v>41164</v>
      </c>
      <c r="B14" s="25">
        <v>59</v>
      </c>
      <c r="C14" s="25">
        <v>0</v>
      </c>
      <c r="D14" s="25">
        <v>281</v>
      </c>
      <c r="E14" s="26">
        <v>0</v>
      </c>
      <c r="F14" s="26">
        <v>0</v>
      </c>
      <c r="G14" s="25">
        <v>0</v>
      </c>
      <c r="H14" s="27">
        <v>4034.7</v>
      </c>
      <c r="I14" t="s">
        <v>124</v>
      </c>
    </row>
    <row r="15" spans="1:9">
      <c r="A15" s="28">
        <v>41165</v>
      </c>
      <c r="B15" s="25">
        <v>94</v>
      </c>
      <c r="C15" s="25">
        <v>0</v>
      </c>
      <c r="D15" s="25">
        <v>266</v>
      </c>
      <c r="E15" s="26">
        <v>0</v>
      </c>
      <c r="F15" s="26">
        <v>0</v>
      </c>
      <c r="G15" s="25">
        <v>0</v>
      </c>
      <c r="H15" s="27">
        <v>4034.7</v>
      </c>
      <c r="I15" t="s">
        <v>125</v>
      </c>
    </row>
    <row r="16" spans="1:9">
      <c r="A16" s="28">
        <v>41166</v>
      </c>
      <c r="B16" s="25">
        <v>75</v>
      </c>
      <c r="C16" s="25">
        <v>0</v>
      </c>
      <c r="D16" s="25">
        <v>227</v>
      </c>
      <c r="E16" s="26">
        <v>0</v>
      </c>
      <c r="F16" s="26">
        <v>0</v>
      </c>
      <c r="G16" s="25">
        <v>0</v>
      </c>
      <c r="H16" s="27">
        <v>4034.71</v>
      </c>
      <c r="I16" t="s">
        <v>126</v>
      </c>
    </row>
    <row r="17" spans="1:9">
      <c r="A17" s="28">
        <v>41167</v>
      </c>
      <c r="B17" s="25">
        <v>30</v>
      </c>
      <c r="C17" s="25">
        <v>60</v>
      </c>
      <c r="D17" s="25">
        <v>216</v>
      </c>
      <c r="E17" s="26">
        <v>0</v>
      </c>
      <c r="F17" s="26">
        <v>0</v>
      </c>
      <c r="G17" s="25">
        <v>0</v>
      </c>
      <c r="H17" s="27">
        <v>4034.72</v>
      </c>
      <c r="I17" t="s">
        <v>127</v>
      </c>
    </row>
    <row r="18" spans="1:9">
      <c r="A18" s="28">
        <v>41168</v>
      </c>
      <c r="B18" s="25">
        <v>20</v>
      </c>
      <c r="C18" s="25">
        <v>80</v>
      </c>
      <c r="D18" s="25">
        <v>213</v>
      </c>
      <c r="E18" s="26">
        <v>0</v>
      </c>
      <c r="F18" s="26">
        <v>0</v>
      </c>
      <c r="G18" s="25">
        <v>0</v>
      </c>
      <c r="H18" s="27">
        <v>4034.72</v>
      </c>
    </row>
    <row r="19" spans="1:9">
      <c r="A19" s="28">
        <v>41169</v>
      </c>
      <c r="B19" s="25">
        <v>13</v>
      </c>
      <c r="C19" s="25">
        <v>61</v>
      </c>
      <c r="D19" s="25">
        <v>201</v>
      </c>
      <c r="E19" s="26">
        <v>0</v>
      </c>
      <c r="F19" s="26">
        <v>0</v>
      </c>
      <c r="G19" s="25">
        <v>0</v>
      </c>
      <c r="H19" s="27">
        <v>4034.73</v>
      </c>
      <c r="I19" t="s">
        <v>128</v>
      </c>
    </row>
    <row r="20" spans="1:9">
      <c r="A20" s="28">
        <v>41170</v>
      </c>
      <c r="B20" s="25">
        <v>0</v>
      </c>
      <c r="C20" s="25">
        <v>33</v>
      </c>
      <c r="D20" s="25">
        <v>197</v>
      </c>
      <c r="E20" s="26">
        <v>0</v>
      </c>
      <c r="F20" s="26">
        <v>0</v>
      </c>
      <c r="G20" s="25">
        <v>0</v>
      </c>
      <c r="H20" s="27">
        <v>4034.75</v>
      </c>
    </row>
    <row r="21" spans="1:9">
      <c r="A21" s="28">
        <v>41171</v>
      </c>
      <c r="B21" s="25">
        <v>0</v>
      </c>
      <c r="C21" s="25">
        <v>6</v>
      </c>
      <c r="D21" s="25">
        <v>238</v>
      </c>
      <c r="E21" s="26">
        <v>0</v>
      </c>
      <c r="F21" s="26">
        <v>0</v>
      </c>
      <c r="G21" s="25">
        <v>0</v>
      </c>
      <c r="H21" s="27">
        <v>4034.77</v>
      </c>
    </row>
    <row r="22" spans="1:9">
      <c r="A22" s="28">
        <v>41172</v>
      </c>
      <c r="B22" s="25">
        <v>0</v>
      </c>
      <c r="C22" s="25">
        <v>0</v>
      </c>
      <c r="D22" s="25">
        <v>236</v>
      </c>
      <c r="E22" s="26">
        <v>0</v>
      </c>
      <c r="F22" s="26">
        <v>0</v>
      </c>
      <c r="G22" s="25">
        <v>0</v>
      </c>
      <c r="H22" s="27">
        <v>4034.79</v>
      </c>
    </row>
    <row r="23" spans="1:9">
      <c r="A23" s="28">
        <v>41173</v>
      </c>
      <c r="B23" s="25">
        <v>0</v>
      </c>
      <c r="C23" s="25">
        <v>0</v>
      </c>
      <c r="D23" s="25">
        <v>245</v>
      </c>
      <c r="E23" s="26">
        <v>0</v>
      </c>
      <c r="F23" s="26">
        <v>0</v>
      </c>
      <c r="G23" s="25">
        <v>0</v>
      </c>
      <c r="H23" s="27">
        <v>4034.8</v>
      </c>
    </row>
    <row r="24" spans="1:9">
      <c r="A24" s="28">
        <v>41174</v>
      </c>
      <c r="B24" s="25">
        <v>0</v>
      </c>
      <c r="C24" s="25">
        <v>0</v>
      </c>
      <c r="D24" s="25">
        <v>238</v>
      </c>
      <c r="E24" s="26">
        <v>0</v>
      </c>
      <c r="F24" s="26">
        <v>0</v>
      </c>
      <c r="G24" s="25">
        <v>0</v>
      </c>
      <c r="H24" s="27">
        <v>4034.81</v>
      </c>
    </row>
    <row r="25" spans="1:9">
      <c r="A25" s="28">
        <v>41175</v>
      </c>
      <c r="B25" s="25">
        <v>0</v>
      </c>
      <c r="C25" s="25">
        <v>0</v>
      </c>
      <c r="D25" s="25">
        <v>231</v>
      </c>
      <c r="E25" s="26">
        <v>0</v>
      </c>
      <c r="F25" s="26">
        <v>0</v>
      </c>
      <c r="G25" s="25">
        <v>0</v>
      </c>
      <c r="H25" s="27">
        <v>4034.82</v>
      </c>
    </row>
    <row r="26" spans="1:9">
      <c r="A26" s="28">
        <v>41176</v>
      </c>
      <c r="B26" s="25">
        <v>0</v>
      </c>
      <c r="C26" s="25">
        <v>0</v>
      </c>
      <c r="D26" s="25">
        <v>223</v>
      </c>
      <c r="E26" s="26">
        <v>0</v>
      </c>
      <c r="F26" s="26">
        <v>0</v>
      </c>
      <c r="G26" s="25">
        <v>0</v>
      </c>
      <c r="H26" s="27">
        <v>4034.82</v>
      </c>
    </row>
    <row r="27" spans="1:9">
      <c r="A27" s="28">
        <v>41177</v>
      </c>
      <c r="B27" s="25">
        <v>33</v>
      </c>
      <c r="C27" s="25">
        <v>0</v>
      </c>
      <c r="D27" s="25">
        <v>230</v>
      </c>
      <c r="E27" s="26">
        <v>0</v>
      </c>
      <c r="F27" s="26">
        <v>0</v>
      </c>
      <c r="G27" s="25">
        <v>0</v>
      </c>
      <c r="H27" s="27">
        <v>4034.82</v>
      </c>
      <c r="I27" t="s">
        <v>129</v>
      </c>
    </row>
    <row r="28" spans="1:9">
      <c r="A28" s="28">
        <v>41178</v>
      </c>
      <c r="B28" s="25">
        <v>50</v>
      </c>
      <c r="C28" s="25">
        <v>0</v>
      </c>
      <c r="D28" s="25">
        <v>223</v>
      </c>
      <c r="E28" s="26">
        <v>0</v>
      </c>
      <c r="F28" s="26">
        <v>0</v>
      </c>
      <c r="G28" s="25">
        <v>0</v>
      </c>
      <c r="H28" s="27">
        <v>4034.84</v>
      </c>
    </row>
    <row r="29" spans="1:9">
      <c r="A29" s="28">
        <v>41179</v>
      </c>
      <c r="B29" s="13">
        <v>50</v>
      </c>
      <c r="C29" s="13">
        <v>0</v>
      </c>
      <c r="D29" s="13">
        <v>247</v>
      </c>
      <c r="E29" s="14">
        <v>0</v>
      </c>
      <c r="F29" s="14">
        <v>0</v>
      </c>
      <c r="G29" s="13">
        <v>0</v>
      </c>
      <c r="H29" s="15">
        <v>4034.84</v>
      </c>
    </row>
    <row r="30" spans="1:9">
      <c r="A30" s="28">
        <v>41180</v>
      </c>
      <c r="B30" s="13">
        <v>50</v>
      </c>
      <c r="C30" s="13">
        <v>0</v>
      </c>
      <c r="D30" s="13">
        <v>252</v>
      </c>
      <c r="E30" s="14">
        <v>0</v>
      </c>
      <c r="F30" s="14">
        <v>0</v>
      </c>
      <c r="G30" s="13">
        <v>0</v>
      </c>
      <c r="H30" s="15">
        <v>4034.86</v>
      </c>
    </row>
    <row r="31" spans="1:9">
      <c r="A31" s="28">
        <v>41181</v>
      </c>
      <c r="B31" s="13">
        <v>50</v>
      </c>
      <c r="C31" s="13">
        <v>0</v>
      </c>
      <c r="D31" s="13">
        <v>216</v>
      </c>
      <c r="E31" s="14">
        <v>0</v>
      </c>
      <c r="F31" s="14">
        <v>0</v>
      </c>
      <c r="G31" s="13">
        <v>0</v>
      </c>
      <c r="H31" s="15">
        <v>4034.88</v>
      </c>
    </row>
    <row r="32" spans="1:9" ht="15.75" thickBot="1">
      <c r="A32" s="28">
        <v>41182</v>
      </c>
      <c r="B32" s="110">
        <v>30</v>
      </c>
      <c r="C32" s="13">
        <v>0</v>
      </c>
      <c r="D32" s="13">
        <v>197</v>
      </c>
      <c r="E32" s="14">
        <v>0</v>
      </c>
      <c r="F32" s="14">
        <v>0</v>
      </c>
      <c r="G32" s="13">
        <v>0</v>
      </c>
      <c r="H32" s="15">
        <v>4034.88</v>
      </c>
      <c r="I32" t="s">
        <v>130</v>
      </c>
    </row>
    <row r="33" spans="1:14" s="11" customFormat="1" ht="15.75" thickTop="1">
      <c r="A33" s="16" t="s">
        <v>8</v>
      </c>
      <c r="B33" s="17">
        <f t="shared" ref="B33:G33" si="0">SUM(B1:B32)</f>
        <v>1123</v>
      </c>
      <c r="C33" s="17">
        <f t="shared" si="0"/>
        <v>479</v>
      </c>
      <c r="D33" s="17">
        <f t="shared" si="0"/>
        <v>7571</v>
      </c>
      <c r="E33" s="18">
        <f t="shared" si="0"/>
        <v>0</v>
      </c>
      <c r="F33" s="18">
        <f t="shared" si="0"/>
        <v>0</v>
      </c>
      <c r="G33" s="17">
        <f t="shared" si="0"/>
        <v>0</v>
      </c>
      <c r="H33" s="18"/>
    </row>
    <row r="34" spans="1:14" s="11" customFormat="1">
      <c r="A34" s="19" t="s">
        <v>9</v>
      </c>
      <c r="B34" s="20">
        <f>SUM(B33+'Aug 2012'!B35)</f>
        <v>29703</v>
      </c>
      <c r="C34" s="20">
        <f>SUM(C33+'Aug 2012'!C35)</f>
        <v>6430</v>
      </c>
      <c r="D34" s="20">
        <f>SUM(D33+'Aug 2012'!D35)</f>
        <v>66535</v>
      </c>
      <c r="E34" s="21">
        <f>SUM(E33+'Aug 2012'!E35)</f>
        <v>6.97</v>
      </c>
      <c r="F34" s="21">
        <f>SUM(F33+'Aug 2012'!F35)</f>
        <v>20</v>
      </c>
      <c r="G34" s="20">
        <f>SUM(G33+'Aug 2012'!G35)</f>
        <v>14512</v>
      </c>
      <c r="H34" s="21"/>
    </row>
    <row r="36" spans="1:14">
      <c r="A36" t="s">
        <v>10</v>
      </c>
      <c r="B36" s="23">
        <f>SUM(B3:B32)*1.9835</f>
        <v>2227.4704999999999</v>
      </c>
      <c r="C36" s="23">
        <f>SUM(C3:C32)*1.9835</f>
        <v>950.09649999999999</v>
      </c>
      <c r="D36" s="23">
        <f>SUM(D3:D32)*1.9835</f>
        <v>15017.0785</v>
      </c>
      <c r="E36" s="23"/>
      <c r="F36" s="23"/>
      <c r="G36" s="23"/>
    </row>
    <row r="37" spans="1:14">
      <c r="B37" s="23"/>
      <c r="C37" s="23"/>
      <c r="D37" s="24"/>
      <c r="E37" s="23"/>
      <c r="F37" s="23"/>
      <c r="G37" s="23"/>
    </row>
    <row r="38" spans="1:14">
      <c r="A38" t="s">
        <v>24</v>
      </c>
      <c r="B38" s="23">
        <f>SUM(B36+'Aug 2012'!B39)</f>
        <v>58471.596500000007</v>
      </c>
      <c r="C38" s="23">
        <f>SUM(C36+'Aug 2012'!C39)</f>
        <v>11797.858</v>
      </c>
      <c r="D38" s="23">
        <f>SUM(D36+'Aug 2012'!D39)</f>
        <v>129240.89300000001</v>
      </c>
      <c r="E38" s="23"/>
      <c r="F38" s="23"/>
      <c r="G38" s="23"/>
    </row>
    <row r="40" spans="1:14" ht="17.45" customHeight="1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1"/>
      <c r="N40" s="30"/>
    </row>
    <row r="41" spans="1:14" ht="16.899999999999999" customHeight="1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1"/>
      <c r="N41" s="30"/>
    </row>
    <row r="42" spans="1:14" ht="13.9" customHeight="1" thickBot="1">
      <c r="A42" s="118" t="s">
        <v>23</v>
      </c>
      <c r="B42" s="118"/>
      <c r="C42" s="118"/>
      <c r="D42" s="118"/>
      <c r="E42" s="118"/>
      <c r="F42" s="118"/>
      <c r="G42" s="118"/>
      <c r="H42" s="118"/>
      <c r="I42" s="119"/>
      <c r="J42" s="32"/>
      <c r="K42" s="32"/>
      <c r="L42" s="32"/>
      <c r="M42" s="33"/>
      <c r="N42" s="34"/>
    </row>
    <row r="43" spans="1:14" ht="15.6" customHeight="1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outlineLevelRow="2"/>
  <cols>
    <col min="1" max="1" width="13.5703125" bestFit="1" customWidth="1"/>
    <col min="2" max="8" width="11.7109375" customWidth="1"/>
    <col min="9" max="9" width="27.28515625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outlineLevel="1">
      <c r="A3" s="12">
        <v>41122</v>
      </c>
      <c r="B3" s="25">
        <v>250</v>
      </c>
      <c r="C3" s="25">
        <v>0</v>
      </c>
      <c r="D3" s="25">
        <v>407</v>
      </c>
      <c r="E3" s="26">
        <v>0</v>
      </c>
      <c r="F3" s="26">
        <v>0</v>
      </c>
      <c r="G3" s="25">
        <v>0</v>
      </c>
      <c r="H3" s="27">
        <v>4034.64</v>
      </c>
    </row>
    <row r="4" spans="1:9" outlineLevel="2">
      <c r="A4" s="12">
        <v>41123</v>
      </c>
      <c r="B4" s="25">
        <v>292</v>
      </c>
      <c r="C4" s="25">
        <v>0</v>
      </c>
      <c r="D4" s="25">
        <v>387</v>
      </c>
      <c r="E4" s="26">
        <v>0</v>
      </c>
      <c r="F4" s="26">
        <v>0</v>
      </c>
      <c r="G4" s="25">
        <v>0</v>
      </c>
      <c r="H4" s="27">
        <v>4034.64</v>
      </c>
      <c r="I4" t="s">
        <v>105</v>
      </c>
    </row>
    <row r="5" spans="1:9" outlineLevel="2">
      <c r="A5" s="12">
        <v>41124</v>
      </c>
      <c r="B5" s="25">
        <v>244</v>
      </c>
      <c r="C5" s="25">
        <v>0</v>
      </c>
      <c r="D5" s="25">
        <v>402</v>
      </c>
      <c r="E5" s="26">
        <v>0</v>
      </c>
      <c r="F5" s="26">
        <v>0</v>
      </c>
      <c r="G5" s="25">
        <v>0</v>
      </c>
      <c r="H5" s="27">
        <v>4034.63</v>
      </c>
      <c r="I5" t="s">
        <v>106</v>
      </c>
    </row>
    <row r="6" spans="1:9" outlineLevel="2">
      <c r="A6" s="12">
        <v>41125</v>
      </c>
      <c r="B6" s="25">
        <v>250</v>
      </c>
      <c r="C6" s="25">
        <v>0</v>
      </c>
      <c r="D6" s="25">
        <v>428</v>
      </c>
      <c r="E6" s="26">
        <v>0</v>
      </c>
      <c r="F6" s="26">
        <v>0</v>
      </c>
      <c r="G6" s="25">
        <v>0</v>
      </c>
      <c r="H6" s="27">
        <v>4034.63</v>
      </c>
    </row>
    <row r="7" spans="1:9" outlineLevel="2">
      <c r="A7" s="12">
        <v>41126</v>
      </c>
      <c r="B7" s="25">
        <v>302</v>
      </c>
      <c r="C7" s="25">
        <v>0</v>
      </c>
      <c r="D7" s="25">
        <v>405</v>
      </c>
      <c r="E7" s="26">
        <v>0</v>
      </c>
      <c r="F7" s="26">
        <v>0</v>
      </c>
      <c r="G7" s="25">
        <v>0</v>
      </c>
      <c r="H7" s="27">
        <v>4034.63</v>
      </c>
      <c r="I7" t="s">
        <v>107</v>
      </c>
    </row>
    <row r="8" spans="1:9" outlineLevel="2">
      <c r="A8" s="12">
        <v>41127</v>
      </c>
      <c r="B8" s="25">
        <v>265</v>
      </c>
      <c r="C8" s="25">
        <v>50</v>
      </c>
      <c r="D8" s="25">
        <v>430</v>
      </c>
      <c r="E8" s="26" t="s">
        <v>36</v>
      </c>
      <c r="F8" s="26">
        <v>0</v>
      </c>
      <c r="G8" s="25">
        <v>0</v>
      </c>
      <c r="H8" s="27">
        <v>4034.63</v>
      </c>
      <c r="I8" t="s">
        <v>76</v>
      </c>
    </row>
    <row r="9" spans="1:9" outlineLevel="2">
      <c r="A9" s="12">
        <v>41128</v>
      </c>
      <c r="B9" s="25">
        <v>217</v>
      </c>
      <c r="C9" s="25">
        <v>20</v>
      </c>
      <c r="D9" s="25">
        <v>432</v>
      </c>
      <c r="E9" s="26">
        <v>0</v>
      </c>
      <c r="F9" s="26">
        <v>0</v>
      </c>
      <c r="G9" s="25">
        <v>0</v>
      </c>
      <c r="H9" s="27">
        <v>4034.63</v>
      </c>
      <c r="I9" t="s">
        <v>51</v>
      </c>
    </row>
    <row r="10" spans="1:9" outlineLevel="2">
      <c r="A10" s="12">
        <v>41129</v>
      </c>
      <c r="B10" s="25">
        <v>200</v>
      </c>
      <c r="C10" s="25">
        <v>11</v>
      </c>
      <c r="D10" s="25">
        <v>406</v>
      </c>
      <c r="E10" s="26">
        <v>0</v>
      </c>
      <c r="F10" s="26">
        <v>0</v>
      </c>
      <c r="G10" s="25">
        <v>0</v>
      </c>
      <c r="H10" s="27">
        <v>4034.63</v>
      </c>
    </row>
    <row r="11" spans="1:9" outlineLevel="2">
      <c r="A11" s="12">
        <v>41130</v>
      </c>
      <c r="B11" s="25">
        <v>200</v>
      </c>
      <c r="C11" s="25">
        <v>0</v>
      </c>
      <c r="D11" s="25">
        <v>420</v>
      </c>
      <c r="E11" s="26">
        <v>0</v>
      </c>
      <c r="F11" s="26">
        <v>0</v>
      </c>
      <c r="G11" s="25">
        <v>0</v>
      </c>
      <c r="H11" s="27">
        <v>4034.62</v>
      </c>
    </row>
    <row r="12" spans="1:9" outlineLevel="2">
      <c r="A12" s="12">
        <v>41131</v>
      </c>
      <c r="B12" s="25">
        <v>213</v>
      </c>
      <c r="C12" s="25">
        <v>0</v>
      </c>
      <c r="D12" s="25">
        <v>409</v>
      </c>
      <c r="E12" s="26">
        <v>0</v>
      </c>
      <c r="F12" s="26">
        <v>0</v>
      </c>
      <c r="G12" s="25">
        <v>0</v>
      </c>
      <c r="H12" s="27">
        <v>4034.62</v>
      </c>
      <c r="I12" t="s">
        <v>108</v>
      </c>
    </row>
    <row r="13" spans="1:9" outlineLevel="2">
      <c r="A13" s="12">
        <v>41132</v>
      </c>
      <c r="B13" s="25">
        <v>181</v>
      </c>
      <c r="C13" s="25">
        <v>0</v>
      </c>
      <c r="D13" s="25">
        <v>372</v>
      </c>
      <c r="E13" s="26">
        <v>0</v>
      </c>
      <c r="F13" s="26">
        <v>0</v>
      </c>
      <c r="G13" s="25">
        <v>0</v>
      </c>
      <c r="H13" s="27">
        <v>4034.62</v>
      </c>
      <c r="I13" t="s">
        <v>109</v>
      </c>
    </row>
    <row r="14" spans="1:9" outlineLevel="2">
      <c r="A14" s="12">
        <v>41133</v>
      </c>
      <c r="B14" s="25">
        <v>150</v>
      </c>
      <c r="C14" s="25">
        <v>15</v>
      </c>
      <c r="D14" s="25">
        <v>339</v>
      </c>
      <c r="E14" s="26">
        <v>0</v>
      </c>
      <c r="F14" s="26">
        <v>0</v>
      </c>
      <c r="G14" s="25">
        <v>0</v>
      </c>
      <c r="H14" s="27">
        <v>4034.62</v>
      </c>
    </row>
    <row r="15" spans="1:9" outlineLevel="2">
      <c r="A15" s="12">
        <v>41134</v>
      </c>
      <c r="B15" s="25">
        <v>150</v>
      </c>
      <c r="C15" s="25">
        <v>32</v>
      </c>
      <c r="D15" s="25">
        <v>341</v>
      </c>
      <c r="E15" s="26">
        <v>0</v>
      </c>
      <c r="F15" s="26">
        <v>0</v>
      </c>
      <c r="G15" s="25">
        <v>0</v>
      </c>
      <c r="H15" s="27">
        <v>4034.62</v>
      </c>
    </row>
    <row r="16" spans="1:9" outlineLevel="2">
      <c r="A16" s="12">
        <v>41135</v>
      </c>
      <c r="B16" s="25">
        <v>150</v>
      </c>
      <c r="C16" s="25">
        <v>0</v>
      </c>
      <c r="D16" s="25">
        <v>367</v>
      </c>
      <c r="E16" s="26">
        <v>0</v>
      </c>
      <c r="F16" s="26">
        <v>0</v>
      </c>
      <c r="G16" s="25">
        <v>0</v>
      </c>
      <c r="H16" s="27">
        <v>4034.62</v>
      </c>
    </row>
    <row r="17" spans="1:9" outlineLevel="2">
      <c r="A17" s="12">
        <v>41136</v>
      </c>
      <c r="B17" s="25">
        <v>115</v>
      </c>
      <c r="C17" s="25">
        <v>41</v>
      </c>
      <c r="D17" s="25">
        <v>334</v>
      </c>
      <c r="E17" s="26">
        <v>0</v>
      </c>
      <c r="F17" s="26">
        <v>0</v>
      </c>
      <c r="G17" s="25">
        <v>0</v>
      </c>
      <c r="H17" s="27">
        <v>4034.63</v>
      </c>
      <c r="I17" t="s">
        <v>110</v>
      </c>
    </row>
    <row r="18" spans="1:9" outlineLevel="2">
      <c r="A18" s="12">
        <v>41137</v>
      </c>
      <c r="B18" s="25">
        <v>73</v>
      </c>
      <c r="C18" s="25">
        <v>69</v>
      </c>
      <c r="D18" s="25">
        <v>326</v>
      </c>
      <c r="E18" s="26">
        <v>0</v>
      </c>
      <c r="F18" s="26">
        <v>0</v>
      </c>
      <c r="G18" s="25">
        <v>0</v>
      </c>
      <c r="H18" s="27">
        <v>4034.63</v>
      </c>
      <c r="I18" t="s">
        <v>111</v>
      </c>
    </row>
    <row r="19" spans="1:9" outlineLevel="2">
      <c r="A19" s="12">
        <v>41138</v>
      </c>
      <c r="B19" s="25">
        <v>85</v>
      </c>
      <c r="C19" s="25">
        <v>16</v>
      </c>
      <c r="D19" s="25">
        <v>287</v>
      </c>
      <c r="E19" s="26">
        <v>0</v>
      </c>
      <c r="F19" s="26">
        <v>0</v>
      </c>
      <c r="G19" s="25">
        <v>0</v>
      </c>
      <c r="H19" s="27">
        <v>4034.63</v>
      </c>
      <c r="I19" t="s">
        <v>112</v>
      </c>
    </row>
    <row r="20" spans="1:9" outlineLevel="2">
      <c r="A20" s="12">
        <v>41139</v>
      </c>
      <c r="B20" s="25">
        <v>65</v>
      </c>
      <c r="C20" s="25">
        <v>40</v>
      </c>
      <c r="D20" s="25">
        <v>273</v>
      </c>
      <c r="E20" s="26">
        <v>0.02</v>
      </c>
      <c r="F20" s="26">
        <v>0</v>
      </c>
      <c r="G20" s="25">
        <v>0</v>
      </c>
      <c r="H20" s="27">
        <v>4034.63</v>
      </c>
      <c r="I20" t="s">
        <v>113</v>
      </c>
    </row>
    <row r="21" spans="1:9" outlineLevel="2">
      <c r="A21" s="12">
        <v>41140</v>
      </c>
      <c r="B21" s="25">
        <v>63</v>
      </c>
      <c r="C21" s="25">
        <v>45</v>
      </c>
      <c r="D21" s="25">
        <v>279</v>
      </c>
      <c r="E21" s="26">
        <v>0</v>
      </c>
      <c r="F21" s="26">
        <v>0</v>
      </c>
      <c r="G21" s="25">
        <v>0</v>
      </c>
      <c r="H21" s="27">
        <v>4034.63</v>
      </c>
      <c r="I21" t="s">
        <v>114</v>
      </c>
    </row>
    <row r="22" spans="1:9" outlineLevel="2">
      <c r="A22" s="12">
        <v>41141</v>
      </c>
      <c r="B22" s="25">
        <v>65</v>
      </c>
      <c r="C22" s="25">
        <v>50</v>
      </c>
      <c r="D22" s="25">
        <v>316</v>
      </c>
      <c r="E22" s="26">
        <v>0</v>
      </c>
      <c r="F22" s="26">
        <v>0</v>
      </c>
      <c r="G22" s="25">
        <v>0</v>
      </c>
      <c r="H22" s="27">
        <v>4034.63</v>
      </c>
      <c r="I22" t="s">
        <v>113</v>
      </c>
    </row>
    <row r="23" spans="1:9" outlineLevel="2">
      <c r="A23" s="12">
        <v>41142</v>
      </c>
      <c r="B23" s="25">
        <v>63</v>
      </c>
      <c r="C23" s="25">
        <v>12</v>
      </c>
      <c r="D23" s="25">
        <v>328</v>
      </c>
      <c r="E23" s="26">
        <v>0</v>
      </c>
      <c r="F23" s="26">
        <v>0</v>
      </c>
      <c r="G23" s="25">
        <v>0</v>
      </c>
      <c r="H23" s="27">
        <v>4034.63</v>
      </c>
      <c r="I23" t="s">
        <v>114</v>
      </c>
    </row>
    <row r="24" spans="1:9" outlineLevel="2">
      <c r="A24" s="12">
        <v>41143</v>
      </c>
      <c r="B24" s="25">
        <v>65</v>
      </c>
      <c r="C24" s="25">
        <v>39</v>
      </c>
      <c r="D24" s="25">
        <v>336</v>
      </c>
      <c r="E24" s="26">
        <v>0</v>
      </c>
      <c r="F24" s="26">
        <v>0</v>
      </c>
      <c r="G24" s="25">
        <v>0</v>
      </c>
      <c r="H24" s="27">
        <v>4034.63</v>
      </c>
      <c r="I24" t="s">
        <v>113</v>
      </c>
    </row>
    <row r="25" spans="1:9" outlineLevel="2">
      <c r="A25" s="12">
        <v>41144</v>
      </c>
      <c r="B25" s="25">
        <v>50</v>
      </c>
      <c r="C25" s="25">
        <v>0</v>
      </c>
      <c r="D25" s="25">
        <v>330</v>
      </c>
      <c r="E25" s="26">
        <v>0</v>
      </c>
      <c r="F25" s="26">
        <v>0</v>
      </c>
      <c r="G25" s="25">
        <v>0</v>
      </c>
      <c r="H25" s="27">
        <v>4034.63</v>
      </c>
    </row>
    <row r="26" spans="1:9" outlineLevel="2">
      <c r="A26" s="12">
        <v>41145</v>
      </c>
      <c r="B26" s="25">
        <v>71</v>
      </c>
      <c r="C26" s="25">
        <v>0</v>
      </c>
      <c r="D26" s="25">
        <v>312</v>
      </c>
      <c r="E26" s="26">
        <v>0</v>
      </c>
      <c r="F26" s="26">
        <v>0</v>
      </c>
      <c r="G26" s="25">
        <v>0</v>
      </c>
      <c r="H26" s="27">
        <v>4034.63</v>
      </c>
      <c r="I26" t="s">
        <v>115</v>
      </c>
    </row>
    <row r="27" spans="1:9" outlineLevel="2">
      <c r="A27" s="12">
        <v>41146</v>
      </c>
      <c r="B27" s="25">
        <v>50</v>
      </c>
      <c r="C27" s="25">
        <v>19</v>
      </c>
      <c r="D27" s="25">
        <v>299</v>
      </c>
      <c r="E27" s="26">
        <v>0</v>
      </c>
      <c r="F27" s="26">
        <v>0</v>
      </c>
      <c r="G27" s="25">
        <v>0</v>
      </c>
      <c r="H27" s="27">
        <v>4034.63</v>
      </c>
    </row>
    <row r="28" spans="1:9" outlineLevel="2">
      <c r="A28" s="12">
        <v>41147</v>
      </c>
      <c r="B28" s="25">
        <v>50</v>
      </c>
      <c r="C28" s="25">
        <v>12</v>
      </c>
      <c r="D28" s="25">
        <v>317</v>
      </c>
      <c r="E28" s="26">
        <v>0</v>
      </c>
      <c r="F28" s="26">
        <v>0</v>
      </c>
      <c r="G28" s="25">
        <v>0</v>
      </c>
      <c r="H28" s="27">
        <v>4034.63</v>
      </c>
    </row>
    <row r="29" spans="1:9" outlineLevel="2">
      <c r="A29" s="12">
        <v>41148</v>
      </c>
      <c r="B29" s="25">
        <v>50</v>
      </c>
      <c r="C29" s="25">
        <v>0</v>
      </c>
      <c r="D29" s="25">
        <v>318</v>
      </c>
      <c r="E29" s="26">
        <v>0</v>
      </c>
      <c r="F29" s="26">
        <v>0</v>
      </c>
      <c r="G29" s="25">
        <v>0</v>
      </c>
      <c r="H29" s="27">
        <v>4034.63</v>
      </c>
    </row>
    <row r="30" spans="1:9" outlineLevel="2">
      <c r="A30" s="12">
        <v>41149</v>
      </c>
      <c r="B30" s="25">
        <v>65</v>
      </c>
      <c r="C30" s="25">
        <v>0</v>
      </c>
      <c r="D30" s="25">
        <v>311</v>
      </c>
      <c r="E30" s="26">
        <v>0</v>
      </c>
      <c r="F30" s="26">
        <v>0</v>
      </c>
      <c r="G30" s="25">
        <v>0</v>
      </c>
      <c r="H30" s="27">
        <v>4034.63</v>
      </c>
      <c r="I30" t="s">
        <v>116</v>
      </c>
    </row>
    <row r="31" spans="1:9" outlineLevel="2">
      <c r="A31" s="12">
        <v>41150</v>
      </c>
      <c r="B31" s="25">
        <v>100</v>
      </c>
      <c r="C31" s="25">
        <v>0</v>
      </c>
      <c r="D31" s="25">
        <v>320</v>
      </c>
      <c r="E31" s="26">
        <v>0</v>
      </c>
      <c r="F31" s="26">
        <v>0</v>
      </c>
      <c r="G31" s="25">
        <v>0</v>
      </c>
      <c r="H31" s="27">
        <v>4034.63</v>
      </c>
    </row>
    <row r="32" spans="1:9" outlineLevel="2">
      <c r="A32" s="12">
        <v>41151</v>
      </c>
      <c r="B32" s="25">
        <v>67</v>
      </c>
      <c r="C32" s="25">
        <v>0</v>
      </c>
      <c r="D32" s="25">
        <v>317</v>
      </c>
      <c r="E32" s="26">
        <v>0</v>
      </c>
      <c r="F32" s="26">
        <v>0</v>
      </c>
      <c r="G32" s="25">
        <v>0</v>
      </c>
      <c r="H32" s="27">
        <v>4034.64</v>
      </c>
      <c r="I32" t="s">
        <v>117</v>
      </c>
    </row>
    <row r="33" spans="1:14" ht="15.75" outlineLevel="2" thickBot="1">
      <c r="A33" s="12">
        <v>41152</v>
      </c>
      <c r="B33" s="25">
        <v>73</v>
      </c>
      <c r="C33" s="25">
        <v>0</v>
      </c>
      <c r="D33" s="25">
        <v>320</v>
      </c>
      <c r="E33" s="26">
        <v>0</v>
      </c>
      <c r="F33" s="26">
        <v>0</v>
      </c>
      <c r="G33" s="25">
        <v>0</v>
      </c>
      <c r="H33" s="27">
        <v>4034.64</v>
      </c>
      <c r="I33" t="s">
        <v>118</v>
      </c>
    </row>
    <row r="34" spans="1:14" s="11" customFormat="1" ht="15.75" outlineLevel="1" thickTop="1">
      <c r="A34" s="16" t="s">
        <v>8</v>
      </c>
      <c r="B34" s="17">
        <f t="shared" ref="B34:G34" si="0">SUM(B3:B33)</f>
        <v>4234</v>
      </c>
      <c r="C34" s="17">
        <f t="shared" si="0"/>
        <v>471</v>
      </c>
      <c r="D34" s="17">
        <f t="shared" si="0"/>
        <v>10868</v>
      </c>
      <c r="E34" s="18">
        <f t="shared" si="0"/>
        <v>0.02</v>
      </c>
      <c r="F34" s="18">
        <f t="shared" si="0"/>
        <v>0</v>
      </c>
      <c r="G34" s="17">
        <f t="shared" si="0"/>
        <v>0</v>
      </c>
      <c r="H34" s="18"/>
    </row>
    <row r="35" spans="1:14" s="11" customFormat="1" outlineLevel="1">
      <c r="A35" s="19" t="s">
        <v>9</v>
      </c>
      <c r="B35" s="20">
        <f>SUM(B34+'Jul 2012'!B35)</f>
        <v>28580</v>
      </c>
      <c r="C35" s="20">
        <f>SUM(C34+'Jul 2012'!C35)</f>
        <v>5951</v>
      </c>
      <c r="D35" s="20">
        <f>SUM(D34+'Jul 2012'!D35)</f>
        <v>58964</v>
      </c>
      <c r="E35" s="21">
        <f>SUM(E34+'Jul 2012'!E35)</f>
        <v>6.97</v>
      </c>
      <c r="F35" s="21">
        <f>SUM(F34+'Jul 2012'!F35)</f>
        <v>20</v>
      </c>
      <c r="G35" s="20">
        <f>SUM(G34+'Jul 2012'!G35)</f>
        <v>14512</v>
      </c>
      <c r="H35" s="21"/>
    </row>
    <row r="36" spans="1:14" outlineLevel="1"/>
    <row r="37" spans="1:14">
      <c r="A37" t="s">
        <v>10</v>
      </c>
      <c r="B37" s="23">
        <f>SUM(B4:B33)*1.9835</f>
        <v>7902.2640000000001</v>
      </c>
      <c r="C37" s="23">
        <f>SUM(C4:C33)*1.9835</f>
        <v>934.22850000000005</v>
      </c>
      <c r="D37" s="23">
        <f>SUM(D4:D33)*1.9835</f>
        <v>20749.393500000002</v>
      </c>
      <c r="E37" s="23"/>
      <c r="F37" s="23"/>
      <c r="G37" s="23"/>
    </row>
    <row r="38" spans="1:14">
      <c r="B38" s="23"/>
      <c r="C38" s="23"/>
      <c r="D38" s="24"/>
      <c r="E38" s="23"/>
      <c r="F38" s="23"/>
      <c r="G38" s="23"/>
    </row>
    <row r="39" spans="1:14">
      <c r="A39" t="s">
        <v>24</v>
      </c>
      <c r="B39" s="23">
        <f>SUM(B37+'Jul 2012'!B39)</f>
        <v>56244.126000000004</v>
      </c>
      <c r="C39" s="23">
        <f>SUM(C37+'Jul 2012'!C39)</f>
        <v>10847.761500000001</v>
      </c>
      <c r="D39" s="23">
        <f>SUM(D37+'Jul 2012'!D39)</f>
        <v>114223.81450000001</v>
      </c>
      <c r="E39" s="23"/>
      <c r="F39" s="23"/>
      <c r="G39" s="23"/>
    </row>
    <row r="41" spans="1:14" ht="17.45" customHeight="1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1"/>
      <c r="N41" s="30"/>
    </row>
    <row r="42" spans="1:14" ht="16.899999999999999" customHeight="1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1"/>
      <c r="N42" s="30"/>
    </row>
    <row r="43" spans="1:14" ht="13.9" customHeight="1" thickBot="1">
      <c r="A43" s="118" t="s">
        <v>23</v>
      </c>
      <c r="B43" s="118"/>
      <c r="C43" s="118"/>
      <c r="D43" s="118"/>
      <c r="E43" s="118"/>
      <c r="F43" s="118"/>
      <c r="G43" s="118"/>
      <c r="H43" s="118"/>
      <c r="I43" s="119"/>
      <c r="J43" s="32"/>
      <c r="K43" s="32"/>
      <c r="L43" s="32"/>
      <c r="M43" s="33"/>
      <c r="N43" s="34"/>
    </row>
    <row r="44" spans="1:14" ht="15.6" customHeight="1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outlineLevel="1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outlineLevel="1" thickBot="1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C32" sqref="C32"/>
    </sheetView>
  </sheetViews>
  <sheetFormatPr defaultRowHeight="15"/>
  <cols>
    <col min="1" max="1" width="13.5703125" bestFit="1" customWidth="1"/>
    <col min="2" max="8" width="11.7109375" customWidth="1"/>
    <col min="9" max="9" width="30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28">
        <v>41091</v>
      </c>
      <c r="B3" s="25">
        <v>250</v>
      </c>
      <c r="C3" s="25">
        <v>15</v>
      </c>
      <c r="D3" s="25">
        <v>447</v>
      </c>
      <c r="E3" s="26">
        <v>0.14000000000000001</v>
      </c>
      <c r="F3" s="26">
        <v>0</v>
      </c>
      <c r="G3" s="25">
        <v>0</v>
      </c>
      <c r="H3" s="27">
        <v>4034.7</v>
      </c>
      <c r="I3" s="95"/>
    </row>
    <row r="4" spans="1:9">
      <c r="A4" s="28">
        <v>41092</v>
      </c>
      <c r="B4" s="25">
        <v>250</v>
      </c>
      <c r="C4" s="25">
        <v>19</v>
      </c>
      <c r="D4" s="25">
        <v>465</v>
      </c>
      <c r="E4" s="26">
        <v>0</v>
      </c>
      <c r="F4" s="26">
        <v>0</v>
      </c>
      <c r="G4" s="25">
        <v>0</v>
      </c>
      <c r="H4" s="27">
        <v>4034.72</v>
      </c>
    </row>
    <row r="5" spans="1:9">
      <c r="A5" s="28">
        <v>41093</v>
      </c>
      <c r="B5" s="25">
        <v>292</v>
      </c>
      <c r="C5" s="25">
        <v>0</v>
      </c>
      <c r="D5" s="25">
        <v>477</v>
      </c>
      <c r="E5" s="26">
        <v>0</v>
      </c>
      <c r="F5" s="26">
        <v>0</v>
      </c>
      <c r="G5" s="25">
        <v>0</v>
      </c>
      <c r="H5" s="27">
        <v>4034.72</v>
      </c>
      <c r="I5" t="s">
        <v>87</v>
      </c>
    </row>
    <row r="6" spans="1:9">
      <c r="A6" s="28">
        <v>41094</v>
      </c>
      <c r="B6" s="25">
        <v>319</v>
      </c>
      <c r="C6" s="25">
        <v>0</v>
      </c>
      <c r="D6" s="25">
        <v>498</v>
      </c>
      <c r="E6" s="26">
        <v>0</v>
      </c>
      <c r="F6" s="26">
        <v>0</v>
      </c>
      <c r="G6" s="25">
        <v>0</v>
      </c>
      <c r="H6" s="27">
        <v>4034.72</v>
      </c>
      <c r="I6" t="s">
        <v>88</v>
      </c>
    </row>
    <row r="7" spans="1:9">
      <c r="A7" s="28">
        <v>41095</v>
      </c>
      <c r="B7" s="25">
        <v>300</v>
      </c>
      <c r="C7" s="25">
        <v>0</v>
      </c>
      <c r="D7" s="25">
        <v>504</v>
      </c>
      <c r="E7" s="26">
        <v>0</v>
      </c>
      <c r="F7" s="26">
        <v>0</v>
      </c>
      <c r="G7" s="25">
        <v>0</v>
      </c>
      <c r="H7" s="27">
        <v>4034.72</v>
      </c>
    </row>
    <row r="8" spans="1:9">
      <c r="A8" s="28">
        <v>41096</v>
      </c>
      <c r="B8" s="25">
        <v>331</v>
      </c>
      <c r="C8" s="25">
        <v>0</v>
      </c>
      <c r="D8" s="25">
        <v>499</v>
      </c>
      <c r="E8" s="26">
        <v>0</v>
      </c>
      <c r="F8" s="26">
        <v>0</v>
      </c>
      <c r="G8" s="25">
        <v>0</v>
      </c>
      <c r="H8" s="27">
        <v>4034.73</v>
      </c>
      <c r="I8" t="s">
        <v>84</v>
      </c>
    </row>
    <row r="9" spans="1:9">
      <c r="A9" s="28">
        <v>41097</v>
      </c>
      <c r="B9" s="25">
        <v>317</v>
      </c>
      <c r="C9" s="25">
        <v>0</v>
      </c>
      <c r="D9" s="25">
        <v>478</v>
      </c>
      <c r="E9" s="26">
        <v>0</v>
      </c>
      <c r="F9" s="26">
        <v>0</v>
      </c>
      <c r="G9" s="25">
        <v>0</v>
      </c>
      <c r="H9" s="27">
        <v>4034.73</v>
      </c>
      <c r="I9" t="s">
        <v>89</v>
      </c>
    </row>
    <row r="10" spans="1:9">
      <c r="A10" s="28">
        <v>41098</v>
      </c>
      <c r="B10" s="25">
        <v>313</v>
      </c>
      <c r="C10" s="25">
        <v>0</v>
      </c>
      <c r="D10" s="25">
        <v>451</v>
      </c>
      <c r="E10" s="26">
        <v>0</v>
      </c>
      <c r="F10" s="26">
        <v>0</v>
      </c>
      <c r="G10" s="25">
        <v>0</v>
      </c>
      <c r="H10" s="27">
        <v>4034.73</v>
      </c>
      <c r="I10" t="s">
        <v>90</v>
      </c>
    </row>
    <row r="11" spans="1:9">
      <c r="A11" s="28">
        <v>41099</v>
      </c>
      <c r="B11" s="25">
        <v>327</v>
      </c>
      <c r="C11" s="25">
        <v>0</v>
      </c>
      <c r="D11" s="25">
        <v>486</v>
      </c>
      <c r="E11" s="26">
        <v>0</v>
      </c>
      <c r="F11" s="26">
        <v>0</v>
      </c>
      <c r="G11" s="25">
        <v>0</v>
      </c>
      <c r="H11" s="27">
        <v>4034.73</v>
      </c>
      <c r="I11" t="s">
        <v>91</v>
      </c>
    </row>
    <row r="12" spans="1:9">
      <c r="A12" s="28">
        <v>41100</v>
      </c>
      <c r="B12" s="25">
        <v>385</v>
      </c>
      <c r="C12" s="25">
        <v>0</v>
      </c>
      <c r="D12" s="25">
        <v>515</v>
      </c>
      <c r="E12" s="26">
        <v>0</v>
      </c>
      <c r="F12" s="26">
        <v>0</v>
      </c>
      <c r="G12" s="25">
        <v>0</v>
      </c>
      <c r="H12" s="27">
        <v>4034.73</v>
      </c>
      <c r="I12" t="s">
        <v>92</v>
      </c>
    </row>
    <row r="13" spans="1:9">
      <c r="A13" s="28">
        <v>41101</v>
      </c>
      <c r="B13" s="25">
        <v>372</v>
      </c>
      <c r="C13" s="25">
        <v>0</v>
      </c>
      <c r="D13" s="25">
        <v>502</v>
      </c>
      <c r="E13" s="26">
        <v>0</v>
      </c>
      <c r="F13" s="26">
        <v>0</v>
      </c>
      <c r="G13" s="25">
        <v>0</v>
      </c>
      <c r="H13" s="27">
        <v>4034.72</v>
      </c>
      <c r="I13" t="s">
        <v>93</v>
      </c>
    </row>
    <row r="14" spans="1:9">
      <c r="A14" s="28">
        <v>41102</v>
      </c>
      <c r="B14" s="25">
        <v>281</v>
      </c>
      <c r="C14" s="25">
        <v>0</v>
      </c>
      <c r="D14" s="25">
        <v>432</v>
      </c>
      <c r="E14" s="26">
        <v>0</v>
      </c>
      <c r="F14" s="26">
        <v>0</v>
      </c>
      <c r="G14" s="25">
        <v>0</v>
      </c>
      <c r="H14" s="27">
        <v>4034.72</v>
      </c>
      <c r="I14" t="s">
        <v>94</v>
      </c>
    </row>
    <row r="15" spans="1:9">
      <c r="A15" s="28">
        <v>41103</v>
      </c>
      <c r="B15" s="25">
        <v>250</v>
      </c>
      <c r="C15" s="25">
        <v>0</v>
      </c>
      <c r="D15" s="25">
        <v>407</v>
      </c>
      <c r="E15" s="26">
        <v>0</v>
      </c>
      <c r="F15" s="26">
        <v>0</v>
      </c>
      <c r="G15" s="25">
        <v>0</v>
      </c>
      <c r="H15" s="27">
        <v>4034.71</v>
      </c>
    </row>
    <row r="16" spans="1:9">
      <c r="A16" s="28">
        <v>41104</v>
      </c>
      <c r="B16" s="25">
        <v>231</v>
      </c>
      <c r="C16" s="25">
        <v>0</v>
      </c>
      <c r="D16" s="25">
        <v>398</v>
      </c>
      <c r="E16" s="26">
        <v>0</v>
      </c>
      <c r="F16" s="26">
        <v>0</v>
      </c>
      <c r="G16" s="25">
        <v>0</v>
      </c>
      <c r="H16" s="27">
        <v>4034.71</v>
      </c>
      <c r="I16" t="s">
        <v>95</v>
      </c>
    </row>
    <row r="17" spans="1:9">
      <c r="A17" s="28">
        <v>41105</v>
      </c>
      <c r="B17" s="25">
        <v>200</v>
      </c>
      <c r="C17" s="25">
        <v>0</v>
      </c>
      <c r="D17" s="25">
        <v>373</v>
      </c>
      <c r="E17" s="26">
        <v>0</v>
      </c>
      <c r="F17" s="26">
        <v>0</v>
      </c>
      <c r="G17" s="25">
        <v>0</v>
      </c>
      <c r="H17" s="27">
        <v>4034.7</v>
      </c>
    </row>
    <row r="18" spans="1:9">
      <c r="A18" s="28">
        <v>41106</v>
      </c>
      <c r="B18" s="25">
        <v>200</v>
      </c>
      <c r="C18" s="25">
        <v>0</v>
      </c>
      <c r="D18" s="25">
        <v>375</v>
      </c>
      <c r="E18" s="26">
        <v>0</v>
      </c>
      <c r="F18" s="26">
        <v>0</v>
      </c>
      <c r="G18" s="25">
        <v>0</v>
      </c>
      <c r="H18" s="27">
        <v>4034.69</v>
      </c>
    </row>
    <row r="19" spans="1:9">
      <c r="A19" s="28">
        <v>41107</v>
      </c>
      <c r="B19" s="25">
        <v>200</v>
      </c>
      <c r="C19" s="25">
        <v>0</v>
      </c>
      <c r="D19" s="25">
        <v>371</v>
      </c>
      <c r="E19" s="26">
        <v>0</v>
      </c>
      <c r="F19" s="26">
        <v>0</v>
      </c>
      <c r="G19" s="25">
        <v>0</v>
      </c>
      <c r="H19" s="27">
        <v>4034.69</v>
      </c>
    </row>
    <row r="20" spans="1:9">
      <c r="A20" s="28">
        <v>41108</v>
      </c>
      <c r="B20" s="25">
        <v>183</v>
      </c>
      <c r="C20" s="25">
        <v>13</v>
      </c>
      <c r="D20" s="25">
        <v>356</v>
      </c>
      <c r="E20" s="26">
        <v>0</v>
      </c>
      <c r="F20" s="26">
        <v>0</v>
      </c>
      <c r="G20" s="25">
        <v>0</v>
      </c>
      <c r="H20" s="27">
        <v>4034.69</v>
      </c>
      <c r="I20" t="s">
        <v>96</v>
      </c>
    </row>
    <row r="21" spans="1:9">
      <c r="A21" s="28">
        <v>41109</v>
      </c>
      <c r="B21" s="25">
        <v>150</v>
      </c>
      <c r="C21" s="25">
        <v>28</v>
      </c>
      <c r="D21" s="25">
        <v>350</v>
      </c>
      <c r="E21" s="26">
        <v>0.02</v>
      </c>
      <c r="F21" s="26">
        <v>0</v>
      </c>
      <c r="G21" s="25">
        <v>0</v>
      </c>
      <c r="H21" s="27">
        <v>4034.69</v>
      </c>
    </row>
    <row r="22" spans="1:9">
      <c r="A22" s="28">
        <v>41110</v>
      </c>
      <c r="B22" s="25">
        <v>150</v>
      </c>
      <c r="C22" s="25">
        <v>8</v>
      </c>
      <c r="D22" s="25">
        <v>346</v>
      </c>
      <c r="E22" s="26">
        <v>0</v>
      </c>
      <c r="F22" s="26">
        <v>0</v>
      </c>
      <c r="G22" s="25">
        <v>0</v>
      </c>
      <c r="H22" s="27">
        <v>4034.69</v>
      </c>
    </row>
    <row r="23" spans="1:9">
      <c r="A23" s="28">
        <v>41111</v>
      </c>
      <c r="B23" s="25">
        <v>150</v>
      </c>
      <c r="C23" s="25">
        <v>0</v>
      </c>
      <c r="D23" s="25">
        <v>341</v>
      </c>
      <c r="E23" s="26">
        <v>0</v>
      </c>
      <c r="F23" s="26">
        <v>0</v>
      </c>
      <c r="G23" s="25">
        <v>0</v>
      </c>
      <c r="H23" s="27">
        <v>4034.69</v>
      </c>
    </row>
    <row r="24" spans="1:9">
      <c r="A24" s="28">
        <v>41112</v>
      </c>
      <c r="B24" s="25">
        <v>150</v>
      </c>
      <c r="C24" s="25">
        <v>6</v>
      </c>
      <c r="D24" s="25">
        <v>310</v>
      </c>
      <c r="E24" s="26">
        <v>0</v>
      </c>
      <c r="F24" s="26">
        <v>0</v>
      </c>
      <c r="G24" s="25">
        <v>0</v>
      </c>
      <c r="H24" s="27">
        <v>4034.69</v>
      </c>
    </row>
    <row r="25" spans="1:9">
      <c r="A25" s="28">
        <v>41113</v>
      </c>
      <c r="B25" s="25">
        <v>171</v>
      </c>
      <c r="C25" s="25">
        <v>13</v>
      </c>
      <c r="D25" s="25">
        <v>373</v>
      </c>
      <c r="E25" s="26">
        <v>0</v>
      </c>
      <c r="F25" s="26">
        <v>0</v>
      </c>
      <c r="G25" s="25">
        <v>0</v>
      </c>
      <c r="H25" s="27">
        <v>4034.68</v>
      </c>
      <c r="I25" t="s">
        <v>97</v>
      </c>
    </row>
    <row r="26" spans="1:9">
      <c r="A26" s="28">
        <v>41114</v>
      </c>
      <c r="B26" s="25">
        <v>188</v>
      </c>
      <c r="C26" s="25">
        <v>0</v>
      </c>
      <c r="D26" s="25">
        <v>393</v>
      </c>
      <c r="E26" s="26">
        <v>0</v>
      </c>
      <c r="F26" s="26">
        <v>0</v>
      </c>
      <c r="G26" s="25">
        <v>0</v>
      </c>
      <c r="H26" s="27">
        <v>4034.68</v>
      </c>
      <c r="I26" t="s">
        <v>98</v>
      </c>
    </row>
    <row r="27" spans="1:9">
      <c r="A27" s="28">
        <v>41115</v>
      </c>
      <c r="B27" s="25">
        <v>229</v>
      </c>
      <c r="C27" s="25">
        <v>0</v>
      </c>
      <c r="D27" s="25">
        <v>420</v>
      </c>
      <c r="E27" s="26">
        <v>0</v>
      </c>
      <c r="F27" s="26">
        <v>0</v>
      </c>
      <c r="G27" s="25">
        <v>0</v>
      </c>
      <c r="H27" s="27">
        <v>4034.68</v>
      </c>
      <c r="I27" t="s">
        <v>99</v>
      </c>
    </row>
    <row r="28" spans="1:9">
      <c r="A28" s="28">
        <v>41116</v>
      </c>
      <c r="B28" s="25">
        <v>277</v>
      </c>
      <c r="C28" s="25">
        <v>0</v>
      </c>
      <c r="D28" s="25">
        <v>428</v>
      </c>
      <c r="E28" s="26">
        <v>0</v>
      </c>
      <c r="F28" s="26">
        <v>0</v>
      </c>
      <c r="G28" s="25">
        <v>0</v>
      </c>
      <c r="H28" s="27">
        <v>4034.67</v>
      </c>
      <c r="I28" t="s">
        <v>100</v>
      </c>
    </row>
    <row r="29" spans="1:9">
      <c r="A29" s="28">
        <v>41117</v>
      </c>
      <c r="B29" s="25">
        <v>171</v>
      </c>
      <c r="C29" s="25">
        <v>43</v>
      </c>
      <c r="D29" s="25">
        <v>401</v>
      </c>
      <c r="E29" s="26">
        <v>0</v>
      </c>
      <c r="F29" s="26">
        <v>0</v>
      </c>
      <c r="G29" s="25">
        <v>0</v>
      </c>
      <c r="H29" s="27">
        <v>4034.67</v>
      </c>
      <c r="I29" t="s">
        <v>101</v>
      </c>
    </row>
    <row r="30" spans="1:9">
      <c r="A30" s="28">
        <v>41118</v>
      </c>
      <c r="B30" s="25">
        <v>117</v>
      </c>
      <c r="C30" s="25">
        <v>46</v>
      </c>
      <c r="D30" s="25">
        <v>382</v>
      </c>
      <c r="E30" s="26">
        <v>0</v>
      </c>
      <c r="F30" s="26">
        <v>0</v>
      </c>
      <c r="G30" s="25">
        <v>0</v>
      </c>
      <c r="H30" s="27">
        <v>4034.66</v>
      </c>
      <c r="I30" t="s">
        <v>102</v>
      </c>
    </row>
    <row r="31" spans="1:9">
      <c r="A31" s="28">
        <v>41119</v>
      </c>
      <c r="B31" s="25">
        <v>100</v>
      </c>
      <c r="C31" s="25">
        <v>0</v>
      </c>
      <c r="D31" s="25">
        <v>404</v>
      </c>
      <c r="E31" s="26">
        <v>0</v>
      </c>
      <c r="F31" s="26">
        <v>0</v>
      </c>
      <c r="G31" s="25">
        <v>0</v>
      </c>
      <c r="H31" s="27">
        <v>4034.66</v>
      </c>
    </row>
    <row r="32" spans="1:9">
      <c r="A32" s="28">
        <v>41120</v>
      </c>
      <c r="B32" s="25">
        <v>177</v>
      </c>
      <c r="C32" s="25">
        <v>0</v>
      </c>
      <c r="D32" s="25">
        <v>447</v>
      </c>
      <c r="E32" s="26">
        <v>0</v>
      </c>
      <c r="F32" s="26">
        <v>0</v>
      </c>
      <c r="G32" s="25">
        <v>0</v>
      </c>
      <c r="H32" s="27">
        <v>4034.66</v>
      </c>
      <c r="I32" t="s">
        <v>103</v>
      </c>
    </row>
    <row r="33" spans="1:14" ht="15.75" thickBot="1">
      <c r="A33" s="28">
        <v>41121</v>
      </c>
      <c r="B33" s="25">
        <v>288</v>
      </c>
      <c r="C33" s="25">
        <v>0</v>
      </c>
      <c r="D33" s="25">
        <v>453</v>
      </c>
      <c r="E33" s="26">
        <v>0</v>
      </c>
      <c r="F33" s="26">
        <v>0</v>
      </c>
      <c r="G33" s="25">
        <v>0</v>
      </c>
      <c r="H33" s="27">
        <v>4034.65</v>
      </c>
      <c r="I33" t="s">
        <v>104</v>
      </c>
    </row>
    <row r="34" spans="1:14" s="11" customFormat="1" ht="15.75" thickTop="1">
      <c r="A34" s="16" t="s">
        <v>8</v>
      </c>
      <c r="B34" s="17">
        <f t="shared" ref="B34:G34" si="0">SUM(B3:B33)</f>
        <v>7319</v>
      </c>
      <c r="C34" s="17">
        <f t="shared" si="0"/>
        <v>191</v>
      </c>
      <c r="D34" s="17">
        <f t="shared" si="0"/>
        <v>13082</v>
      </c>
      <c r="E34" s="18">
        <f t="shared" si="0"/>
        <v>0.16</v>
      </c>
      <c r="F34" s="18">
        <f t="shared" si="0"/>
        <v>0</v>
      </c>
      <c r="G34" s="17">
        <f t="shared" si="0"/>
        <v>0</v>
      </c>
      <c r="H34" s="18"/>
    </row>
    <row r="35" spans="1:14" s="11" customFormat="1">
      <c r="A35" s="19" t="s">
        <v>9</v>
      </c>
      <c r="B35" s="20">
        <f>SUM(B34+'Jun 2012'!B34)</f>
        <v>24346</v>
      </c>
      <c r="C35" s="20">
        <f>SUM(C34+'Jun 2012'!C34)</f>
        <v>5480</v>
      </c>
      <c r="D35" s="20">
        <f>SUM(D34+'Jun 2012'!D34)</f>
        <v>48096</v>
      </c>
      <c r="E35" s="21">
        <f>SUM(E34+'Jun 2012'!E34)</f>
        <v>6.95</v>
      </c>
      <c r="F35" s="21">
        <f>SUM(F34+'Jun 2012'!F34)</f>
        <v>20</v>
      </c>
      <c r="G35" s="20">
        <f>SUM(G34+'Jun 2012'!G34)</f>
        <v>14512</v>
      </c>
      <c r="H35" s="21"/>
    </row>
    <row r="37" spans="1:14">
      <c r="A37" t="s">
        <v>10</v>
      </c>
      <c r="B37" s="23">
        <f>SUM(B3:B33)*1.9835</f>
        <v>14517.236500000001</v>
      </c>
      <c r="C37" s="23">
        <f>SUM(C3:C33)*1.9835</f>
        <v>378.8485</v>
      </c>
      <c r="D37" s="23">
        <f>SUM(D3:D33)*1.9835</f>
        <v>25948.147000000001</v>
      </c>
      <c r="E37" s="23"/>
      <c r="F37" s="23"/>
      <c r="G37" s="23"/>
    </row>
    <row r="38" spans="1:14">
      <c r="B38" s="23"/>
      <c r="C38" s="23"/>
      <c r="D38" s="24"/>
      <c r="E38" s="23"/>
      <c r="F38" s="23"/>
      <c r="G38" s="23"/>
    </row>
    <row r="39" spans="1:14">
      <c r="A39" t="s">
        <v>24</v>
      </c>
      <c r="B39" s="23">
        <f>SUM(B37+'Jun 2012'!B38)</f>
        <v>48341.862000000001</v>
      </c>
      <c r="C39" s="23">
        <f>SUM(C37+'Jun 2012'!C38)</f>
        <v>9913.5330000000013</v>
      </c>
      <c r="D39" s="23">
        <f>SUM(D37+'Jun 2012'!D38)</f>
        <v>93474.421000000002</v>
      </c>
      <c r="E39" s="23"/>
      <c r="F39" s="23"/>
      <c r="G39" s="23"/>
    </row>
    <row r="41" spans="1:14" ht="17.45" customHeight="1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1"/>
      <c r="N41" s="30"/>
    </row>
    <row r="42" spans="1:14" ht="16.899999999999999" customHeight="1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1"/>
      <c r="N42" s="30"/>
    </row>
    <row r="43" spans="1:14" ht="13.9" customHeight="1" thickBot="1">
      <c r="A43" s="118" t="s">
        <v>23</v>
      </c>
      <c r="B43" s="118"/>
      <c r="C43" s="118"/>
      <c r="D43" s="118"/>
      <c r="E43" s="118"/>
      <c r="F43" s="118"/>
      <c r="G43" s="118"/>
      <c r="H43" s="118"/>
      <c r="I43" s="119"/>
      <c r="J43" s="32"/>
      <c r="K43" s="32"/>
      <c r="L43" s="32"/>
      <c r="M43" s="33"/>
      <c r="N43" s="34"/>
    </row>
    <row r="44" spans="1:14" ht="15.6" customHeight="1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thickBot="1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7"/>
  <sheetViews>
    <sheetView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/>
  <cols>
    <col min="1" max="1" width="13.5703125" bestFit="1" customWidth="1"/>
    <col min="2" max="8" width="11.7109375" customWidth="1"/>
    <col min="9" max="9" width="32.140625" bestFit="1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28">
        <v>41061</v>
      </c>
      <c r="B3" s="25">
        <v>300</v>
      </c>
      <c r="C3" s="25">
        <v>26</v>
      </c>
      <c r="D3" s="25">
        <v>534</v>
      </c>
      <c r="E3" s="26">
        <v>0</v>
      </c>
      <c r="F3" s="26">
        <v>0</v>
      </c>
      <c r="G3" s="25">
        <v>0</v>
      </c>
      <c r="H3" s="27">
        <v>4034.8</v>
      </c>
    </row>
    <row r="4" spans="1:9">
      <c r="A4" s="28">
        <v>41062</v>
      </c>
      <c r="B4" s="25">
        <v>279</v>
      </c>
      <c r="C4" s="25">
        <v>0</v>
      </c>
      <c r="D4" s="25">
        <v>513</v>
      </c>
      <c r="E4" s="26">
        <v>0</v>
      </c>
      <c r="F4" s="26">
        <v>0</v>
      </c>
      <c r="G4" s="25">
        <v>0</v>
      </c>
      <c r="H4" s="27">
        <v>4034.8</v>
      </c>
      <c r="I4" t="s">
        <v>69</v>
      </c>
    </row>
    <row r="5" spans="1:9">
      <c r="A5" s="28">
        <v>41063</v>
      </c>
      <c r="B5" s="25">
        <v>250</v>
      </c>
      <c r="C5" s="25">
        <v>0</v>
      </c>
      <c r="D5" s="25">
        <v>462</v>
      </c>
      <c r="E5" s="26">
        <v>0</v>
      </c>
      <c r="F5" s="26">
        <v>0</v>
      </c>
      <c r="G5" s="25">
        <v>0</v>
      </c>
      <c r="H5" s="27">
        <v>4034.78</v>
      </c>
    </row>
    <row r="6" spans="1:9">
      <c r="A6" s="28">
        <v>41064</v>
      </c>
      <c r="B6" s="25">
        <v>196</v>
      </c>
      <c r="C6" s="25">
        <v>80</v>
      </c>
      <c r="D6" s="25">
        <v>453</v>
      </c>
      <c r="E6" s="26">
        <v>0.19</v>
      </c>
      <c r="F6" s="26">
        <v>0</v>
      </c>
      <c r="G6" s="25">
        <v>0</v>
      </c>
      <c r="H6" s="27">
        <v>4034.78</v>
      </c>
      <c r="I6" t="s">
        <v>70</v>
      </c>
    </row>
    <row r="7" spans="1:9">
      <c r="A7" s="28">
        <v>41065</v>
      </c>
      <c r="B7" s="25">
        <v>131</v>
      </c>
      <c r="C7" s="25">
        <v>75</v>
      </c>
      <c r="D7" s="25">
        <v>386</v>
      </c>
      <c r="E7" s="26">
        <v>0.08</v>
      </c>
      <c r="F7" s="26">
        <v>0</v>
      </c>
      <c r="G7" s="25">
        <v>0</v>
      </c>
      <c r="H7" s="27">
        <v>4034.78</v>
      </c>
      <c r="I7" t="s">
        <v>71</v>
      </c>
    </row>
    <row r="8" spans="1:9">
      <c r="A8" s="28">
        <v>41066</v>
      </c>
      <c r="B8" s="25">
        <v>148</v>
      </c>
      <c r="C8" s="25">
        <v>0</v>
      </c>
      <c r="D8" s="25">
        <v>331</v>
      </c>
      <c r="E8" s="26">
        <v>0.01</v>
      </c>
      <c r="F8" s="26">
        <v>0</v>
      </c>
      <c r="G8" s="25">
        <v>0</v>
      </c>
      <c r="H8" s="27">
        <v>4034.78</v>
      </c>
      <c r="I8" t="s">
        <v>72</v>
      </c>
    </row>
    <row r="9" spans="1:9">
      <c r="A9" s="28">
        <v>41067</v>
      </c>
      <c r="B9" s="25">
        <v>127</v>
      </c>
      <c r="C9" s="25">
        <v>100</v>
      </c>
      <c r="D9" s="25">
        <v>328</v>
      </c>
      <c r="E9" s="26">
        <v>0.02</v>
      </c>
      <c r="F9" s="26">
        <v>0</v>
      </c>
      <c r="G9" s="25">
        <v>0</v>
      </c>
      <c r="H9" s="27">
        <v>4034.79</v>
      </c>
      <c r="I9" t="s">
        <v>68</v>
      </c>
    </row>
    <row r="10" spans="1:9">
      <c r="A10" s="28">
        <v>41068</v>
      </c>
      <c r="B10" s="25">
        <v>100</v>
      </c>
      <c r="C10" s="25">
        <v>30</v>
      </c>
      <c r="D10" s="25">
        <v>339</v>
      </c>
      <c r="E10" s="26">
        <v>0</v>
      </c>
      <c r="F10" s="26">
        <v>0</v>
      </c>
      <c r="G10" s="25">
        <v>0</v>
      </c>
      <c r="H10" s="27">
        <v>4034.8</v>
      </c>
    </row>
    <row r="11" spans="1:9">
      <c r="A11" s="28">
        <v>41069</v>
      </c>
      <c r="B11" s="25">
        <v>117</v>
      </c>
      <c r="C11" s="25">
        <v>0</v>
      </c>
      <c r="D11" s="25">
        <v>342</v>
      </c>
      <c r="E11" s="26">
        <v>0</v>
      </c>
      <c r="F11" s="26">
        <v>0</v>
      </c>
      <c r="G11" s="25">
        <v>0</v>
      </c>
      <c r="H11" s="27">
        <v>4034.8</v>
      </c>
      <c r="I11" t="s">
        <v>73</v>
      </c>
    </row>
    <row r="12" spans="1:9">
      <c r="A12" s="28">
        <v>41070</v>
      </c>
      <c r="B12" s="25">
        <v>133</v>
      </c>
      <c r="C12" s="25">
        <v>0</v>
      </c>
      <c r="D12" s="25">
        <v>320</v>
      </c>
      <c r="E12" s="26">
        <v>0</v>
      </c>
      <c r="F12" s="26">
        <v>0</v>
      </c>
      <c r="G12" s="25">
        <v>0</v>
      </c>
      <c r="H12" s="27">
        <v>4034.8</v>
      </c>
      <c r="I12" t="s">
        <v>74</v>
      </c>
    </row>
    <row r="13" spans="1:9">
      <c r="A13" s="28">
        <v>41071</v>
      </c>
      <c r="B13" s="25">
        <v>150</v>
      </c>
      <c r="C13" s="25">
        <v>0</v>
      </c>
      <c r="D13" s="25">
        <v>382</v>
      </c>
      <c r="E13" s="26">
        <v>0</v>
      </c>
      <c r="F13" s="26">
        <v>0</v>
      </c>
      <c r="G13" s="25">
        <v>0</v>
      </c>
      <c r="H13" s="27">
        <v>4034.8</v>
      </c>
    </row>
    <row r="14" spans="1:9">
      <c r="A14" s="28">
        <v>41072</v>
      </c>
      <c r="B14" s="25">
        <v>217</v>
      </c>
      <c r="C14" s="25">
        <v>0</v>
      </c>
      <c r="D14" s="25">
        <v>402</v>
      </c>
      <c r="E14" s="26">
        <v>0</v>
      </c>
      <c r="F14" s="26">
        <v>0</v>
      </c>
      <c r="G14" s="25">
        <v>0</v>
      </c>
      <c r="H14" s="27">
        <v>4034.8</v>
      </c>
      <c r="I14" t="s">
        <v>75</v>
      </c>
    </row>
    <row r="15" spans="1:9">
      <c r="A15" s="28">
        <v>41073</v>
      </c>
      <c r="B15" s="25">
        <v>265</v>
      </c>
      <c r="C15" s="25">
        <v>0</v>
      </c>
      <c r="D15" s="25">
        <v>416</v>
      </c>
      <c r="E15" s="26">
        <v>0</v>
      </c>
      <c r="F15" s="26">
        <v>0</v>
      </c>
      <c r="G15" s="25">
        <v>0</v>
      </c>
      <c r="H15" s="27">
        <v>4034.8</v>
      </c>
      <c r="I15" t="s">
        <v>76</v>
      </c>
    </row>
    <row r="16" spans="1:9">
      <c r="A16" s="28">
        <v>41074</v>
      </c>
      <c r="B16" s="25">
        <v>250</v>
      </c>
      <c r="C16" s="25">
        <v>0</v>
      </c>
      <c r="D16" s="25">
        <v>423</v>
      </c>
      <c r="E16" s="26">
        <v>0</v>
      </c>
      <c r="F16" s="26">
        <v>0</v>
      </c>
      <c r="G16" s="25">
        <v>0</v>
      </c>
      <c r="H16" s="27">
        <v>4034.8</v>
      </c>
    </row>
    <row r="17" spans="1:9">
      <c r="A17" s="28">
        <v>41075</v>
      </c>
      <c r="B17" s="25">
        <v>288</v>
      </c>
      <c r="C17" s="25">
        <v>0</v>
      </c>
      <c r="D17" s="25">
        <v>476</v>
      </c>
      <c r="E17" s="26">
        <v>0</v>
      </c>
      <c r="F17" s="26">
        <v>0</v>
      </c>
      <c r="G17" s="25">
        <v>0</v>
      </c>
      <c r="H17" s="27">
        <v>4034.8</v>
      </c>
      <c r="I17" t="s">
        <v>77</v>
      </c>
    </row>
    <row r="18" spans="1:9">
      <c r="A18" s="28">
        <v>41076</v>
      </c>
      <c r="B18" s="25">
        <v>298</v>
      </c>
      <c r="C18" s="25">
        <v>34</v>
      </c>
      <c r="D18" s="25">
        <v>505</v>
      </c>
      <c r="E18" s="26">
        <v>0</v>
      </c>
      <c r="F18" s="26">
        <v>0</v>
      </c>
      <c r="G18" s="25">
        <v>0</v>
      </c>
      <c r="H18" s="27">
        <v>4034.8</v>
      </c>
      <c r="I18" t="s">
        <v>78</v>
      </c>
    </row>
    <row r="19" spans="1:9">
      <c r="A19" s="28">
        <v>41077</v>
      </c>
      <c r="B19" s="25">
        <v>250</v>
      </c>
      <c r="C19" s="25">
        <v>44</v>
      </c>
      <c r="D19" s="25">
        <v>449</v>
      </c>
      <c r="E19" s="26">
        <v>0</v>
      </c>
      <c r="F19" s="26">
        <v>0</v>
      </c>
      <c r="G19" s="25">
        <v>0</v>
      </c>
      <c r="H19" s="27">
        <v>4034.8</v>
      </c>
    </row>
    <row r="20" spans="1:9">
      <c r="A20" s="28">
        <v>41078</v>
      </c>
      <c r="B20" s="25">
        <v>250</v>
      </c>
      <c r="C20" s="25">
        <v>33</v>
      </c>
      <c r="D20" s="25">
        <v>484</v>
      </c>
      <c r="E20" s="26">
        <v>0</v>
      </c>
      <c r="F20" s="26">
        <v>0</v>
      </c>
      <c r="G20" s="25">
        <v>0</v>
      </c>
      <c r="H20" s="27">
        <v>4034.76</v>
      </c>
    </row>
    <row r="21" spans="1:9">
      <c r="A21" s="28">
        <v>41079</v>
      </c>
      <c r="B21" s="25">
        <v>319</v>
      </c>
      <c r="C21" s="25">
        <v>0</v>
      </c>
      <c r="D21" s="25">
        <v>525</v>
      </c>
      <c r="E21" s="26">
        <v>0</v>
      </c>
      <c r="F21" s="26">
        <v>0</v>
      </c>
      <c r="G21" s="25">
        <v>0</v>
      </c>
      <c r="H21" s="27">
        <v>4034.76</v>
      </c>
      <c r="I21" t="s">
        <v>79</v>
      </c>
    </row>
    <row r="22" spans="1:9">
      <c r="A22" s="28">
        <v>41080</v>
      </c>
      <c r="B22" s="25">
        <v>350</v>
      </c>
      <c r="C22" s="25">
        <v>0</v>
      </c>
      <c r="D22" s="25">
        <v>545</v>
      </c>
      <c r="E22" s="26">
        <v>0</v>
      </c>
      <c r="F22" s="26">
        <v>0</v>
      </c>
      <c r="G22" s="25">
        <v>0</v>
      </c>
      <c r="H22" s="27">
        <v>4034.76</v>
      </c>
    </row>
    <row r="23" spans="1:9">
      <c r="A23" s="28">
        <v>41081</v>
      </c>
      <c r="B23" s="25">
        <v>315</v>
      </c>
      <c r="C23" s="25">
        <v>65</v>
      </c>
      <c r="D23" s="25">
        <v>580</v>
      </c>
      <c r="E23" s="26">
        <v>0</v>
      </c>
      <c r="F23" s="26">
        <v>0</v>
      </c>
      <c r="G23" s="25">
        <v>0</v>
      </c>
      <c r="H23" s="27">
        <v>4034.76</v>
      </c>
      <c r="I23" t="s">
        <v>80</v>
      </c>
    </row>
    <row r="24" spans="1:9">
      <c r="A24" s="28">
        <v>41082</v>
      </c>
      <c r="B24" s="25">
        <v>300</v>
      </c>
      <c r="C24" s="25">
        <v>0</v>
      </c>
      <c r="D24" s="25">
        <v>540</v>
      </c>
      <c r="E24" s="26">
        <v>0</v>
      </c>
      <c r="F24" s="26">
        <v>0</v>
      </c>
      <c r="G24" s="25">
        <v>0</v>
      </c>
      <c r="H24" s="27">
        <v>4034.76</v>
      </c>
    </row>
    <row r="25" spans="1:9">
      <c r="A25" s="28">
        <v>41083</v>
      </c>
      <c r="B25" s="25">
        <v>269</v>
      </c>
      <c r="C25" s="25">
        <v>14</v>
      </c>
      <c r="D25" s="25">
        <v>539</v>
      </c>
      <c r="E25" s="26">
        <v>0.08</v>
      </c>
      <c r="F25" s="26">
        <v>0</v>
      </c>
      <c r="G25" s="25">
        <v>0</v>
      </c>
      <c r="H25" s="27">
        <v>4034.75</v>
      </c>
      <c r="I25" t="s">
        <v>81</v>
      </c>
    </row>
    <row r="26" spans="1:9">
      <c r="A26" s="28">
        <v>41084</v>
      </c>
      <c r="B26" s="25">
        <v>271</v>
      </c>
      <c r="C26" s="25">
        <v>0</v>
      </c>
      <c r="D26" s="25">
        <v>508</v>
      </c>
      <c r="E26" s="26">
        <v>0</v>
      </c>
      <c r="F26" s="26">
        <v>0</v>
      </c>
      <c r="G26" s="25">
        <v>0</v>
      </c>
      <c r="H26" s="27">
        <v>4034.74</v>
      </c>
      <c r="I26" t="s">
        <v>82</v>
      </c>
    </row>
    <row r="27" spans="1:9">
      <c r="A27" s="28">
        <v>41085</v>
      </c>
      <c r="B27" s="25">
        <v>306</v>
      </c>
      <c r="C27" s="25">
        <v>0</v>
      </c>
      <c r="D27" s="25">
        <v>516</v>
      </c>
      <c r="E27" s="26">
        <v>0</v>
      </c>
      <c r="F27" s="26">
        <v>0</v>
      </c>
      <c r="G27" s="25">
        <v>0</v>
      </c>
      <c r="H27" s="27">
        <v>4034.73</v>
      </c>
      <c r="I27" t="s">
        <v>83</v>
      </c>
    </row>
    <row r="28" spans="1:9">
      <c r="A28" s="28">
        <v>41086</v>
      </c>
      <c r="B28" s="25">
        <v>331</v>
      </c>
      <c r="C28" s="25">
        <v>0</v>
      </c>
      <c r="D28" s="25">
        <v>534</v>
      </c>
      <c r="E28" s="26">
        <v>0.15</v>
      </c>
      <c r="F28" s="26">
        <v>0</v>
      </c>
      <c r="G28" s="25">
        <v>0</v>
      </c>
      <c r="H28" s="27">
        <v>4034.72</v>
      </c>
      <c r="I28" t="s">
        <v>84</v>
      </c>
    </row>
    <row r="29" spans="1:9">
      <c r="A29" s="28">
        <v>41087</v>
      </c>
      <c r="B29" s="25">
        <v>321</v>
      </c>
      <c r="C29" s="25">
        <v>0</v>
      </c>
      <c r="D29" s="25">
        <v>523</v>
      </c>
      <c r="E29" s="26">
        <v>0</v>
      </c>
      <c r="F29" s="26">
        <v>0</v>
      </c>
      <c r="G29" s="25">
        <v>0</v>
      </c>
      <c r="H29" s="27">
        <v>4034.71</v>
      </c>
      <c r="I29" t="s">
        <v>85</v>
      </c>
    </row>
    <row r="30" spans="1:9">
      <c r="A30" s="28">
        <v>41088</v>
      </c>
      <c r="B30" s="25">
        <v>300</v>
      </c>
      <c r="C30" s="25">
        <v>0</v>
      </c>
      <c r="D30" s="25">
        <v>496</v>
      </c>
      <c r="E30" s="26">
        <v>0</v>
      </c>
      <c r="F30" s="26">
        <v>0</v>
      </c>
      <c r="G30" s="25">
        <v>0</v>
      </c>
      <c r="H30" s="27">
        <v>4034.7</v>
      </c>
    </row>
    <row r="31" spans="1:9">
      <c r="A31" s="28">
        <v>41089</v>
      </c>
      <c r="B31" s="25">
        <v>300</v>
      </c>
      <c r="C31" s="25">
        <v>0</v>
      </c>
      <c r="D31" s="25">
        <v>491</v>
      </c>
      <c r="E31" s="26">
        <v>0</v>
      </c>
      <c r="F31" s="26">
        <v>0</v>
      </c>
      <c r="G31" s="25">
        <v>0</v>
      </c>
      <c r="H31" s="27">
        <v>4034.7</v>
      </c>
    </row>
    <row r="32" spans="1:9" ht="15.75" thickBot="1">
      <c r="A32" s="28">
        <v>41090</v>
      </c>
      <c r="B32" s="25">
        <v>281</v>
      </c>
      <c r="C32" s="25">
        <v>0</v>
      </c>
      <c r="D32" s="25">
        <v>469</v>
      </c>
      <c r="E32" s="26">
        <v>0</v>
      </c>
      <c r="F32" s="26">
        <v>0</v>
      </c>
      <c r="G32" s="25">
        <v>0</v>
      </c>
      <c r="H32" s="27">
        <v>4034.7</v>
      </c>
      <c r="I32" t="s">
        <v>86</v>
      </c>
    </row>
    <row r="33" spans="1:14" s="11" customFormat="1" ht="15.75" thickTop="1">
      <c r="A33" s="16" t="s">
        <v>8</v>
      </c>
      <c r="B33" s="17">
        <f>SUM(B3:B32)</f>
        <v>7412</v>
      </c>
      <c r="C33" s="17">
        <f>SUM(C1:C32)</f>
        <v>501</v>
      </c>
      <c r="D33" s="17">
        <f>SUM(D1:D32)</f>
        <v>13811</v>
      </c>
      <c r="E33" s="18">
        <f>SUM(E1:E32)</f>
        <v>0.53</v>
      </c>
      <c r="F33" s="18">
        <f>SUM(F1:F32)</f>
        <v>0</v>
      </c>
      <c r="G33" s="17">
        <f>SUM(G1:G32)</f>
        <v>0</v>
      </c>
      <c r="H33" s="18"/>
    </row>
    <row r="34" spans="1:14" s="11" customFormat="1">
      <c r="A34" s="19" t="s">
        <v>9</v>
      </c>
      <c r="B34" s="20">
        <f>SUM(B33+'May 2012'!B35)</f>
        <v>17027</v>
      </c>
      <c r="C34" s="20">
        <f>SUM(C33+'May 2012'!C35)</f>
        <v>5289</v>
      </c>
      <c r="D34" s="20">
        <f>SUM(D33+'May 2012'!D35)</f>
        <v>35014</v>
      </c>
      <c r="E34" s="21">
        <f>SUM(E33+'May 2012'!E35)</f>
        <v>6.79</v>
      </c>
      <c r="F34" s="21">
        <f>SUM(F33+'May 2012'!F35)</f>
        <v>20</v>
      </c>
      <c r="G34" s="20">
        <f>SUM(G33+'May 2012'!G35)</f>
        <v>14512</v>
      </c>
      <c r="H34" s="21"/>
    </row>
    <row r="36" spans="1:14">
      <c r="A36" t="s">
        <v>10</v>
      </c>
      <c r="B36" s="23">
        <f>SUM(B3:B32)*1.9835</f>
        <v>14701.702000000001</v>
      </c>
      <c r="C36" s="23">
        <f>SUM(C3:C32)*1.9835</f>
        <v>993.73350000000005</v>
      </c>
      <c r="D36" s="23">
        <f>SUM(D3:D32)*1.9835</f>
        <v>27394.1185</v>
      </c>
      <c r="E36" s="23"/>
      <c r="F36" s="23"/>
      <c r="G36" s="23"/>
      <c r="I36" s="22"/>
    </row>
    <row r="38" spans="1:14">
      <c r="A38" t="s">
        <v>24</v>
      </c>
      <c r="B38" s="23">
        <f>SUM(B36+'May 2012'!B39)</f>
        <v>33824.625500000002</v>
      </c>
      <c r="C38" s="23">
        <f>SUM(C36+'May 2012'!C39)</f>
        <v>9534.6845000000012</v>
      </c>
      <c r="D38" s="23">
        <f>SUM(D36+'May 2012'!D39)</f>
        <v>67526.274000000005</v>
      </c>
      <c r="E38" s="23"/>
      <c r="F38" s="23"/>
      <c r="G38" s="23"/>
      <c r="I38" s="22"/>
    </row>
    <row r="40" spans="1:14" ht="17.45" customHeight="1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1"/>
      <c r="N40" s="30"/>
    </row>
    <row r="41" spans="1:14" ht="16.899999999999999" customHeight="1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1"/>
      <c r="N41" s="30"/>
    </row>
    <row r="42" spans="1:14" ht="13.9" customHeight="1" thickBot="1">
      <c r="A42" s="118" t="s">
        <v>23</v>
      </c>
      <c r="B42" s="118"/>
      <c r="C42" s="118"/>
      <c r="D42" s="118"/>
      <c r="E42" s="118"/>
      <c r="F42" s="118"/>
      <c r="G42" s="118"/>
      <c r="H42" s="118"/>
      <c r="I42" s="119"/>
      <c r="J42" s="32"/>
      <c r="K42" s="32"/>
      <c r="L42" s="32"/>
      <c r="M42" s="33"/>
      <c r="N42" s="34"/>
    </row>
    <row r="43" spans="1:14" ht="15.6" customHeight="1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8"/>
  <sheetViews>
    <sheetView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H34" sqref="H34"/>
    </sheetView>
  </sheetViews>
  <sheetFormatPr defaultRowHeight="1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12">
        <v>41030</v>
      </c>
      <c r="B3" s="25">
        <v>15</v>
      </c>
      <c r="C3" s="25">
        <v>0</v>
      </c>
      <c r="D3" s="25">
        <v>133</v>
      </c>
      <c r="E3" s="26">
        <v>0</v>
      </c>
      <c r="F3" s="26">
        <v>0</v>
      </c>
      <c r="G3" s="25">
        <v>0</v>
      </c>
      <c r="H3" s="27">
        <v>4034.91</v>
      </c>
    </row>
    <row r="4" spans="1:9">
      <c r="A4" s="12">
        <v>41031</v>
      </c>
      <c r="B4" s="25">
        <v>59</v>
      </c>
      <c r="C4" s="25">
        <v>0</v>
      </c>
      <c r="D4" s="25">
        <v>157</v>
      </c>
      <c r="E4" s="26">
        <v>0</v>
      </c>
      <c r="F4" s="26">
        <v>0</v>
      </c>
      <c r="G4" s="92">
        <v>0</v>
      </c>
      <c r="H4" s="27">
        <v>4034.9</v>
      </c>
      <c r="I4" t="s">
        <v>48</v>
      </c>
    </row>
    <row r="5" spans="1:9">
      <c r="A5" s="12">
        <v>41032</v>
      </c>
      <c r="B5" s="25">
        <v>100</v>
      </c>
      <c r="C5" s="25">
        <v>0</v>
      </c>
      <c r="D5" s="25">
        <v>211</v>
      </c>
      <c r="E5" s="26">
        <v>0.01</v>
      </c>
      <c r="F5" s="26">
        <v>0</v>
      </c>
      <c r="G5" s="92">
        <v>0</v>
      </c>
      <c r="H5" s="27">
        <v>4034.9</v>
      </c>
      <c r="I5" s="93"/>
    </row>
    <row r="6" spans="1:9">
      <c r="A6" s="12">
        <v>41033</v>
      </c>
      <c r="B6" s="25">
        <v>100</v>
      </c>
      <c r="C6" s="25">
        <v>30</v>
      </c>
      <c r="D6" s="25">
        <v>215</v>
      </c>
      <c r="E6" s="26">
        <v>0.03</v>
      </c>
      <c r="F6" s="26">
        <v>0</v>
      </c>
      <c r="G6" s="25">
        <v>100</v>
      </c>
      <c r="H6" s="27">
        <v>4034.89</v>
      </c>
      <c r="I6" t="s">
        <v>49</v>
      </c>
    </row>
    <row r="7" spans="1:9">
      <c r="A7" s="12">
        <v>41034</v>
      </c>
      <c r="B7" s="25">
        <v>100</v>
      </c>
      <c r="C7" s="25">
        <v>51</v>
      </c>
      <c r="D7" s="25">
        <v>229</v>
      </c>
      <c r="E7" s="26">
        <v>0.01</v>
      </c>
      <c r="F7" s="26">
        <v>0</v>
      </c>
      <c r="G7" s="92">
        <v>160</v>
      </c>
      <c r="H7" s="27">
        <v>4034.88</v>
      </c>
    </row>
    <row r="8" spans="1:9">
      <c r="A8" s="12">
        <v>41035</v>
      </c>
      <c r="B8" s="25">
        <v>100</v>
      </c>
      <c r="C8" s="25">
        <v>66</v>
      </c>
      <c r="D8" s="25">
        <v>255</v>
      </c>
      <c r="E8" s="26">
        <v>0</v>
      </c>
      <c r="F8" s="26">
        <v>0</v>
      </c>
      <c r="G8" s="25">
        <v>160</v>
      </c>
      <c r="H8" s="27">
        <v>4034.88</v>
      </c>
    </row>
    <row r="9" spans="1:9">
      <c r="A9" s="12">
        <v>41036</v>
      </c>
      <c r="B9" s="25">
        <v>160</v>
      </c>
      <c r="C9" s="25">
        <v>20</v>
      </c>
      <c r="D9" s="25">
        <v>292</v>
      </c>
      <c r="E9" s="26">
        <v>0</v>
      </c>
      <c r="F9" s="26">
        <v>0</v>
      </c>
      <c r="G9" s="25">
        <v>249</v>
      </c>
      <c r="H9" s="27">
        <v>4034.87</v>
      </c>
      <c r="I9" s="93" t="s">
        <v>50</v>
      </c>
    </row>
    <row r="10" spans="1:9">
      <c r="A10" s="12">
        <v>41037</v>
      </c>
      <c r="B10" s="25">
        <v>217</v>
      </c>
      <c r="C10" s="25">
        <v>150</v>
      </c>
      <c r="D10" s="25">
        <v>340</v>
      </c>
      <c r="E10" s="26">
        <v>0</v>
      </c>
      <c r="F10" s="26">
        <v>0</v>
      </c>
      <c r="G10" s="25">
        <v>319</v>
      </c>
      <c r="H10" s="27">
        <v>4034.85</v>
      </c>
      <c r="I10" t="s">
        <v>51</v>
      </c>
    </row>
    <row r="11" spans="1:9">
      <c r="A11" s="12">
        <v>41038</v>
      </c>
      <c r="B11" s="25">
        <v>242</v>
      </c>
      <c r="C11" s="92">
        <v>75</v>
      </c>
      <c r="D11" s="92">
        <v>390</v>
      </c>
      <c r="E11" s="26">
        <v>0</v>
      </c>
      <c r="F11" s="26">
        <v>0</v>
      </c>
      <c r="G11" s="92">
        <v>319</v>
      </c>
      <c r="H11" s="94">
        <v>4034.83</v>
      </c>
      <c r="I11" t="s">
        <v>52</v>
      </c>
    </row>
    <row r="12" spans="1:9">
      <c r="A12" s="12">
        <v>41039</v>
      </c>
      <c r="B12" s="25">
        <v>342</v>
      </c>
      <c r="C12" s="25">
        <v>70</v>
      </c>
      <c r="D12" s="25">
        <v>427</v>
      </c>
      <c r="E12" s="26">
        <v>0</v>
      </c>
      <c r="F12" s="26">
        <v>0</v>
      </c>
      <c r="G12" s="25">
        <v>319</v>
      </c>
      <c r="H12" s="27">
        <v>4034.81</v>
      </c>
      <c r="I12" t="s">
        <v>53</v>
      </c>
    </row>
    <row r="13" spans="1:9">
      <c r="A13" s="12">
        <v>41040</v>
      </c>
      <c r="B13" s="25">
        <v>366</v>
      </c>
      <c r="C13" s="25">
        <v>100</v>
      </c>
      <c r="D13" s="25">
        <v>470</v>
      </c>
      <c r="E13" s="26">
        <v>0</v>
      </c>
      <c r="F13" s="26">
        <v>0</v>
      </c>
      <c r="G13" s="25">
        <v>319</v>
      </c>
      <c r="H13" s="27">
        <v>4034.8</v>
      </c>
      <c r="I13" t="s">
        <v>54</v>
      </c>
    </row>
    <row r="14" spans="1:9">
      <c r="A14" s="12">
        <v>41041</v>
      </c>
      <c r="B14" s="25">
        <v>350</v>
      </c>
      <c r="C14" s="25">
        <v>130</v>
      </c>
      <c r="D14" s="25">
        <v>478</v>
      </c>
      <c r="E14" s="26">
        <v>0</v>
      </c>
      <c r="F14" s="26">
        <v>0</v>
      </c>
      <c r="G14" s="25">
        <v>319</v>
      </c>
      <c r="H14" s="27">
        <v>4034.79</v>
      </c>
    </row>
    <row r="15" spans="1:9">
      <c r="A15" s="12">
        <v>41042</v>
      </c>
      <c r="B15" s="25">
        <v>350</v>
      </c>
      <c r="C15" s="25">
        <v>110</v>
      </c>
      <c r="D15" s="25">
        <v>468</v>
      </c>
      <c r="E15" s="26">
        <v>0</v>
      </c>
      <c r="F15" s="26">
        <v>0</v>
      </c>
      <c r="G15" s="25">
        <v>319</v>
      </c>
      <c r="H15" s="27">
        <v>4034.78</v>
      </c>
    </row>
    <row r="16" spans="1:9">
      <c r="A16" s="12">
        <v>41043</v>
      </c>
      <c r="B16" s="25">
        <v>323</v>
      </c>
      <c r="C16" s="25">
        <v>77</v>
      </c>
      <c r="D16" s="25">
        <v>489</v>
      </c>
      <c r="E16" s="26">
        <v>0</v>
      </c>
      <c r="F16" s="26">
        <v>0</v>
      </c>
      <c r="G16" s="25">
        <v>319</v>
      </c>
      <c r="H16" s="27">
        <v>4034.78</v>
      </c>
      <c r="I16" t="s">
        <v>55</v>
      </c>
    </row>
    <row r="17" spans="1:9">
      <c r="A17" s="12">
        <v>41044</v>
      </c>
      <c r="B17" s="25">
        <v>300</v>
      </c>
      <c r="C17" s="25">
        <v>23</v>
      </c>
      <c r="D17" s="25">
        <v>514</v>
      </c>
      <c r="E17" s="26">
        <v>0</v>
      </c>
      <c r="F17" s="26">
        <v>0</v>
      </c>
      <c r="G17" s="113">
        <v>112</v>
      </c>
      <c r="H17" s="27">
        <v>4034.76</v>
      </c>
      <c r="I17" s="112" t="s">
        <v>56</v>
      </c>
    </row>
    <row r="18" spans="1:9">
      <c r="A18" s="12">
        <v>41045</v>
      </c>
      <c r="B18" s="25">
        <v>300</v>
      </c>
      <c r="C18" s="25">
        <v>0</v>
      </c>
      <c r="D18" s="25">
        <v>543</v>
      </c>
      <c r="E18" s="26">
        <v>0</v>
      </c>
      <c r="F18" s="26">
        <v>0</v>
      </c>
      <c r="G18" s="25">
        <v>0</v>
      </c>
      <c r="H18" s="27">
        <v>4034.74</v>
      </c>
    </row>
    <row r="19" spans="1:9">
      <c r="A19" s="12">
        <v>41046</v>
      </c>
      <c r="B19" s="25">
        <v>325</v>
      </c>
      <c r="C19" s="25">
        <v>0</v>
      </c>
      <c r="D19" s="25">
        <v>548</v>
      </c>
      <c r="E19" s="26">
        <v>0.04</v>
      </c>
      <c r="F19" s="26">
        <v>0</v>
      </c>
      <c r="G19" s="25">
        <v>0</v>
      </c>
      <c r="H19" s="27">
        <v>4034.73</v>
      </c>
      <c r="I19" t="s">
        <v>57</v>
      </c>
    </row>
    <row r="20" spans="1:9">
      <c r="A20" s="12">
        <v>41047</v>
      </c>
      <c r="B20" s="25">
        <v>317</v>
      </c>
      <c r="C20" s="25">
        <v>12</v>
      </c>
      <c r="D20" s="25">
        <v>552</v>
      </c>
      <c r="E20" s="26">
        <v>0</v>
      </c>
      <c r="F20" s="26">
        <v>0</v>
      </c>
      <c r="G20" s="25">
        <v>0</v>
      </c>
      <c r="H20" s="27">
        <v>4034.72</v>
      </c>
      <c r="I20" t="s">
        <v>58</v>
      </c>
    </row>
    <row r="21" spans="1:9">
      <c r="A21" s="12">
        <v>41048</v>
      </c>
      <c r="B21" s="25">
        <v>260</v>
      </c>
      <c r="C21" s="25">
        <v>38</v>
      </c>
      <c r="D21" s="25">
        <v>539</v>
      </c>
      <c r="E21" s="26">
        <v>0</v>
      </c>
      <c r="F21" s="26">
        <v>0</v>
      </c>
      <c r="G21" s="25">
        <v>0</v>
      </c>
      <c r="H21" s="27">
        <v>4034.72</v>
      </c>
      <c r="I21" t="s">
        <v>59</v>
      </c>
    </row>
    <row r="22" spans="1:9">
      <c r="A22" s="12">
        <v>41049</v>
      </c>
      <c r="B22" s="25">
        <v>214</v>
      </c>
      <c r="C22" s="25">
        <v>0</v>
      </c>
      <c r="D22" s="25">
        <v>471</v>
      </c>
      <c r="E22" s="26">
        <v>0</v>
      </c>
      <c r="F22" s="26">
        <v>0</v>
      </c>
      <c r="G22" s="25">
        <v>0</v>
      </c>
      <c r="H22" s="27">
        <v>4034.72</v>
      </c>
      <c r="I22" t="s">
        <v>60</v>
      </c>
    </row>
    <row r="23" spans="1:9">
      <c r="A23" s="12">
        <v>41050</v>
      </c>
      <c r="B23" s="25">
        <v>235</v>
      </c>
      <c r="C23" s="25">
        <v>0</v>
      </c>
      <c r="D23" s="25">
        <v>444</v>
      </c>
      <c r="E23" s="26">
        <v>0</v>
      </c>
      <c r="F23" s="26">
        <v>0</v>
      </c>
      <c r="G23" s="25">
        <v>0</v>
      </c>
      <c r="H23" s="27">
        <v>4034.72</v>
      </c>
      <c r="I23" t="s">
        <v>61</v>
      </c>
    </row>
    <row r="24" spans="1:9">
      <c r="A24" s="12">
        <v>41051</v>
      </c>
      <c r="B24" s="25">
        <v>250</v>
      </c>
      <c r="C24" s="25">
        <v>0</v>
      </c>
      <c r="D24" s="25">
        <v>481</v>
      </c>
      <c r="E24" s="26">
        <v>0</v>
      </c>
      <c r="F24" s="26">
        <v>0</v>
      </c>
      <c r="G24" s="25">
        <v>0</v>
      </c>
      <c r="H24" s="27">
        <v>4034.72</v>
      </c>
    </row>
    <row r="25" spans="1:9">
      <c r="A25" s="12">
        <v>41052</v>
      </c>
      <c r="B25" s="25">
        <v>227</v>
      </c>
      <c r="C25" s="25">
        <v>0</v>
      </c>
      <c r="D25" s="25">
        <v>436</v>
      </c>
      <c r="E25" s="26">
        <v>0</v>
      </c>
      <c r="F25" s="26">
        <v>0</v>
      </c>
      <c r="G25" s="25">
        <v>0</v>
      </c>
      <c r="H25" s="27">
        <v>4034.73</v>
      </c>
      <c r="I25" t="s">
        <v>62</v>
      </c>
    </row>
    <row r="26" spans="1:9">
      <c r="A26" s="12">
        <v>41053</v>
      </c>
      <c r="B26" s="25">
        <v>200</v>
      </c>
      <c r="C26" s="25">
        <v>0</v>
      </c>
      <c r="D26" s="25">
        <v>425</v>
      </c>
      <c r="E26" s="26" t="s">
        <v>36</v>
      </c>
      <c r="F26" s="26">
        <v>0</v>
      </c>
      <c r="G26" s="25">
        <v>0</v>
      </c>
      <c r="H26" s="27">
        <v>4034.74</v>
      </c>
    </row>
    <row r="27" spans="1:9">
      <c r="A27" s="12">
        <v>41054</v>
      </c>
      <c r="B27" s="25">
        <v>156</v>
      </c>
      <c r="C27" s="25">
        <v>40</v>
      </c>
      <c r="D27" s="25">
        <v>396</v>
      </c>
      <c r="E27" s="26">
        <v>0.25</v>
      </c>
      <c r="F27" s="26">
        <v>1</v>
      </c>
      <c r="G27" s="25">
        <v>0</v>
      </c>
      <c r="H27" s="27">
        <v>4034.75</v>
      </c>
      <c r="I27" t="s">
        <v>63</v>
      </c>
    </row>
    <row r="28" spans="1:9">
      <c r="A28" s="12">
        <v>41055</v>
      </c>
      <c r="B28" s="25">
        <v>100</v>
      </c>
      <c r="C28" s="25">
        <v>65</v>
      </c>
      <c r="D28" s="25">
        <v>346</v>
      </c>
      <c r="E28" s="26">
        <v>7.0000000000000007E-2</v>
      </c>
      <c r="F28" s="26">
        <v>0</v>
      </c>
      <c r="G28" s="25">
        <v>0</v>
      </c>
      <c r="H28" s="27">
        <v>4034.77</v>
      </c>
    </row>
    <row r="29" spans="1:9">
      <c r="A29" s="12">
        <v>41056</v>
      </c>
      <c r="B29" s="25">
        <v>100</v>
      </c>
      <c r="C29" s="25">
        <v>35</v>
      </c>
      <c r="D29" s="25">
        <v>320</v>
      </c>
      <c r="E29" s="26">
        <v>0.01</v>
      </c>
      <c r="F29" s="26">
        <v>0</v>
      </c>
      <c r="G29" s="25">
        <v>0</v>
      </c>
      <c r="H29" s="27">
        <v>4034.79</v>
      </c>
    </row>
    <row r="30" spans="1:9">
      <c r="A30" s="12">
        <v>41057</v>
      </c>
      <c r="B30" s="25">
        <v>123</v>
      </c>
      <c r="C30" s="25">
        <v>25</v>
      </c>
      <c r="D30" s="25">
        <v>344</v>
      </c>
      <c r="E30" s="26">
        <v>0</v>
      </c>
      <c r="F30" s="26">
        <v>0</v>
      </c>
      <c r="G30" s="25">
        <v>0</v>
      </c>
      <c r="H30" s="27">
        <v>4034.8</v>
      </c>
      <c r="I30" t="s">
        <v>64</v>
      </c>
    </row>
    <row r="31" spans="1:9">
      <c r="A31" s="12">
        <v>41058</v>
      </c>
      <c r="B31" s="25">
        <v>225</v>
      </c>
      <c r="C31" s="25">
        <v>0</v>
      </c>
      <c r="D31" s="25">
        <v>392</v>
      </c>
      <c r="E31" s="26">
        <v>0</v>
      </c>
      <c r="F31" s="26">
        <v>0</v>
      </c>
      <c r="G31" s="25">
        <v>0</v>
      </c>
      <c r="H31" s="27">
        <v>4034.82</v>
      </c>
      <c r="I31" t="s">
        <v>65</v>
      </c>
    </row>
    <row r="32" spans="1:9">
      <c r="A32" s="12">
        <v>41059</v>
      </c>
      <c r="B32" s="25">
        <v>271</v>
      </c>
      <c r="C32" s="25">
        <v>53</v>
      </c>
      <c r="D32" s="25">
        <v>466</v>
      </c>
      <c r="E32" s="26">
        <v>0</v>
      </c>
      <c r="F32" s="26">
        <v>0</v>
      </c>
      <c r="G32" s="25">
        <v>0</v>
      </c>
      <c r="H32" s="27">
        <v>4034.83</v>
      </c>
      <c r="I32" t="s">
        <v>66</v>
      </c>
    </row>
    <row r="33" spans="1:15" ht="15.75" thickBot="1">
      <c r="A33" s="12">
        <v>41060</v>
      </c>
      <c r="B33" s="25">
        <v>294</v>
      </c>
      <c r="C33" s="25">
        <v>15</v>
      </c>
      <c r="D33" s="25">
        <v>496</v>
      </c>
      <c r="E33" s="26">
        <v>0</v>
      </c>
      <c r="F33" s="26">
        <v>0</v>
      </c>
      <c r="G33" s="25">
        <v>0</v>
      </c>
      <c r="H33" s="27">
        <v>4034.82</v>
      </c>
      <c r="I33" t="s">
        <v>67</v>
      </c>
    </row>
    <row r="34" spans="1:15" s="11" customFormat="1" ht="15.75" thickTop="1">
      <c r="A34" s="16" t="s">
        <v>8</v>
      </c>
      <c r="B34" s="17">
        <f t="shared" ref="B34:G34" si="0">SUM(B3:B33)</f>
        <v>6721</v>
      </c>
      <c r="C34" s="17">
        <f t="shared" si="0"/>
        <v>1185</v>
      </c>
      <c r="D34" s="17">
        <f t="shared" si="0"/>
        <v>12267</v>
      </c>
      <c r="E34" s="18">
        <f t="shared" si="0"/>
        <v>0.42</v>
      </c>
      <c r="F34" s="18">
        <f t="shared" si="0"/>
        <v>1</v>
      </c>
      <c r="G34" s="17">
        <f t="shared" si="0"/>
        <v>3014</v>
      </c>
      <c r="H34" s="18"/>
    </row>
    <row r="35" spans="1:15" s="11" customFormat="1">
      <c r="A35" s="19" t="s">
        <v>9</v>
      </c>
      <c r="B35" s="20">
        <f>SUM(B34+'Apr 2012'!B34)</f>
        <v>9615</v>
      </c>
      <c r="C35" s="20">
        <f>SUM(C34+'Apr 2012'!C34)</f>
        <v>4788</v>
      </c>
      <c r="D35" s="20">
        <f>SUM(D34+'Apr 2012'!D34)</f>
        <v>21203</v>
      </c>
      <c r="E35" s="21">
        <f>SUM(E34+'Apr 2012'!E34)</f>
        <v>6.26</v>
      </c>
      <c r="F35" s="21">
        <f>SUM(F34+'Apr 2012'!F34)</f>
        <v>20</v>
      </c>
      <c r="G35" s="20">
        <f>SUM(G34+'Apr 2012'!G34)</f>
        <v>14512</v>
      </c>
      <c r="H35" s="21"/>
    </row>
    <row r="37" spans="1:15">
      <c r="A37" t="s">
        <v>10</v>
      </c>
      <c r="B37" s="23">
        <f>SUM(B3:B33)*1.9835</f>
        <v>13331.103500000001</v>
      </c>
      <c r="C37" s="23">
        <f>SUM(C3:C33)*1.9835</f>
        <v>2350.4475000000002</v>
      </c>
      <c r="D37" s="23">
        <f>SUM(D3:D33)*1.9835</f>
        <v>24331.594499999999</v>
      </c>
      <c r="E37" s="23"/>
      <c r="F37" s="23"/>
      <c r="G37" s="23"/>
      <c r="I37" s="22"/>
    </row>
    <row r="39" spans="1:15">
      <c r="A39" t="s">
        <v>24</v>
      </c>
      <c r="B39" s="23">
        <f>SUM(B37+'Apr 2012'!B38)</f>
        <v>19122.923500000001</v>
      </c>
      <c r="C39" s="23">
        <f>SUM(C37+'Apr 2012'!C38)</f>
        <v>8540.9510000000009</v>
      </c>
      <c r="D39" s="23">
        <f>SUM(D37+'Apr 2012'!D38)</f>
        <v>40132.155500000001</v>
      </c>
      <c r="E39" s="23"/>
      <c r="F39" s="23"/>
      <c r="G39" s="23"/>
      <c r="I39" s="22"/>
    </row>
    <row r="40" spans="1:15">
      <c r="I40" s="34"/>
    </row>
    <row r="41" spans="1:15" ht="17.45" customHeight="1">
      <c r="A41" s="114"/>
      <c r="B41" s="114"/>
      <c r="C41" s="114"/>
      <c r="D41" s="114"/>
      <c r="E41" s="114"/>
      <c r="F41" s="115"/>
      <c r="G41" s="116" t="s">
        <v>12</v>
      </c>
      <c r="H41" s="117"/>
      <c r="I41" s="34"/>
      <c r="J41" s="30"/>
      <c r="K41" s="30"/>
      <c r="L41" s="30"/>
      <c r="M41" s="30"/>
      <c r="N41" s="31"/>
      <c r="O41" s="30"/>
    </row>
    <row r="42" spans="1:15" ht="16.899999999999999" customHeight="1">
      <c r="A42" s="29"/>
      <c r="B42" s="29"/>
      <c r="C42" s="29"/>
      <c r="D42" s="29"/>
      <c r="E42" s="29"/>
      <c r="F42" s="29"/>
      <c r="G42" s="116"/>
      <c r="H42" s="117"/>
      <c r="I42" s="34"/>
      <c r="J42" s="30"/>
      <c r="K42" s="30"/>
      <c r="L42" s="30"/>
      <c r="M42" s="30"/>
      <c r="N42" s="31"/>
      <c r="O42" s="30"/>
    </row>
    <row r="43" spans="1:15" ht="13.9" customHeight="1" thickBot="1">
      <c r="A43" s="118" t="s">
        <v>23</v>
      </c>
      <c r="B43" s="118"/>
      <c r="C43" s="118"/>
      <c r="D43" s="118"/>
      <c r="E43" s="118"/>
      <c r="F43" s="118"/>
      <c r="G43" s="118"/>
      <c r="H43" s="118"/>
      <c r="I43" s="119"/>
      <c r="J43" s="119"/>
      <c r="K43" s="32"/>
      <c r="L43" s="32"/>
      <c r="M43" s="32"/>
      <c r="N43" s="33"/>
      <c r="O43" s="34"/>
    </row>
    <row r="44" spans="1:15" ht="15.6" customHeight="1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7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7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15" customHeight="1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.75" thickBot="1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6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7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7"/>
  <sheetViews>
    <sheetView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12">
        <v>41000</v>
      </c>
      <c r="B3" s="25">
        <v>50</v>
      </c>
      <c r="C3" s="25">
        <v>0</v>
      </c>
      <c r="D3" s="25">
        <v>68</v>
      </c>
      <c r="E3" s="26">
        <v>0.02</v>
      </c>
      <c r="F3" s="26">
        <v>0</v>
      </c>
      <c r="G3" s="25">
        <v>0</v>
      </c>
      <c r="H3" s="27">
        <v>4034.92</v>
      </c>
    </row>
    <row r="4" spans="1:9">
      <c r="A4" s="12">
        <v>41001</v>
      </c>
      <c r="B4" s="25">
        <v>50</v>
      </c>
      <c r="C4" s="25">
        <v>0</v>
      </c>
      <c r="D4" s="25">
        <v>75</v>
      </c>
      <c r="E4" s="26">
        <v>0.01</v>
      </c>
      <c r="F4" s="26">
        <v>0</v>
      </c>
      <c r="G4" s="25">
        <v>0</v>
      </c>
      <c r="H4" s="27">
        <v>4034.9</v>
      </c>
    </row>
    <row r="5" spans="1:9">
      <c r="A5" s="12">
        <v>41002</v>
      </c>
      <c r="B5" s="25">
        <v>50</v>
      </c>
      <c r="C5" s="25">
        <v>0</v>
      </c>
      <c r="D5" s="25">
        <v>78</v>
      </c>
      <c r="E5" s="26">
        <v>0</v>
      </c>
      <c r="F5" s="26">
        <v>0</v>
      </c>
      <c r="G5" s="25">
        <v>0</v>
      </c>
      <c r="H5" s="27">
        <v>4034.88</v>
      </c>
    </row>
    <row r="6" spans="1:9">
      <c r="A6" s="12">
        <v>41003</v>
      </c>
      <c r="B6" s="25">
        <v>50</v>
      </c>
      <c r="C6" s="25">
        <v>0</v>
      </c>
      <c r="D6" s="25">
        <v>75</v>
      </c>
      <c r="E6" s="26">
        <v>0.04</v>
      </c>
      <c r="F6" s="26" t="s">
        <v>36</v>
      </c>
      <c r="G6" s="25">
        <v>0</v>
      </c>
      <c r="H6" s="27">
        <v>4034.87</v>
      </c>
    </row>
    <row r="7" spans="1:9">
      <c r="A7" s="12">
        <v>41004</v>
      </c>
      <c r="B7" s="25">
        <v>50</v>
      </c>
      <c r="C7" s="25">
        <v>0</v>
      </c>
      <c r="D7" s="25">
        <v>74</v>
      </c>
      <c r="E7" s="26">
        <v>0.03</v>
      </c>
      <c r="F7" s="26" t="s">
        <v>36</v>
      </c>
      <c r="G7" s="25">
        <v>0</v>
      </c>
      <c r="H7" s="27">
        <v>4034.86</v>
      </c>
    </row>
    <row r="8" spans="1:9">
      <c r="A8" s="12">
        <v>41005</v>
      </c>
      <c r="B8" s="25">
        <v>50</v>
      </c>
      <c r="C8" s="25">
        <v>0</v>
      </c>
      <c r="D8" s="25">
        <v>75</v>
      </c>
      <c r="E8" s="26">
        <v>0.02</v>
      </c>
      <c r="F8" s="26" t="s">
        <v>36</v>
      </c>
      <c r="G8" s="25">
        <v>0</v>
      </c>
      <c r="H8" s="27">
        <v>4034.86</v>
      </c>
    </row>
    <row r="9" spans="1:9">
      <c r="A9" s="12">
        <v>41006</v>
      </c>
      <c r="B9" s="25">
        <v>50</v>
      </c>
      <c r="C9" s="25">
        <v>0</v>
      </c>
      <c r="D9" s="25">
        <v>76</v>
      </c>
      <c r="E9" s="26">
        <v>0</v>
      </c>
      <c r="F9" s="26">
        <v>0</v>
      </c>
      <c r="G9" s="25">
        <v>0</v>
      </c>
      <c r="H9" s="27">
        <v>4034.86</v>
      </c>
    </row>
    <row r="10" spans="1:9">
      <c r="A10" s="12">
        <v>41007</v>
      </c>
      <c r="B10" s="25">
        <v>50</v>
      </c>
      <c r="C10" s="25">
        <v>0</v>
      </c>
      <c r="D10" s="25">
        <v>79</v>
      </c>
      <c r="E10" s="26">
        <v>0</v>
      </c>
      <c r="F10" s="26">
        <v>0</v>
      </c>
      <c r="G10" s="25">
        <v>0</v>
      </c>
      <c r="H10" s="27">
        <v>4034.86</v>
      </c>
    </row>
    <row r="11" spans="1:9">
      <c r="A11" s="12">
        <v>41008</v>
      </c>
      <c r="B11" s="25">
        <v>33</v>
      </c>
      <c r="C11" s="25">
        <v>0</v>
      </c>
      <c r="D11" s="25">
        <v>80</v>
      </c>
      <c r="E11" s="26">
        <v>0</v>
      </c>
      <c r="F11" s="26">
        <v>0</v>
      </c>
      <c r="G11" s="25">
        <v>0</v>
      </c>
      <c r="H11" s="27">
        <v>4034.87</v>
      </c>
      <c r="I11" t="s">
        <v>44</v>
      </c>
    </row>
    <row r="12" spans="1:9">
      <c r="A12" s="12">
        <v>41009</v>
      </c>
      <c r="B12" s="25">
        <v>25</v>
      </c>
      <c r="C12" s="25">
        <v>0</v>
      </c>
      <c r="D12" s="25">
        <v>79</v>
      </c>
      <c r="E12" s="26">
        <v>0</v>
      </c>
      <c r="F12" s="26">
        <v>0</v>
      </c>
      <c r="G12" s="25">
        <v>0</v>
      </c>
      <c r="H12" s="27">
        <v>4034.87</v>
      </c>
    </row>
    <row r="13" spans="1:9">
      <c r="A13" s="12">
        <v>41010</v>
      </c>
      <c r="B13" s="25">
        <v>25</v>
      </c>
      <c r="C13" s="25">
        <v>0</v>
      </c>
      <c r="D13" s="25">
        <v>83</v>
      </c>
      <c r="E13" s="26">
        <v>0.15</v>
      </c>
      <c r="F13" s="26">
        <v>0</v>
      </c>
      <c r="G13" s="25">
        <v>0</v>
      </c>
      <c r="H13" s="27">
        <v>4034.87</v>
      </c>
    </row>
    <row r="14" spans="1:9">
      <c r="A14" s="12">
        <v>41011</v>
      </c>
      <c r="B14" s="25">
        <v>9</v>
      </c>
      <c r="C14" s="25">
        <v>0</v>
      </c>
      <c r="D14" s="25">
        <v>82</v>
      </c>
      <c r="E14" s="26">
        <v>0.05</v>
      </c>
      <c r="F14" s="26">
        <v>0.5</v>
      </c>
      <c r="G14" s="25">
        <v>0</v>
      </c>
      <c r="H14" s="27">
        <v>4034.88</v>
      </c>
      <c r="I14" t="s">
        <v>45</v>
      </c>
    </row>
    <row r="15" spans="1:9">
      <c r="A15" s="12">
        <v>41012</v>
      </c>
      <c r="B15" s="25">
        <v>0</v>
      </c>
      <c r="C15" s="25">
        <v>2</v>
      </c>
      <c r="D15" s="25">
        <v>80</v>
      </c>
      <c r="E15" s="26">
        <v>0.05</v>
      </c>
      <c r="F15" s="26">
        <v>0.5</v>
      </c>
      <c r="G15" s="25">
        <v>0</v>
      </c>
      <c r="H15" s="27">
        <v>4034.89</v>
      </c>
    </row>
    <row r="16" spans="1:9">
      <c r="A16" s="12">
        <v>41013</v>
      </c>
      <c r="B16" s="25">
        <v>0</v>
      </c>
      <c r="C16" s="25">
        <v>23</v>
      </c>
      <c r="D16" s="25">
        <v>80</v>
      </c>
      <c r="E16" s="26">
        <v>0.01</v>
      </c>
      <c r="F16" s="26">
        <v>0</v>
      </c>
      <c r="G16" s="25">
        <v>0</v>
      </c>
      <c r="H16" s="27">
        <v>4034.9</v>
      </c>
    </row>
    <row r="17" spans="1:9">
      <c r="A17" s="12">
        <v>41014</v>
      </c>
      <c r="B17" s="25">
        <v>0</v>
      </c>
      <c r="C17" s="25">
        <v>42</v>
      </c>
      <c r="D17" s="25">
        <v>81</v>
      </c>
      <c r="E17" s="26">
        <v>0</v>
      </c>
      <c r="F17" s="26">
        <v>0</v>
      </c>
      <c r="G17" s="25">
        <v>0</v>
      </c>
      <c r="H17" s="27">
        <v>4034.91</v>
      </c>
    </row>
    <row r="18" spans="1:9">
      <c r="A18" s="12">
        <v>41015</v>
      </c>
      <c r="B18" s="25">
        <v>0</v>
      </c>
      <c r="C18" s="25">
        <v>35</v>
      </c>
      <c r="D18" s="25">
        <v>82</v>
      </c>
      <c r="E18" s="26">
        <v>0.01</v>
      </c>
      <c r="F18" s="26">
        <v>0</v>
      </c>
      <c r="G18" s="25">
        <v>0</v>
      </c>
      <c r="H18" s="27">
        <v>4034.9</v>
      </c>
    </row>
    <row r="19" spans="1:9">
      <c r="A19" s="12">
        <v>41016</v>
      </c>
      <c r="B19" s="25">
        <v>0</v>
      </c>
      <c r="C19" s="25">
        <v>3</v>
      </c>
      <c r="D19" s="25">
        <v>82</v>
      </c>
      <c r="E19" s="26">
        <v>0.03</v>
      </c>
      <c r="F19" s="26">
        <v>0</v>
      </c>
      <c r="G19" s="25">
        <v>0</v>
      </c>
      <c r="H19" s="27">
        <v>4034.9</v>
      </c>
    </row>
    <row r="20" spans="1:9">
      <c r="A20" s="12">
        <v>41017</v>
      </c>
      <c r="B20" s="25">
        <v>0</v>
      </c>
      <c r="C20" s="25">
        <v>0</v>
      </c>
      <c r="D20" s="25">
        <v>75</v>
      </c>
      <c r="E20" s="26">
        <v>0.04</v>
      </c>
      <c r="F20" s="26">
        <v>0</v>
      </c>
      <c r="G20" s="25">
        <v>0</v>
      </c>
      <c r="H20" s="27">
        <v>4034.9</v>
      </c>
    </row>
    <row r="21" spans="1:9">
      <c r="A21" s="12">
        <v>41018</v>
      </c>
      <c r="B21" s="25">
        <v>0</v>
      </c>
      <c r="C21" s="25">
        <v>21</v>
      </c>
      <c r="D21" s="25">
        <v>72</v>
      </c>
      <c r="E21" s="26">
        <v>0.15</v>
      </c>
      <c r="F21" s="26">
        <v>0</v>
      </c>
      <c r="G21" s="25">
        <v>0</v>
      </c>
      <c r="H21" s="27">
        <v>4034.9</v>
      </c>
    </row>
    <row r="22" spans="1:9">
      <c r="A22" s="12">
        <v>41019</v>
      </c>
      <c r="B22" s="25">
        <v>0</v>
      </c>
      <c r="C22" s="25">
        <v>38</v>
      </c>
      <c r="D22" s="25">
        <v>73</v>
      </c>
      <c r="E22" s="26">
        <v>0.01</v>
      </c>
      <c r="F22" s="26">
        <v>0</v>
      </c>
      <c r="G22" s="25">
        <v>0</v>
      </c>
      <c r="H22" s="27">
        <v>4034.9</v>
      </c>
    </row>
    <row r="23" spans="1:9">
      <c r="A23" s="12">
        <v>41020</v>
      </c>
      <c r="B23" s="25">
        <v>0</v>
      </c>
      <c r="C23" s="25">
        <v>42</v>
      </c>
      <c r="D23" s="25">
        <v>73</v>
      </c>
      <c r="E23" s="26">
        <v>0</v>
      </c>
      <c r="F23" s="26">
        <v>0</v>
      </c>
      <c r="G23" s="25">
        <v>0</v>
      </c>
      <c r="H23" s="27">
        <v>4034.9</v>
      </c>
    </row>
    <row r="24" spans="1:9">
      <c r="A24" s="12">
        <v>41021</v>
      </c>
      <c r="B24" s="25">
        <v>0</v>
      </c>
      <c r="C24" s="25">
        <v>42</v>
      </c>
      <c r="D24" s="25">
        <v>73</v>
      </c>
      <c r="E24" s="26">
        <v>0</v>
      </c>
      <c r="F24" s="26">
        <v>0</v>
      </c>
      <c r="G24" s="25">
        <v>0</v>
      </c>
      <c r="H24" s="27">
        <v>4034.9</v>
      </c>
    </row>
    <row r="25" spans="1:9">
      <c r="A25" s="12">
        <v>41022</v>
      </c>
      <c r="B25" s="25">
        <v>0</v>
      </c>
      <c r="C25" s="25">
        <v>39</v>
      </c>
      <c r="D25" s="25">
        <v>74</v>
      </c>
      <c r="E25" s="26">
        <v>0</v>
      </c>
      <c r="F25" s="26">
        <v>0</v>
      </c>
      <c r="G25" s="25">
        <v>0</v>
      </c>
      <c r="H25" s="27">
        <v>4034.9</v>
      </c>
    </row>
    <row r="26" spans="1:9">
      <c r="A26" s="12">
        <v>41023</v>
      </c>
      <c r="B26" s="25">
        <v>0</v>
      </c>
      <c r="C26" s="25">
        <v>30</v>
      </c>
      <c r="D26" s="25">
        <v>88</v>
      </c>
      <c r="E26" s="26">
        <v>0</v>
      </c>
      <c r="F26" s="26">
        <v>0</v>
      </c>
      <c r="G26" s="25">
        <v>0</v>
      </c>
      <c r="H26" s="27">
        <v>4034.9</v>
      </c>
    </row>
    <row r="27" spans="1:9">
      <c r="A27" s="12">
        <v>41024</v>
      </c>
      <c r="B27" s="25">
        <v>12</v>
      </c>
      <c r="C27" s="25">
        <v>0</v>
      </c>
      <c r="D27" s="25">
        <v>115</v>
      </c>
      <c r="E27" s="26">
        <v>0</v>
      </c>
      <c r="F27" s="26">
        <v>0</v>
      </c>
      <c r="G27" s="25">
        <v>0</v>
      </c>
      <c r="H27" s="27">
        <v>4034.9</v>
      </c>
      <c r="I27" t="s">
        <v>46</v>
      </c>
    </row>
    <row r="28" spans="1:9">
      <c r="A28" s="12">
        <v>41025</v>
      </c>
      <c r="B28" s="25">
        <v>19</v>
      </c>
      <c r="C28" s="25">
        <v>0</v>
      </c>
      <c r="D28" s="25">
        <v>130</v>
      </c>
      <c r="E28" s="26">
        <v>0.36</v>
      </c>
      <c r="F28" s="26">
        <v>0</v>
      </c>
      <c r="G28" s="25">
        <v>0</v>
      </c>
      <c r="H28" s="27">
        <v>4034.91</v>
      </c>
      <c r="I28" t="s">
        <v>47</v>
      </c>
    </row>
    <row r="29" spans="1:9">
      <c r="A29" s="12">
        <v>41026</v>
      </c>
      <c r="B29" s="25">
        <v>15</v>
      </c>
      <c r="C29" s="25">
        <v>0</v>
      </c>
      <c r="D29" s="25">
        <v>127</v>
      </c>
      <c r="E29" s="26">
        <v>0</v>
      </c>
      <c r="F29" s="26">
        <v>0</v>
      </c>
      <c r="G29" s="25">
        <v>0</v>
      </c>
      <c r="H29" s="27">
        <v>4034.91</v>
      </c>
    </row>
    <row r="30" spans="1:9">
      <c r="A30" s="12">
        <v>41027</v>
      </c>
      <c r="B30" s="25">
        <v>15</v>
      </c>
      <c r="C30" s="25">
        <v>0</v>
      </c>
      <c r="D30" s="25">
        <v>124</v>
      </c>
      <c r="E30" s="26">
        <v>0</v>
      </c>
      <c r="F30" s="26">
        <v>0</v>
      </c>
      <c r="G30" s="25">
        <v>0</v>
      </c>
      <c r="H30" s="27">
        <v>4034.92</v>
      </c>
    </row>
    <row r="31" spans="1:9">
      <c r="A31" s="12">
        <v>41028</v>
      </c>
      <c r="B31" s="25">
        <v>15</v>
      </c>
      <c r="C31" s="25">
        <v>0</v>
      </c>
      <c r="D31" s="25">
        <v>127</v>
      </c>
      <c r="E31" s="26">
        <v>0</v>
      </c>
      <c r="F31" s="26">
        <v>0</v>
      </c>
      <c r="G31" s="25">
        <v>0</v>
      </c>
      <c r="H31" s="27">
        <v>4034.92</v>
      </c>
    </row>
    <row r="32" spans="1:9" ht="15.75" thickBot="1">
      <c r="A32" s="12">
        <v>41029</v>
      </c>
      <c r="B32" s="25">
        <v>15</v>
      </c>
      <c r="C32" s="25">
        <v>0</v>
      </c>
      <c r="D32" s="25">
        <v>125</v>
      </c>
      <c r="E32" s="26">
        <v>0</v>
      </c>
      <c r="F32" s="26">
        <v>0</v>
      </c>
      <c r="G32" s="25">
        <v>0</v>
      </c>
      <c r="H32" s="27">
        <v>4034.91</v>
      </c>
    </row>
    <row r="33" spans="1:15" s="11" customFormat="1" ht="15.75" thickTop="1">
      <c r="A33" s="16" t="s">
        <v>8</v>
      </c>
      <c r="B33" s="17">
        <f t="shared" ref="B33:G33" si="0">SUM(B3:B32)</f>
        <v>583</v>
      </c>
      <c r="C33" s="17">
        <f t="shared" si="0"/>
        <v>317</v>
      </c>
      <c r="D33" s="17">
        <f t="shared" si="0"/>
        <v>2605</v>
      </c>
      <c r="E33" s="18">
        <f t="shared" si="0"/>
        <v>0.98</v>
      </c>
      <c r="F33" s="18">
        <f t="shared" si="0"/>
        <v>1</v>
      </c>
      <c r="G33" s="17">
        <f t="shared" si="0"/>
        <v>0</v>
      </c>
      <c r="H33" s="18"/>
      <c r="I33"/>
    </row>
    <row r="34" spans="1:15" s="11" customFormat="1">
      <c r="A34" s="19" t="s">
        <v>9</v>
      </c>
      <c r="B34" s="20">
        <f>SUM(B33+'Mar 2012'!B35)</f>
        <v>2894</v>
      </c>
      <c r="C34" s="20">
        <f>SUM(C33+'Mar 2012'!C35)</f>
        <v>3603</v>
      </c>
      <c r="D34" s="20">
        <f>SUM(D33+'Mar 2012'!D35)</f>
        <v>8936</v>
      </c>
      <c r="E34" s="21">
        <f>SUM(E33+'Mar 2012'!E35)</f>
        <v>5.84</v>
      </c>
      <c r="F34" s="21">
        <f>SUM(F33+'Mar 2012'!F35)</f>
        <v>19</v>
      </c>
      <c r="G34" s="20">
        <f>SUM(G33+'Mar 2012'!G35)</f>
        <v>11498</v>
      </c>
      <c r="H34" s="21"/>
    </row>
    <row r="35" spans="1:15">
      <c r="I35" s="11"/>
    </row>
    <row r="36" spans="1:15">
      <c r="A36" t="s">
        <v>10</v>
      </c>
      <c r="B36" s="23">
        <f>SUM(B3:B33)*1.9835</f>
        <v>2312.761</v>
      </c>
      <c r="C36" s="23">
        <f>SUM(C3:C33)*1.9835</f>
        <v>1257.539</v>
      </c>
      <c r="D36" s="23">
        <f>SUM(D3:D33)*1.9835</f>
        <v>10334.035</v>
      </c>
      <c r="E36" s="23"/>
      <c r="F36" s="23"/>
      <c r="G36" s="23"/>
      <c r="I36" s="22"/>
    </row>
    <row r="38" spans="1:15">
      <c r="A38" t="s">
        <v>24</v>
      </c>
      <c r="B38" s="23">
        <f>SUM(B36+'Mar 2012'!B39)</f>
        <v>5791.82</v>
      </c>
      <c r="C38" s="23">
        <f>SUM(C36+'Mar 2012'!C39)</f>
        <v>6190.5034999999998</v>
      </c>
      <c r="D38" s="23">
        <f>SUM(D36+'Mar 2012'!D39)</f>
        <v>15800.561</v>
      </c>
      <c r="E38" s="23"/>
      <c r="F38" s="23"/>
      <c r="G38" s="23"/>
      <c r="I38" s="22"/>
    </row>
    <row r="39" spans="1:15">
      <c r="B39" s="23"/>
      <c r="C39" s="23"/>
      <c r="D39" s="24"/>
      <c r="E39" s="23"/>
      <c r="F39" s="23"/>
      <c r="G39" s="23"/>
      <c r="I39" s="22"/>
    </row>
    <row r="40" spans="1:15" ht="17.45" customHeight="1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0"/>
      <c r="N40" s="31"/>
      <c r="O40" s="30"/>
    </row>
    <row r="41" spans="1:15" ht="16.899999999999999" customHeight="1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0"/>
      <c r="N41" s="31"/>
      <c r="O41" s="30"/>
    </row>
    <row r="42" spans="1:15" ht="13.9" customHeight="1">
      <c r="A42" s="119" t="s">
        <v>23</v>
      </c>
      <c r="B42" s="119"/>
      <c r="C42" s="119"/>
      <c r="D42" s="119"/>
      <c r="E42" s="119"/>
      <c r="F42" s="119"/>
      <c r="G42" s="119"/>
      <c r="H42" s="119"/>
      <c r="I42" s="119"/>
      <c r="J42" s="119"/>
      <c r="K42" s="32"/>
      <c r="L42" s="32"/>
      <c r="M42" s="32"/>
      <c r="N42" s="33"/>
      <c r="O42" s="34"/>
    </row>
    <row r="43" spans="1:15" ht="15.6" customHeight="1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.75" thickBot="1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12">
        <v>40969</v>
      </c>
      <c r="B3" s="13">
        <v>0</v>
      </c>
      <c r="C3" s="13">
        <v>20</v>
      </c>
      <c r="D3" s="13">
        <v>0</v>
      </c>
      <c r="E3" s="14">
        <v>0.04</v>
      </c>
      <c r="F3" s="14">
        <v>0.5</v>
      </c>
      <c r="G3" s="13">
        <v>0</v>
      </c>
      <c r="H3" s="15">
        <v>4034.4</v>
      </c>
    </row>
    <row r="4" spans="1:9">
      <c r="A4" s="12">
        <v>40970</v>
      </c>
      <c r="B4" s="13">
        <v>0</v>
      </c>
      <c r="C4" s="13">
        <v>13</v>
      </c>
      <c r="D4" s="13">
        <v>0</v>
      </c>
      <c r="E4" s="14">
        <v>0</v>
      </c>
      <c r="F4" s="14">
        <v>0</v>
      </c>
      <c r="G4" s="13">
        <v>0</v>
      </c>
      <c r="H4" s="15">
        <v>4034.4</v>
      </c>
    </row>
    <row r="5" spans="1:9">
      <c r="A5" s="12">
        <v>40971</v>
      </c>
      <c r="B5" s="13">
        <v>0</v>
      </c>
      <c r="C5" s="13">
        <v>0</v>
      </c>
      <c r="D5" s="13">
        <v>0</v>
      </c>
      <c r="E5" s="14">
        <v>0</v>
      </c>
      <c r="F5" s="14">
        <v>0</v>
      </c>
      <c r="G5" s="13">
        <v>0</v>
      </c>
      <c r="H5" s="15">
        <v>4034.4</v>
      </c>
    </row>
    <row r="6" spans="1:9">
      <c r="A6" s="12">
        <v>40972</v>
      </c>
      <c r="B6" s="13">
        <v>0</v>
      </c>
      <c r="C6" s="13">
        <v>5</v>
      </c>
      <c r="D6" s="13">
        <v>0</v>
      </c>
      <c r="E6" s="14">
        <v>0</v>
      </c>
      <c r="F6" s="14">
        <v>0</v>
      </c>
      <c r="G6" s="13">
        <v>0</v>
      </c>
      <c r="H6" s="15">
        <v>4034.4</v>
      </c>
    </row>
    <row r="7" spans="1:9">
      <c r="A7" s="12">
        <v>40973</v>
      </c>
      <c r="B7" s="13">
        <v>0</v>
      </c>
      <c r="C7" s="13">
        <v>28</v>
      </c>
      <c r="D7" s="13">
        <v>16</v>
      </c>
      <c r="E7" s="14">
        <v>0</v>
      </c>
      <c r="F7" s="14">
        <v>0</v>
      </c>
      <c r="G7" s="13">
        <v>0</v>
      </c>
      <c r="H7" s="15">
        <v>4034.41</v>
      </c>
    </row>
    <row r="8" spans="1:9">
      <c r="A8" s="12">
        <v>40974</v>
      </c>
      <c r="B8" s="13">
        <v>0</v>
      </c>
      <c r="C8" s="13">
        <v>0</v>
      </c>
      <c r="D8" s="13">
        <v>30</v>
      </c>
      <c r="E8" s="14">
        <v>0.01</v>
      </c>
      <c r="F8" s="111" t="s">
        <v>36</v>
      </c>
      <c r="G8" s="13">
        <v>0</v>
      </c>
      <c r="H8" s="15">
        <v>4034.41</v>
      </c>
    </row>
    <row r="9" spans="1:9">
      <c r="A9" s="12">
        <v>40975</v>
      </c>
      <c r="B9" s="110">
        <v>8</v>
      </c>
      <c r="C9" s="13">
        <v>0</v>
      </c>
      <c r="D9" s="13">
        <v>36</v>
      </c>
      <c r="E9" s="14">
        <v>0</v>
      </c>
      <c r="F9" s="14">
        <v>0</v>
      </c>
      <c r="G9" s="13">
        <v>0</v>
      </c>
      <c r="H9" s="15">
        <v>4034.42</v>
      </c>
      <c r="I9" t="s">
        <v>39</v>
      </c>
    </row>
    <row r="10" spans="1:9">
      <c r="A10" s="12">
        <v>40976</v>
      </c>
      <c r="B10" s="13">
        <v>25</v>
      </c>
      <c r="C10" s="13">
        <v>0</v>
      </c>
      <c r="D10" s="13">
        <v>40</v>
      </c>
      <c r="E10" s="14">
        <v>0</v>
      </c>
      <c r="F10" s="14">
        <v>0</v>
      </c>
      <c r="G10" s="13">
        <v>0</v>
      </c>
      <c r="H10" s="15">
        <v>4034.42</v>
      </c>
    </row>
    <row r="11" spans="1:9">
      <c r="A11" s="12">
        <v>40977</v>
      </c>
      <c r="B11" s="13">
        <v>25</v>
      </c>
      <c r="C11" s="13">
        <v>0</v>
      </c>
      <c r="D11" s="13">
        <v>40</v>
      </c>
      <c r="E11" s="14">
        <v>0</v>
      </c>
      <c r="F11" s="14">
        <v>0</v>
      </c>
      <c r="G11" s="13">
        <v>0</v>
      </c>
      <c r="H11" s="15">
        <v>4034.43</v>
      </c>
    </row>
    <row r="12" spans="1:9">
      <c r="A12" s="12">
        <v>40978</v>
      </c>
      <c r="B12" s="13">
        <v>25</v>
      </c>
      <c r="C12" s="13">
        <v>0</v>
      </c>
      <c r="D12" s="13">
        <v>40</v>
      </c>
      <c r="E12" s="14">
        <v>0</v>
      </c>
      <c r="F12" s="14">
        <v>0</v>
      </c>
      <c r="G12" s="13">
        <v>0</v>
      </c>
      <c r="H12" s="15">
        <v>4034.43</v>
      </c>
    </row>
    <row r="13" spans="1:9">
      <c r="A13" s="12">
        <v>40979</v>
      </c>
      <c r="B13" s="13">
        <v>25</v>
      </c>
      <c r="C13" s="13">
        <v>0</v>
      </c>
      <c r="D13" s="13">
        <v>40</v>
      </c>
      <c r="E13" s="14">
        <v>0.17</v>
      </c>
      <c r="F13" s="14">
        <v>1</v>
      </c>
      <c r="G13" s="13">
        <v>0</v>
      </c>
      <c r="H13" s="15">
        <v>4034.44</v>
      </c>
    </row>
    <row r="14" spans="1:9">
      <c r="A14" s="12">
        <v>40980</v>
      </c>
      <c r="B14" s="13">
        <v>25</v>
      </c>
      <c r="C14" s="13">
        <v>0</v>
      </c>
      <c r="D14" s="13">
        <v>40</v>
      </c>
      <c r="E14" s="14">
        <v>0.03</v>
      </c>
      <c r="F14" s="14">
        <v>0</v>
      </c>
      <c r="G14" s="13">
        <v>0</v>
      </c>
      <c r="H14" s="15">
        <v>4034.47</v>
      </c>
    </row>
    <row r="15" spans="1:9">
      <c r="A15" s="12">
        <v>40981</v>
      </c>
      <c r="B15" s="110">
        <v>20</v>
      </c>
      <c r="C15" s="13">
        <v>0</v>
      </c>
      <c r="D15" s="13">
        <v>40</v>
      </c>
      <c r="E15" s="14">
        <v>0.11</v>
      </c>
      <c r="F15" s="14">
        <v>1</v>
      </c>
      <c r="G15" s="13">
        <v>0</v>
      </c>
      <c r="H15" s="15">
        <v>4034.49</v>
      </c>
      <c r="I15" t="s">
        <v>38</v>
      </c>
    </row>
    <row r="16" spans="1:9">
      <c r="A16" s="12">
        <v>40982</v>
      </c>
      <c r="B16" s="110">
        <v>5</v>
      </c>
      <c r="C16" s="13">
        <v>0</v>
      </c>
      <c r="D16" s="13">
        <v>40</v>
      </c>
      <c r="E16" s="14">
        <v>0.4</v>
      </c>
      <c r="F16" s="14">
        <v>4.5</v>
      </c>
      <c r="G16" s="13">
        <v>0</v>
      </c>
      <c r="H16" s="15">
        <v>4034.51</v>
      </c>
      <c r="I16" t="s">
        <v>40</v>
      </c>
    </row>
    <row r="17" spans="1:9">
      <c r="A17" s="12">
        <v>40983</v>
      </c>
      <c r="B17" s="13">
        <v>0</v>
      </c>
      <c r="C17" s="13">
        <v>0</v>
      </c>
      <c r="D17" s="13">
        <v>35</v>
      </c>
      <c r="E17" s="14">
        <v>0.03</v>
      </c>
      <c r="F17" s="14">
        <v>0</v>
      </c>
      <c r="G17" s="13">
        <v>0</v>
      </c>
      <c r="H17" s="15">
        <v>4034.55</v>
      </c>
    </row>
    <row r="18" spans="1:9">
      <c r="A18" s="12">
        <v>40984</v>
      </c>
      <c r="B18" s="13">
        <v>0</v>
      </c>
      <c r="C18" s="13">
        <v>0</v>
      </c>
      <c r="D18" s="13">
        <v>30</v>
      </c>
      <c r="E18" s="14">
        <v>0.5</v>
      </c>
      <c r="F18" s="111" t="s">
        <v>36</v>
      </c>
      <c r="G18" s="13">
        <v>0</v>
      </c>
      <c r="H18" s="15">
        <v>4034.57</v>
      </c>
    </row>
    <row r="19" spans="1:9">
      <c r="A19" s="12">
        <v>40985</v>
      </c>
      <c r="B19" s="13">
        <v>0</v>
      </c>
      <c r="C19" s="13">
        <v>0</v>
      </c>
      <c r="D19" s="13">
        <v>30</v>
      </c>
      <c r="E19" s="14">
        <v>0.45</v>
      </c>
      <c r="F19" s="111" t="s">
        <v>36</v>
      </c>
      <c r="G19" s="13">
        <v>0</v>
      </c>
      <c r="H19" s="15">
        <v>4034.61</v>
      </c>
    </row>
    <row r="20" spans="1:9">
      <c r="A20" s="12">
        <v>40986</v>
      </c>
      <c r="B20" s="110">
        <v>67</v>
      </c>
      <c r="C20" s="13">
        <v>15</v>
      </c>
      <c r="D20" s="13">
        <v>43</v>
      </c>
      <c r="E20" s="14">
        <v>0.02</v>
      </c>
      <c r="F20" s="111" t="s">
        <v>36</v>
      </c>
      <c r="G20" s="13">
        <v>0</v>
      </c>
      <c r="H20" s="15">
        <v>4034.65</v>
      </c>
      <c r="I20" t="s">
        <v>41</v>
      </c>
    </row>
    <row r="21" spans="1:9">
      <c r="A21" s="12">
        <v>40987</v>
      </c>
      <c r="B21" s="13">
        <v>100</v>
      </c>
      <c r="C21" s="13">
        <v>47</v>
      </c>
      <c r="D21" s="13">
        <v>50</v>
      </c>
      <c r="E21" s="14">
        <v>0.01</v>
      </c>
      <c r="F21" s="14">
        <v>0</v>
      </c>
      <c r="G21" s="13">
        <v>0</v>
      </c>
      <c r="H21" s="15">
        <v>4034.68</v>
      </c>
    </row>
    <row r="22" spans="1:9">
      <c r="A22" s="12">
        <v>40988</v>
      </c>
      <c r="B22" s="25">
        <v>100</v>
      </c>
      <c r="C22" s="25">
        <v>60</v>
      </c>
      <c r="D22" s="25">
        <v>50</v>
      </c>
      <c r="E22" s="26">
        <v>0.13</v>
      </c>
      <c r="F22" s="26">
        <v>2</v>
      </c>
      <c r="G22" s="25">
        <v>0</v>
      </c>
      <c r="H22" s="27">
        <v>4034.71</v>
      </c>
    </row>
    <row r="23" spans="1:9">
      <c r="A23" s="12">
        <v>40989</v>
      </c>
      <c r="B23" s="25">
        <v>100</v>
      </c>
      <c r="C23" s="25">
        <v>60</v>
      </c>
      <c r="D23" s="25">
        <v>50</v>
      </c>
      <c r="E23" s="26">
        <v>0.01</v>
      </c>
      <c r="F23" s="26">
        <v>0</v>
      </c>
      <c r="G23" s="25">
        <v>0</v>
      </c>
      <c r="H23" s="27">
        <v>4034.74</v>
      </c>
    </row>
    <row r="24" spans="1:9">
      <c r="A24" s="12">
        <v>40990</v>
      </c>
      <c r="B24" s="25">
        <v>43</v>
      </c>
      <c r="C24" s="25">
        <v>35</v>
      </c>
      <c r="D24" s="25">
        <v>50</v>
      </c>
      <c r="E24" s="26">
        <v>0.03</v>
      </c>
      <c r="F24" s="26">
        <v>0.5</v>
      </c>
      <c r="G24" s="25">
        <v>0</v>
      </c>
      <c r="H24" s="27">
        <v>4034.77</v>
      </c>
      <c r="I24" t="s">
        <v>42</v>
      </c>
    </row>
    <row r="25" spans="1:9">
      <c r="A25" s="12">
        <v>40991</v>
      </c>
      <c r="B25" s="25">
        <v>15</v>
      </c>
      <c r="C25" s="25">
        <v>0</v>
      </c>
      <c r="D25" s="25">
        <v>46</v>
      </c>
      <c r="E25" s="26">
        <v>0.02</v>
      </c>
      <c r="F25" s="26" t="s">
        <v>36</v>
      </c>
      <c r="G25" s="25">
        <v>0</v>
      </c>
      <c r="H25" s="27">
        <v>4034.79</v>
      </c>
    </row>
    <row r="26" spans="1:9">
      <c r="A26" s="12">
        <v>40992</v>
      </c>
      <c r="B26" s="25">
        <v>15</v>
      </c>
      <c r="C26" s="25">
        <v>0</v>
      </c>
      <c r="D26" s="25">
        <v>43</v>
      </c>
      <c r="E26" s="26">
        <v>0</v>
      </c>
      <c r="F26" s="26">
        <v>0</v>
      </c>
      <c r="G26" s="25">
        <v>0</v>
      </c>
      <c r="H26" s="27">
        <v>4034.81</v>
      </c>
    </row>
    <row r="27" spans="1:9">
      <c r="A27" s="12">
        <v>40993</v>
      </c>
      <c r="B27" s="25">
        <v>15</v>
      </c>
      <c r="C27" s="25">
        <v>0</v>
      </c>
      <c r="D27" s="25">
        <v>42</v>
      </c>
      <c r="E27" s="26">
        <v>0</v>
      </c>
      <c r="F27" s="26">
        <v>0</v>
      </c>
      <c r="G27" s="25">
        <v>0</v>
      </c>
      <c r="H27" s="27">
        <v>4034.83</v>
      </c>
    </row>
    <row r="28" spans="1:9">
      <c r="A28" s="12">
        <v>40994</v>
      </c>
      <c r="B28" s="25">
        <v>15</v>
      </c>
      <c r="C28" s="25">
        <v>0</v>
      </c>
      <c r="D28" s="25">
        <v>42</v>
      </c>
      <c r="E28" s="26">
        <v>0.01</v>
      </c>
      <c r="F28" s="26">
        <v>0</v>
      </c>
      <c r="G28" s="25">
        <v>0</v>
      </c>
      <c r="H28" s="27">
        <v>4034.85</v>
      </c>
    </row>
    <row r="29" spans="1:9">
      <c r="A29" s="12">
        <v>40995</v>
      </c>
      <c r="B29" s="25">
        <v>15</v>
      </c>
      <c r="C29" s="25">
        <v>0</v>
      </c>
      <c r="D29" s="25">
        <v>40</v>
      </c>
      <c r="E29" s="26" t="s">
        <v>36</v>
      </c>
      <c r="F29" s="26">
        <v>0</v>
      </c>
      <c r="G29" s="25">
        <v>0</v>
      </c>
      <c r="H29" s="27">
        <v>4034.87</v>
      </c>
    </row>
    <row r="30" spans="1:9">
      <c r="A30" s="12">
        <v>40996</v>
      </c>
      <c r="B30" s="13">
        <v>15</v>
      </c>
      <c r="C30" s="13">
        <v>0</v>
      </c>
      <c r="D30" s="13">
        <v>40</v>
      </c>
      <c r="E30" s="14">
        <v>0.27</v>
      </c>
      <c r="F30" s="14">
        <v>0.5</v>
      </c>
      <c r="G30" s="13">
        <v>0</v>
      </c>
      <c r="H30" s="15">
        <v>4034.88</v>
      </c>
    </row>
    <row r="31" spans="1:9">
      <c r="A31" s="12">
        <v>40997</v>
      </c>
      <c r="B31" s="110">
        <v>30</v>
      </c>
      <c r="C31" s="13">
        <v>0</v>
      </c>
      <c r="D31" s="13">
        <v>49</v>
      </c>
      <c r="E31" s="111" t="s">
        <v>36</v>
      </c>
      <c r="F31" s="14">
        <v>0</v>
      </c>
      <c r="G31" s="13">
        <v>0</v>
      </c>
      <c r="H31" s="15">
        <v>4034.89</v>
      </c>
      <c r="I31" t="s">
        <v>43</v>
      </c>
    </row>
    <row r="32" spans="1:9">
      <c r="A32" s="12">
        <v>40998</v>
      </c>
      <c r="B32" s="13">
        <v>50</v>
      </c>
      <c r="C32" s="13">
        <v>0</v>
      </c>
      <c r="D32" s="13">
        <v>65</v>
      </c>
      <c r="E32" s="111" t="s">
        <v>36</v>
      </c>
      <c r="F32" s="111">
        <v>0</v>
      </c>
      <c r="G32" s="13">
        <v>0</v>
      </c>
      <c r="H32" s="15">
        <v>4034.9</v>
      </c>
    </row>
    <row r="33" spans="1:15" ht="15.75" thickBot="1">
      <c r="A33" s="12">
        <v>40999</v>
      </c>
      <c r="B33" s="13">
        <v>50</v>
      </c>
      <c r="C33" s="13">
        <v>0</v>
      </c>
      <c r="D33" s="13">
        <v>64</v>
      </c>
      <c r="E33" s="14">
        <v>0.16</v>
      </c>
      <c r="F33" s="14">
        <v>1</v>
      </c>
      <c r="G33" s="13">
        <v>0</v>
      </c>
      <c r="H33" s="15">
        <v>4034.91</v>
      </c>
    </row>
    <row r="34" spans="1:15" s="11" customFormat="1" ht="15.75" thickTop="1">
      <c r="A34" s="16" t="s">
        <v>8</v>
      </c>
      <c r="B34" s="17">
        <f t="shared" ref="B34:G34" si="0">SUM(B3:B33)</f>
        <v>788</v>
      </c>
      <c r="C34" s="17">
        <f t="shared" si="0"/>
        <v>283</v>
      </c>
      <c r="D34" s="17">
        <f t="shared" si="0"/>
        <v>1131</v>
      </c>
      <c r="E34" s="18">
        <f t="shared" si="0"/>
        <v>2.4000000000000004</v>
      </c>
      <c r="F34" s="18">
        <f t="shared" si="0"/>
        <v>11</v>
      </c>
      <c r="G34" s="17">
        <f t="shared" si="0"/>
        <v>0</v>
      </c>
      <c r="H34" s="18"/>
    </row>
    <row r="35" spans="1:15" s="11" customFormat="1">
      <c r="A35" s="19" t="s">
        <v>9</v>
      </c>
      <c r="B35" s="20">
        <f>SUM(B34+'Feb 2012'!B33)</f>
        <v>2311</v>
      </c>
      <c r="C35" s="20">
        <f>SUM(C34+'Feb 2012'!C33)</f>
        <v>3286</v>
      </c>
      <c r="D35" s="20">
        <f>SUM(D34+'Feb 2012'!D33)</f>
        <v>6331</v>
      </c>
      <c r="E35" s="21">
        <f>SUM(E34+'Feb 2012'!E33)</f>
        <v>4.8600000000000003</v>
      </c>
      <c r="F35" s="21">
        <f>SUM(F34+'Feb 2012'!F33)</f>
        <v>18</v>
      </c>
      <c r="G35" s="20">
        <f>SUM(G34+'Feb 2012'!G33)</f>
        <v>11498</v>
      </c>
      <c r="H35" s="21"/>
    </row>
    <row r="37" spans="1:15">
      <c r="A37" t="s">
        <v>10</v>
      </c>
      <c r="B37" s="23">
        <f>SUM(B3:B33)*1.9835</f>
        <v>1562.998</v>
      </c>
      <c r="C37" s="23">
        <f>SUM(C3:C33)*1.9835</f>
        <v>561.33050000000003</v>
      </c>
      <c r="D37" s="23">
        <f>SUM(D3:D33)*1.9835</f>
        <v>2243.3384999999998</v>
      </c>
      <c r="E37" s="23"/>
      <c r="F37" s="23"/>
      <c r="G37" s="23"/>
      <c r="I37" s="22"/>
    </row>
    <row r="39" spans="1:15">
      <c r="A39" t="s">
        <v>24</v>
      </c>
      <c r="B39" s="23">
        <f>SUM(B37+'Feb 2012'!B37)</f>
        <v>3479.0590000000002</v>
      </c>
      <c r="C39" s="23">
        <f>SUM(C37+'Feb 2012'!C37)</f>
        <v>4932.9645</v>
      </c>
      <c r="D39" s="23">
        <f>SUM(D37+'Feb 2012'!D37)</f>
        <v>5466.5259999999998</v>
      </c>
      <c r="E39" s="23"/>
      <c r="F39" s="23"/>
      <c r="G39" s="23"/>
      <c r="I39" s="22"/>
    </row>
    <row r="40" spans="1:15">
      <c r="B40" s="23"/>
      <c r="C40" s="23"/>
      <c r="D40" s="24"/>
      <c r="E40" s="23"/>
      <c r="F40" s="23"/>
      <c r="G40" s="23"/>
      <c r="I40" s="22"/>
    </row>
    <row r="41" spans="1:15" ht="17.45" customHeight="1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0"/>
      <c r="N41" s="31"/>
      <c r="O41" s="30"/>
    </row>
    <row r="42" spans="1:15" ht="16.899999999999999" customHeight="1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0"/>
      <c r="N42" s="31"/>
      <c r="O42" s="30"/>
    </row>
    <row r="43" spans="1:15" ht="13.9" customHeight="1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2"/>
      <c r="L43" s="32"/>
      <c r="M43" s="32"/>
      <c r="N43" s="33"/>
      <c r="O43" s="34"/>
    </row>
    <row r="44" spans="1:15" ht="15.6" customHeight="1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6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G33" sqref="G33"/>
    </sheetView>
  </sheetViews>
  <sheetFormatPr defaultRowHeight="1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12">
        <v>40940</v>
      </c>
      <c r="B3" s="13">
        <v>0</v>
      </c>
      <c r="C3" s="13">
        <v>20</v>
      </c>
      <c r="D3" s="13">
        <v>0</v>
      </c>
      <c r="E3" s="14">
        <v>0.04</v>
      </c>
      <c r="F3" s="14">
        <v>0</v>
      </c>
      <c r="G3" s="13">
        <v>0</v>
      </c>
      <c r="H3" s="15">
        <v>4034.55</v>
      </c>
    </row>
    <row r="4" spans="1:9">
      <c r="A4" s="12">
        <v>40941</v>
      </c>
      <c r="B4" s="13">
        <v>0</v>
      </c>
      <c r="C4" s="13">
        <v>20</v>
      </c>
      <c r="D4" s="13">
        <v>0</v>
      </c>
      <c r="E4" s="14">
        <v>0.01</v>
      </c>
      <c r="F4" s="14">
        <v>0</v>
      </c>
      <c r="G4" s="13">
        <v>0</v>
      </c>
      <c r="H4" s="15">
        <v>4034.54</v>
      </c>
    </row>
    <row r="5" spans="1:9">
      <c r="A5" s="12">
        <v>40942</v>
      </c>
      <c r="B5" s="13">
        <v>0</v>
      </c>
      <c r="C5" s="13">
        <v>20</v>
      </c>
      <c r="D5" s="13">
        <v>0</v>
      </c>
      <c r="E5" s="14">
        <v>0</v>
      </c>
      <c r="F5" s="14">
        <v>0</v>
      </c>
      <c r="G5" s="13">
        <v>0</v>
      </c>
      <c r="H5" s="15">
        <v>4034.53</v>
      </c>
    </row>
    <row r="6" spans="1:9">
      <c r="A6" s="12">
        <v>40943</v>
      </c>
      <c r="B6" s="13">
        <v>0</v>
      </c>
      <c r="C6" s="13">
        <v>20</v>
      </c>
      <c r="D6" s="13">
        <v>0</v>
      </c>
      <c r="E6" s="14">
        <v>0</v>
      </c>
      <c r="F6" s="14">
        <v>0</v>
      </c>
      <c r="G6" s="13">
        <v>0</v>
      </c>
      <c r="H6" s="15">
        <v>4034.51</v>
      </c>
    </row>
    <row r="7" spans="1:9">
      <c r="A7" s="12">
        <v>40944</v>
      </c>
      <c r="B7" s="13">
        <v>0</v>
      </c>
      <c r="C7" s="13">
        <v>20</v>
      </c>
      <c r="D7" s="13">
        <v>0</v>
      </c>
      <c r="E7" s="14">
        <v>0</v>
      </c>
      <c r="F7" s="14">
        <v>0</v>
      </c>
      <c r="G7" s="13">
        <v>0</v>
      </c>
      <c r="H7" s="15">
        <v>4034.49</v>
      </c>
    </row>
    <row r="8" spans="1:9">
      <c r="A8" s="12">
        <v>40945</v>
      </c>
      <c r="B8" s="13">
        <v>0</v>
      </c>
      <c r="C8" s="13">
        <v>20</v>
      </c>
      <c r="D8" s="13">
        <v>0</v>
      </c>
      <c r="E8" s="14">
        <v>0</v>
      </c>
      <c r="F8" s="14">
        <v>0</v>
      </c>
      <c r="G8" s="13">
        <v>0</v>
      </c>
      <c r="H8" s="15">
        <v>4034.48</v>
      </c>
    </row>
    <row r="9" spans="1:9">
      <c r="A9" s="12">
        <v>40946</v>
      </c>
      <c r="B9" s="13">
        <v>0</v>
      </c>
      <c r="C9" s="13">
        <v>20</v>
      </c>
      <c r="D9" s="13">
        <v>0</v>
      </c>
      <c r="E9" s="14">
        <v>0</v>
      </c>
      <c r="F9" s="14">
        <v>0</v>
      </c>
      <c r="G9" s="13">
        <v>0</v>
      </c>
      <c r="H9" s="15">
        <v>4034.47</v>
      </c>
    </row>
    <row r="10" spans="1:9">
      <c r="A10" s="12">
        <v>40947</v>
      </c>
      <c r="B10" s="13">
        <v>0</v>
      </c>
      <c r="C10" s="13">
        <v>20</v>
      </c>
      <c r="D10" s="13">
        <v>0</v>
      </c>
      <c r="E10" s="14">
        <v>0.06</v>
      </c>
      <c r="F10" s="14">
        <v>0</v>
      </c>
      <c r="G10" s="13">
        <v>0</v>
      </c>
      <c r="H10" s="15">
        <v>4034.46</v>
      </c>
    </row>
    <row r="11" spans="1:9">
      <c r="A11" s="12">
        <v>40948</v>
      </c>
      <c r="B11" s="13">
        <v>0</v>
      </c>
      <c r="C11" s="13">
        <v>20</v>
      </c>
      <c r="D11" s="13">
        <v>0</v>
      </c>
      <c r="E11" s="14">
        <v>0.01</v>
      </c>
      <c r="F11" s="14">
        <v>0</v>
      </c>
      <c r="G11" s="13">
        <v>0</v>
      </c>
      <c r="H11" s="15">
        <v>4034.46</v>
      </c>
    </row>
    <row r="12" spans="1:9">
      <c r="A12" s="12">
        <v>40949</v>
      </c>
      <c r="B12" s="13">
        <v>0</v>
      </c>
      <c r="C12" s="13">
        <v>20</v>
      </c>
      <c r="D12" s="13">
        <v>0</v>
      </c>
      <c r="E12" s="14">
        <v>0</v>
      </c>
      <c r="F12" s="14">
        <v>0</v>
      </c>
      <c r="G12" s="13">
        <v>0</v>
      </c>
      <c r="H12" s="15">
        <v>4034.45</v>
      </c>
    </row>
    <row r="13" spans="1:9">
      <c r="A13" s="12">
        <v>40950</v>
      </c>
      <c r="B13" s="13">
        <v>0</v>
      </c>
      <c r="C13" s="13">
        <v>20</v>
      </c>
      <c r="D13" s="13">
        <v>0</v>
      </c>
      <c r="E13" s="14">
        <v>0.02</v>
      </c>
      <c r="F13" s="14">
        <v>0</v>
      </c>
      <c r="G13" s="13">
        <v>0</v>
      </c>
      <c r="H13" s="15">
        <v>4034.45</v>
      </c>
    </row>
    <row r="14" spans="1:9">
      <c r="A14" s="12">
        <v>40951</v>
      </c>
      <c r="B14" s="13">
        <v>0</v>
      </c>
      <c r="C14" s="13">
        <v>20</v>
      </c>
      <c r="D14" s="13">
        <v>0</v>
      </c>
      <c r="E14" s="14">
        <v>0</v>
      </c>
      <c r="F14" s="14">
        <v>0</v>
      </c>
      <c r="G14" s="13">
        <v>0</v>
      </c>
      <c r="H14" s="15">
        <v>4034.44</v>
      </c>
    </row>
    <row r="15" spans="1:9">
      <c r="A15" s="12">
        <v>40952</v>
      </c>
      <c r="B15" s="13">
        <v>0</v>
      </c>
      <c r="C15" s="25">
        <v>38</v>
      </c>
      <c r="D15" s="13">
        <v>0</v>
      </c>
      <c r="E15" s="26">
        <v>0.28999999999999998</v>
      </c>
      <c r="F15" s="26">
        <v>3</v>
      </c>
      <c r="G15" s="13">
        <v>0</v>
      </c>
      <c r="H15" s="27">
        <v>4034.42</v>
      </c>
    </row>
    <row r="16" spans="1:9">
      <c r="A16" s="12">
        <v>40953</v>
      </c>
      <c r="B16" s="13">
        <v>0</v>
      </c>
      <c r="C16" s="25">
        <v>44</v>
      </c>
      <c r="D16" s="13">
        <v>0</v>
      </c>
      <c r="E16" s="26">
        <v>0.01</v>
      </c>
      <c r="F16" s="26" t="s">
        <v>37</v>
      </c>
      <c r="G16" s="13">
        <v>0</v>
      </c>
      <c r="H16" s="27">
        <v>4034.42</v>
      </c>
    </row>
    <row r="17" spans="1:9">
      <c r="A17" s="12">
        <v>40954</v>
      </c>
      <c r="B17" s="13">
        <v>0</v>
      </c>
      <c r="C17" s="25">
        <v>34</v>
      </c>
      <c r="D17" s="13">
        <v>0</v>
      </c>
      <c r="E17" s="26">
        <v>0.01</v>
      </c>
      <c r="F17" s="26">
        <v>0</v>
      </c>
      <c r="G17" s="13">
        <v>0</v>
      </c>
      <c r="H17" s="27">
        <v>4034.41</v>
      </c>
    </row>
    <row r="18" spans="1:9">
      <c r="A18" s="12">
        <v>40955</v>
      </c>
      <c r="B18" s="13">
        <v>0</v>
      </c>
      <c r="C18" s="25">
        <v>30</v>
      </c>
      <c r="D18" s="13">
        <v>0</v>
      </c>
      <c r="E18" s="26">
        <v>0.01</v>
      </c>
      <c r="F18" s="26">
        <v>0</v>
      </c>
      <c r="G18" s="13">
        <v>0</v>
      </c>
      <c r="H18" s="27">
        <v>4034.4</v>
      </c>
    </row>
    <row r="19" spans="1:9">
      <c r="A19" s="12">
        <v>40956</v>
      </c>
      <c r="B19" s="13">
        <v>0</v>
      </c>
      <c r="C19" s="25">
        <v>30</v>
      </c>
      <c r="D19" s="13">
        <v>0</v>
      </c>
      <c r="E19" s="26">
        <v>0</v>
      </c>
      <c r="F19" s="26">
        <v>0</v>
      </c>
      <c r="G19" s="13">
        <v>0</v>
      </c>
      <c r="H19" s="27">
        <v>4034.4</v>
      </c>
    </row>
    <row r="20" spans="1:9">
      <c r="A20" s="12">
        <v>40957</v>
      </c>
      <c r="B20" s="13">
        <v>0</v>
      </c>
      <c r="C20" s="25">
        <v>30</v>
      </c>
      <c r="D20" s="13">
        <v>0</v>
      </c>
      <c r="E20" s="26">
        <v>0.01</v>
      </c>
      <c r="F20" s="26">
        <v>0</v>
      </c>
      <c r="G20" s="13">
        <v>0</v>
      </c>
      <c r="H20" s="27">
        <v>4034.4</v>
      </c>
    </row>
    <row r="21" spans="1:9">
      <c r="A21" s="12">
        <v>40958</v>
      </c>
      <c r="B21" s="13">
        <v>0</v>
      </c>
      <c r="C21" s="25">
        <v>30</v>
      </c>
      <c r="D21" s="13">
        <v>0</v>
      </c>
      <c r="E21" s="26">
        <v>0</v>
      </c>
      <c r="F21" s="26">
        <v>0</v>
      </c>
      <c r="G21" s="13">
        <v>0</v>
      </c>
      <c r="H21" s="27">
        <v>4034.4</v>
      </c>
    </row>
    <row r="22" spans="1:9">
      <c r="A22" s="12">
        <v>40959</v>
      </c>
      <c r="B22" s="13">
        <v>0</v>
      </c>
      <c r="C22" s="25">
        <v>30</v>
      </c>
      <c r="D22" s="13">
        <v>0</v>
      </c>
      <c r="E22" s="26">
        <v>0.08</v>
      </c>
      <c r="F22" s="26">
        <v>1</v>
      </c>
      <c r="G22" s="13">
        <v>0</v>
      </c>
      <c r="H22" s="27">
        <v>4034.4</v>
      </c>
    </row>
    <row r="23" spans="1:9">
      <c r="A23" s="12">
        <v>40960</v>
      </c>
      <c r="B23" s="13">
        <v>0</v>
      </c>
      <c r="C23" s="25">
        <v>30</v>
      </c>
      <c r="D23" s="13">
        <v>0</v>
      </c>
      <c r="E23" s="26">
        <v>0.01</v>
      </c>
      <c r="F23" s="26">
        <v>0</v>
      </c>
      <c r="G23" s="13">
        <v>0</v>
      </c>
      <c r="H23" s="27">
        <v>4034.4</v>
      </c>
    </row>
    <row r="24" spans="1:9">
      <c r="A24" s="12">
        <v>40961</v>
      </c>
      <c r="B24" s="13">
        <v>0</v>
      </c>
      <c r="C24" s="25">
        <v>30</v>
      </c>
      <c r="D24" s="13">
        <v>0</v>
      </c>
      <c r="E24" s="26">
        <v>0.01</v>
      </c>
      <c r="F24" s="26">
        <v>0</v>
      </c>
      <c r="G24" s="13">
        <v>0</v>
      </c>
      <c r="H24" s="27">
        <v>4034.4</v>
      </c>
    </row>
    <row r="25" spans="1:9">
      <c r="A25" s="12">
        <v>40962</v>
      </c>
      <c r="B25" s="13">
        <v>0</v>
      </c>
      <c r="C25" s="25">
        <v>30</v>
      </c>
      <c r="D25" s="13">
        <v>0</v>
      </c>
      <c r="E25" s="26">
        <v>0</v>
      </c>
      <c r="F25" s="26">
        <v>0</v>
      </c>
      <c r="G25" s="13">
        <v>0</v>
      </c>
      <c r="H25" s="27">
        <v>4034.4</v>
      </c>
    </row>
    <row r="26" spans="1:9">
      <c r="A26" s="12">
        <v>40963</v>
      </c>
      <c r="B26" s="13">
        <v>0</v>
      </c>
      <c r="C26" s="25">
        <v>30</v>
      </c>
      <c r="D26" s="13">
        <v>0</v>
      </c>
      <c r="E26" s="26">
        <v>0</v>
      </c>
      <c r="F26" s="26">
        <v>0</v>
      </c>
      <c r="G26" s="13">
        <v>0</v>
      </c>
      <c r="H26" s="27">
        <v>4034.4</v>
      </c>
    </row>
    <row r="27" spans="1:9">
      <c r="A27" s="12">
        <v>40964</v>
      </c>
      <c r="B27" s="13">
        <v>0</v>
      </c>
      <c r="C27" s="25">
        <v>30</v>
      </c>
      <c r="D27" s="13">
        <v>0</v>
      </c>
      <c r="E27" s="26">
        <v>0.01</v>
      </c>
      <c r="F27" s="26" t="s">
        <v>37</v>
      </c>
      <c r="G27" s="13">
        <v>0</v>
      </c>
      <c r="H27" s="27">
        <v>4034.4</v>
      </c>
    </row>
    <row r="28" spans="1:9">
      <c r="A28" s="12">
        <v>40965</v>
      </c>
      <c r="B28" s="13">
        <v>0</v>
      </c>
      <c r="C28" s="25">
        <v>30</v>
      </c>
      <c r="D28" s="13">
        <v>0</v>
      </c>
      <c r="E28" s="26">
        <v>0</v>
      </c>
      <c r="F28" s="26">
        <v>0</v>
      </c>
      <c r="G28" s="13">
        <v>0</v>
      </c>
      <c r="H28" s="27">
        <v>4034.4</v>
      </c>
    </row>
    <row r="29" spans="1:9">
      <c r="A29" s="12">
        <v>40966</v>
      </c>
      <c r="B29" s="13">
        <v>0</v>
      </c>
      <c r="C29" s="25">
        <v>30</v>
      </c>
      <c r="D29" s="25">
        <v>0</v>
      </c>
      <c r="E29" s="26">
        <v>0</v>
      </c>
      <c r="F29" s="26">
        <v>0</v>
      </c>
      <c r="G29" s="13">
        <v>0</v>
      </c>
      <c r="H29" s="27">
        <v>4034.4</v>
      </c>
    </row>
    <row r="30" spans="1:9">
      <c r="A30" s="12">
        <v>40967</v>
      </c>
      <c r="B30" s="13">
        <v>0</v>
      </c>
      <c r="C30" s="25">
        <v>30</v>
      </c>
      <c r="D30" s="25">
        <v>0</v>
      </c>
      <c r="E30" s="26">
        <v>0</v>
      </c>
      <c r="F30" s="26">
        <v>0</v>
      </c>
      <c r="G30" s="13">
        <v>0</v>
      </c>
      <c r="H30" s="27">
        <v>4034.4</v>
      </c>
    </row>
    <row r="31" spans="1:9" ht="15.75" thickBot="1">
      <c r="A31" s="12">
        <v>40968</v>
      </c>
      <c r="B31" s="13">
        <v>0</v>
      </c>
      <c r="C31" s="13">
        <v>24</v>
      </c>
      <c r="D31" s="13">
        <v>0</v>
      </c>
      <c r="E31" s="14">
        <v>0.02</v>
      </c>
      <c r="F31" s="14">
        <v>1</v>
      </c>
      <c r="G31" s="13">
        <v>0</v>
      </c>
      <c r="H31" s="27">
        <v>4034.4</v>
      </c>
    </row>
    <row r="32" spans="1:9" s="11" customFormat="1" ht="15.75" thickTop="1">
      <c r="A32" s="16" t="s">
        <v>8</v>
      </c>
      <c r="B32" s="17">
        <f t="shared" ref="B32:G32" si="0">SUM(B3:B31)</f>
        <v>0</v>
      </c>
      <c r="C32" s="17">
        <f t="shared" si="0"/>
        <v>770</v>
      </c>
      <c r="D32" s="17">
        <f t="shared" si="0"/>
        <v>0</v>
      </c>
      <c r="E32" s="18">
        <f t="shared" si="0"/>
        <v>0.6</v>
      </c>
      <c r="F32" s="18">
        <f t="shared" si="0"/>
        <v>5</v>
      </c>
      <c r="G32" s="17">
        <f t="shared" si="0"/>
        <v>0</v>
      </c>
      <c r="H32" s="18"/>
      <c r="I32"/>
    </row>
    <row r="33" spans="1:15" s="11" customFormat="1">
      <c r="A33" s="19" t="s">
        <v>9</v>
      </c>
      <c r="B33" s="20">
        <f>SUM(B32+'Jan 2012'!B35)</f>
        <v>1523</v>
      </c>
      <c r="C33" s="20">
        <f>SUM(C32+'Jan 2012'!C35)</f>
        <v>3003</v>
      </c>
      <c r="D33" s="20">
        <f>SUM(D32+'Jan 2012'!D35)</f>
        <v>5200</v>
      </c>
      <c r="E33" s="21">
        <f>SUM(E32+'Jan 2012'!E35)</f>
        <v>2.46</v>
      </c>
      <c r="F33" s="21">
        <f>SUM(F32+'Jan 2012'!F35)</f>
        <v>7</v>
      </c>
      <c r="G33" s="20">
        <f>SUM(G32+'Jan 2012'!G35)</f>
        <v>11498</v>
      </c>
      <c r="H33" s="21"/>
      <c r="I33"/>
    </row>
    <row r="35" spans="1:15">
      <c r="A35" t="s">
        <v>10</v>
      </c>
      <c r="B35" s="23">
        <f>SUM(B3:B31)*1.9835</f>
        <v>0</v>
      </c>
      <c r="C35" s="23">
        <f>SUM(C3:C31)*1.9835</f>
        <v>1527.2950000000001</v>
      </c>
      <c r="D35" s="23">
        <f>SUM(D3:D31)*1.9835</f>
        <v>0</v>
      </c>
      <c r="E35" s="23"/>
      <c r="F35" s="23"/>
      <c r="G35" s="23"/>
      <c r="I35" s="22"/>
    </row>
    <row r="37" spans="1:15">
      <c r="A37" t="s">
        <v>24</v>
      </c>
      <c r="B37" s="23">
        <f>SUM(B35+'Jan 2012'!B39)</f>
        <v>1916.0610000000001</v>
      </c>
      <c r="C37" s="23">
        <f>SUM(C35+'Jan 2012'!C39)</f>
        <v>4371.634</v>
      </c>
      <c r="D37" s="23">
        <f>SUM(D35+'Jan 2012'!D39)</f>
        <v>3223.1875</v>
      </c>
      <c r="E37" s="23"/>
      <c r="F37" s="23"/>
      <c r="G37" s="23"/>
      <c r="I37" s="22"/>
    </row>
    <row r="38" spans="1:15">
      <c r="B38" s="23"/>
      <c r="C38" s="23"/>
      <c r="D38" s="24"/>
      <c r="E38" s="23"/>
      <c r="F38" s="23"/>
      <c r="G38" s="23"/>
      <c r="I38" s="22"/>
    </row>
    <row r="39" spans="1:15" ht="17.45" customHeight="1">
      <c r="A39" s="114"/>
      <c r="B39" s="114"/>
      <c r="C39" s="114"/>
      <c r="D39" s="114"/>
      <c r="E39" s="114"/>
      <c r="F39" s="115"/>
      <c r="G39" s="116" t="s">
        <v>12</v>
      </c>
      <c r="H39" s="117"/>
      <c r="I39" s="30"/>
      <c r="J39" s="30"/>
      <c r="K39" s="30"/>
      <c r="L39" s="30"/>
      <c r="M39" s="30"/>
      <c r="N39" s="31"/>
      <c r="O39" s="30"/>
    </row>
    <row r="40" spans="1:15" ht="16.899999999999999" customHeight="1">
      <c r="A40" s="29"/>
      <c r="B40" s="29"/>
      <c r="C40" s="29"/>
      <c r="D40" s="29"/>
      <c r="E40" s="29"/>
      <c r="F40" s="29"/>
      <c r="G40" s="116"/>
      <c r="H40" s="117"/>
      <c r="I40" s="30"/>
      <c r="J40" s="30"/>
      <c r="K40" s="30"/>
      <c r="L40" s="30"/>
      <c r="M40" s="30"/>
      <c r="N40" s="31"/>
      <c r="O40" s="30"/>
    </row>
    <row r="41" spans="1:15" ht="13.9" customHeight="1">
      <c r="A41" s="119" t="s">
        <v>23</v>
      </c>
      <c r="B41" s="119"/>
      <c r="C41" s="119"/>
      <c r="D41" s="119"/>
      <c r="E41" s="119"/>
      <c r="F41" s="119"/>
      <c r="G41" s="119"/>
      <c r="H41" s="119"/>
      <c r="I41" s="119"/>
      <c r="J41" s="119"/>
      <c r="K41" s="32"/>
      <c r="L41" s="32"/>
      <c r="M41" s="32"/>
      <c r="N41" s="33"/>
      <c r="O41" s="34"/>
    </row>
    <row r="42" spans="1:15" ht="15.6" customHeight="1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15" customHeight="1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.75" thickBot="1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6.25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75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.75" thickBot="1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>
      <c r="A56" s="120" t="s">
        <v>21</v>
      </c>
      <c r="B56" s="121"/>
      <c r="C56" s="122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8"/>
  <sheetViews>
    <sheetView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F35" sqref="F35"/>
    </sheetView>
  </sheetViews>
  <sheetFormatPr defaultRowHeight="1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12">
        <v>40909</v>
      </c>
      <c r="B3" s="25">
        <v>0</v>
      </c>
      <c r="C3" s="25">
        <v>15</v>
      </c>
      <c r="D3" s="25">
        <v>0</v>
      </c>
      <c r="E3" s="26">
        <v>0</v>
      </c>
      <c r="F3" s="26">
        <v>0</v>
      </c>
      <c r="G3" s="25">
        <v>0</v>
      </c>
      <c r="H3" s="27">
        <v>4034.5</v>
      </c>
    </row>
    <row r="4" spans="1:9">
      <c r="A4" s="12">
        <v>40910</v>
      </c>
      <c r="B4" s="25">
        <v>0</v>
      </c>
      <c r="C4" s="25">
        <v>15</v>
      </c>
      <c r="D4" s="25">
        <v>0</v>
      </c>
      <c r="E4" s="26">
        <v>0</v>
      </c>
      <c r="F4" s="26">
        <v>0</v>
      </c>
      <c r="G4" s="25">
        <v>0</v>
      </c>
      <c r="H4" s="27">
        <v>4034.5</v>
      </c>
    </row>
    <row r="5" spans="1:9">
      <c r="A5" s="12">
        <v>40911</v>
      </c>
      <c r="B5" s="25">
        <v>0</v>
      </c>
      <c r="C5" s="25">
        <v>15</v>
      </c>
      <c r="D5" s="25">
        <v>0</v>
      </c>
      <c r="E5" s="26">
        <v>0</v>
      </c>
      <c r="F5" s="26">
        <v>0</v>
      </c>
      <c r="G5" s="25">
        <v>0</v>
      </c>
      <c r="H5" s="27">
        <v>4034.5</v>
      </c>
    </row>
    <row r="6" spans="1:9">
      <c r="A6" s="12">
        <v>40912</v>
      </c>
      <c r="B6" s="25">
        <v>0</v>
      </c>
      <c r="C6" s="25">
        <v>15</v>
      </c>
      <c r="D6" s="25">
        <v>0</v>
      </c>
      <c r="E6" s="26">
        <v>0</v>
      </c>
      <c r="F6" s="26">
        <v>0</v>
      </c>
      <c r="G6" s="25">
        <v>0</v>
      </c>
      <c r="H6" s="27">
        <v>4034.51</v>
      </c>
    </row>
    <row r="7" spans="1:9">
      <c r="A7" s="12">
        <v>40913</v>
      </c>
      <c r="B7" s="25">
        <v>0</v>
      </c>
      <c r="C7" s="25">
        <v>15</v>
      </c>
      <c r="D7" s="25">
        <v>0</v>
      </c>
      <c r="E7" s="26">
        <v>0</v>
      </c>
      <c r="F7" s="26">
        <v>0</v>
      </c>
      <c r="G7" s="25">
        <v>0</v>
      </c>
      <c r="H7" s="27">
        <v>4034.5</v>
      </c>
    </row>
    <row r="8" spans="1:9">
      <c r="A8" s="12">
        <v>40914</v>
      </c>
      <c r="B8" s="25">
        <v>0</v>
      </c>
      <c r="C8" s="25">
        <v>15</v>
      </c>
      <c r="D8" s="25">
        <v>0</v>
      </c>
      <c r="E8" s="14" t="s">
        <v>36</v>
      </c>
      <c r="F8" s="26">
        <v>0</v>
      </c>
      <c r="G8" s="25">
        <v>0</v>
      </c>
      <c r="H8" s="27">
        <v>4034.5</v>
      </c>
    </row>
    <row r="9" spans="1:9">
      <c r="A9" s="12">
        <v>40915</v>
      </c>
      <c r="B9" s="25">
        <v>0</v>
      </c>
      <c r="C9" s="25">
        <v>15</v>
      </c>
      <c r="D9" s="25">
        <v>0</v>
      </c>
      <c r="E9" s="14">
        <v>0</v>
      </c>
      <c r="F9" s="26">
        <v>0</v>
      </c>
      <c r="G9" s="25">
        <v>0</v>
      </c>
      <c r="H9" s="27">
        <v>4034.5</v>
      </c>
    </row>
    <row r="10" spans="1:9">
      <c r="A10" s="12">
        <v>40916</v>
      </c>
      <c r="B10" s="25">
        <v>0</v>
      </c>
      <c r="C10" s="25">
        <v>15</v>
      </c>
      <c r="D10" s="25">
        <v>0</v>
      </c>
      <c r="E10" s="14">
        <v>0</v>
      </c>
      <c r="F10" s="26">
        <v>0</v>
      </c>
      <c r="G10" s="25">
        <v>0</v>
      </c>
      <c r="H10" s="27">
        <v>4034.5</v>
      </c>
    </row>
    <row r="11" spans="1:9">
      <c r="A11" s="12">
        <v>40917</v>
      </c>
      <c r="B11" s="25">
        <v>0</v>
      </c>
      <c r="C11" s="25">
        <v>15</v>
      </c>
      <c r="D11" s="25">
        <v>0</v>
      </c>
      <c r="E11" s="14">
        <v>0</v>
      </c>
      <c r="F11" s="26">
        <v>0</v>
      </c>
      <c r="G11" s="25">
        <v>0</v>
      </c>
      <c r="H11" s="27">
        <v>4034.5</v>
      </c>
    </row>
    <row r="12" spans="1:9">
      <c r="A12" s="12">
        <v>40918</v>
      </c>
      <c r="B12" s="25">
        <v>0</v>
      </c>
      <c r="C12" s="25">
        <v>15</v>
      </c>
      <c r="D12" s="25">
        <v>0</v>
      </c>
      <c r="E12" s="14">
        <v>0</v>
      </c>
      <c r="F12" s="26">
        <v>0</v>
      </c>
      <c r="G12" s="25">
        <v>0</v>
      </c>
      <c r="H12" s="27">
        <v>4034.5</v>
      </c>
    </row>
    <row r="13" spans="1:9">
      <c r="A13" s="12">
        <v>40919</v>
      </c>
      <c r="B13" s="25">
        <v>0</v>
      </c>
      <c r="C13" s="25">
        <v>15</v>
      </c>
      <c r="D13" s="25">
        <v>0</v>
      </c>
      <c r="E13" s="14">
        <v>0</v>
      </c>
      <c r="F13" s="26">
        <v>0</v>
      </c>
      <c r="G13" s="25">
        <v>0</v>
      </c>
      <c r="H13" s="27">
        <v>4034.5</v>
      </c>
    </row>
    <row r="14" spans="1:9">
      <c r="A14" s="12">
        <v>40920</v>
      </c>
      <c r="B14" s="25">
        <v>0</v>
      </c>
      <c r="C14" s="25">
        <v>15</v>
      </c>
      <c r="D14" s="25">
        <v>0</v>
      </c>
      <c r="E14" s="14">
        <v>0</v>
      </c>
      <c r="F14" s="26">
        <v>0</v>
      </c>
      <c r="G14" s="25">
        <v>0</v>
      </c>
      <c r="H14" s="27">
        <v>4034.5</v>
      </c>
    </row>
    <row r="15" spans="1:9">
      <c r="A15" s="12">
        <v>40921</v>
      </c>
      <c r="B15" s="25">
        <v>0</v>
      </c>
      <c r="C15" s="25">
        <v>15</v>
      </c>
      <c r="D15" s="25">
        <v>0</v>
      </c>
      <c r="E15" s="14">
        <v>0</v>
      </c>
      <c r="F15" s="26">
        <v>0</v>
      </c>
      <c r="G15" s="25">
        <v>0</v>
      </c>
      <c r="H15" s="27">
        <v>4034.5</v>
      </c>
    </row>
    <row r="16" spans="1:9">
      <c r="A16" s="12">
        <v>40922</v>
      </c>
      <c r="B16" s="25">
        <v>0</v>
      </c>
      <c r="C16" s="25">
        <v>15</v>
      </c>
      <c r="D16" s="25">
        <v>0</v>
      </c>
      <c r="E16" s="14">
        <v>0</v>
      </c>
      <c r="F16" s="26">
        <v>0</v>
      </c>
      <c r="G16" s="25">
        <v>0</v>
      </c>
      <c r="H16" s="27">
        <v>4034.5</v>
      </c>
    </row>
    <row r="17" spans="1:8">
      <c r="A17" s="12">
        <v>40923</v>
      </c>
      <c r="B17" s="25">
        <v>0</v>
      </c>
      <c r="C17" s="25">
        <v>15</v>
      </c>
      <c r="D17" s="25">
        <v>0</v>
      </c>
      <c r="E17" s="14">
        <v>0</v>
      </c>
      <c r="F17" s="26">
        <v>0</v>
      </c>
      <c r="G17" s="25">
        <v>0</v>
      </c>
      <c r="H17" s="27">
        <v>4034.5</v>
      </c>
    </row>
    <row r="18" spans="1:8">
      <c r="A18" s="12">
        <v>40924</v>
      </c>
      <c r="B18" s="25">
        <v>0</v>
      </c>
      <c r="C18" s="25">
        <v>15</v>
      </c>
      <c r="D18" s="25">
        <v>0</v>
      </c>
      <c r="E18" s="14" t="s">
        <v>36</v>
      </c>
      <c r="F18" s="26">
        <v>0</v>
      </c>
      <c r="G18" s="25">
        <v>0</v>
      </c>
      <c r="H18" s="15">
        <v>4034.5</v>
      </c>
    </row>
    <row r="19" spans="1:8">
      <c r="A19" s="12">
        <v>40925</v>
      </c>
      <c r="B19" s="25">
        <v>0</v>
      </c>
      <c r="C19" s="25">
        <v>15</v>
      </c>
      <c r="D19" s="25">
        <v>0</v>
      </c>
      <c r="E19" s="14">
        <v>0</v>
      </c>
      <c r="F19" s="26">
        <v>0</v>
      </c>
      <c r="G19" s="25">
        <v>0</v>
      </c>
      <c r="H19" s="15">
        <v>4034.5</v>
      </c>
    </row>
    <row r="20" spans="1:8">
      <c r="A20" s="12">
        <v>40926</v>
      </c>
      <c r="B20" s="25">
        <v>0</v>
      </c>
      <c r="C20" s="25">
        <v>15</v>
      </c>
      <c r="D20" s="25">
        <v>0</v>
      </c>
      <c r="E20" s="14">
        <v>0</v>
      </c>
      <c r="F20" s="26">
        <v>0</v>
      </c>
      <c r="G20" s="25">
        <v>0</v>
      </c>
      <c r="H20" s="15">
        <v>4034.51</v>
      </c>
    </row>
    <row r="21" spans="1:8">
      <c r="A21" s="12">
        <v>40927</v>
      </c>
      <c r="B21" s="25">
        <v>0</v>
      </c>
      <c r="C21" s="25">
        <v>15</v>
      </c>
      <c r="D21" s="25">
        <v>0</v>
      </c>
      <c r="E21" s="14">
        <v>0.01</v>
      </c>
      <c r="F21" s="26">
        <v>0</v>
      </c>
      <c r="G21" s="25">
        <v>0</v>
      </c>
      <c r="H21" s="15">
        <v>4034.51</v>
      </c>
    </row>
    <row r="22" spans="1:8">
      <c r="A22" s="12">
        <v>40928</v>
      </c>
      <c r="B22" s="25">
        <v>0</v>
      </c>
      <c r="C22" s="25">
        <v>15</v>
      </c>
      <c r="D22" s="25">
        <v>0</v>
      </c>
      <c r="E22" s="14">
        <v>0.02</v>
      </c>
      <c r="F22" s="26">
        <v>0</v>
      </c>
      <c r="G22" s="25">
        <v>0</v>
      </c>
      <c r="H22" s="15">
        <v>4034.51</v>
      </c>
    </row>
    <row r="23" spans="1:8">
      <c r="A23" s="12">
        <v>40929</v>
      </c>
      <c r="B23" s="25">
        <v>0</v>
      </c>
      <c r="C23" s="13">
        <v>20</v>
      </c>
      <c r="D23" s="25">
        <v>0</v>
      </c>
      <c r="E23" s="14">
        <v>0.28000000000000003</v>
      </c>
      <c r="F23" s="14">
        <v>0</v>
      </c>
      <c r="G23" s="25">
        <v>0</v>
      </c>
      <c r="H23" s="15">
        <v>4034.52</v>
      </c>
    </row>
    <row r="24" spans="1:8">
      <c r="A24" s="12">
        <v>40930</v>
      </c>
      <c r="B24" s="25">
        <v>0</v>
      </c>
      <c r="C24" s="13">
        <v>30</v>
      </c>
      <c r="D24" s="25">
        <v>0</v>
      </c>
      <c r="E24" s="14">
        <v>0.02</v>
      </c>
      <c r="F24" s="14" t="s">
        <v>36</v>
      </c>
      <c r="G24" s="25">
        <v>0</v>
      </c>
      <c r="H24" s="15">
        <v>4034.52</v>
      </c>
    </row>
    <row r="25" spans="1:8">
      <c r="A25" s="12">
        <v>40931</v>
      </c>
      <c r="B25" s="25">
        <v>0</v>
      </c>
      <c r="C25" s="13">
        <v>30</v>
      </c>
      <c r="D25" s="25">
        <v>0</v>
      </c>
      <c r="E25" s="14">
        <v>0.08</v>
      </c>
      <c r="F25" s="14">
        <v>1</v>
      </c>
      <c r="G25" s="25">
        <v>0</v>
      </c>
      <c r="H25" s="15">
        <v>4034.53</v>
      </c>
    </row>
    <row r="26" spans="1:8">
      <c r="A26" s="12">
        <v>40932</v>
      </c>
      <c r="B26" s="25">
        <v>0</v>
      </c>
      <c r="C26" s="13">
        <v>30</v>
      </c>
      <c r="D26" s="25">
        <v>0</v>
      </c>
      <c r="E26" s="14">
        <v>0.05</v>
      </c>
      <c r="F26" s="14">
        <v>0.5</v>
      </c>
      <c r="G26" s="25">
        <v>0</v>
      </c>
      <c r="H26" s="15">
        <v>4034.54</v>
      </c>
    </row>
    <row r="27" spans="1:8">
      <c r="A27" s="12">
        <v>40933</v>
      </c>
      <c r="B27" s="25">
        <v>0</v>
      </c>
      <c r="C27" s="13">
        <v>30</v>
      </c>
      <c r="D27" s="25">
        <v>0</v>
      </c>
      <c r="E27" s="14">
        <v>0.06</v>
      </c>
      <c r="F27" s="14">
        <v>0</v>
      </c>
      <c r="G27" s="25">
        <v>0</v>
      </c>
      <c r="H27" s="15">
        <v>4034.55</v>
      </c>
    </row>
    <row r="28" spans="1:8">
      <c r="A28" s="12">
        <v>40934</v>
      </c>
      <c r="B28" s="25">
        <v>0</v>
      </c>
      <c r="C28" s="13">
        <v>34</v>
      </c>
      <c r="D28" s="25">
        <v>0</v>
      </c>
      <c r="E28" s="14">
        <v>0.18</v>
      </c>
      <c r="F28" s="14">
        <v>0</v>
      </c>
      <c r="G28" s="25">
        <v>0</v>
      </c>
      <c r="H28" s="15">
        <v>4034.55</v>
      </c>
    </row>
    <row r="29" spans="1:8">
      <c r="A29" s="12">
        <v>40935</v>
      </c>
      <c r="B29" s="25">
        <v>0</v>
      </c>
      <c r="C29" s="13">
        <v>40</v>
      </c>
      <c r="D29" s="25">
        <v>0</v>
      </c>
      <c r="E29" s="14">
        <v>0.01</v>
      </c>
      <c r="F29" s="14">
        <v>0</v>
      </c>
      <c r="G29" s="25">
        <v>0</v>
      </c>
      <c r="H29" s="15">
        <v>4034.55</v>
      </c>
    </row>
    <row r="30" spans="1:8">
      <c r="A30" s="12">
        <v>40936</v>
      </c>
      <c r="B30" s="25">
        <v>0</v>
      </c>
      <c r="C30" s="13">
        <v>40</v>
      </c>
      <c r="D30" s="25">
        <v>0</v>
      </c>
      <c r="E30" s="14">
        <v>0.01</v>
      </c>
      <c r="F30" s="14">
        <v>0</v>
      </c>
      <c r="G30" s="25">
        <v>0</v>
      </c>
      <c r="H30" s="15">
        <v>4034.55</v>
      </c>
    </row>
    <row r="31" spans="1:8">
      <c r="A31" s="12">
        <v>40937</v>
      </c>
      <c r="B31" s="25">
        <v>0</v>
      </c>
      <c r="C31" s="13">
        <v>34</v>
      </c>
      <c r="D31" s="25">
        <v>0</v>
      </c>
      <c r="E31" s="14">
        <v>0</v>
      </c>
      <c r="F31" s="14">
        <v>0</v>
      </c>
      <c r="G31" s="25">
        <v>0</v>
      </c>
      <c r="H31" s="15">
        <v>4034.56</v>
      </c>
    </row>
    <row r="32" spans="1:8">
      <c r="A32" s="12">
        <v>40938</v>
      </c>
      <c r="B32" s="13">
        <v>0</v>
      </c>
      <c r="C32" s="13">
        <v>30</v>
      </c>
      <c r="D32" s="13">
        <v>0</v>
      </c>
      <c r="E32" s="14">
        <v>0</v>
      </c>
      <c r="F32" s="14">
        <v>0</v>
      </c>
      <c r="G32" s="25">
        <v>0</v>
      </c>
      <c r="H32" s="15">
        <v>4034.57</v>
      </c>
    </row>
    <row r="33" spans="1:15" ht="15.75" thickBot="1">
      <c r="A33" s="12">
        <v>40939</v>
      </c>
      <c r="B33" s="13">
        <v>0</v>
      </c>
      <c r="C33" s="13">
        <v>26</v>
      </c>
      <c r="D33" s="13">
        <v>0</v>
      </c>
      <c r="E33" s="14">
        <v>0</v>
      </c>
      <c r="F33" s="14">
        <v>0</v>
      </c>
      <c r="G33" s="25">
        <v>0</v>
      </c>
      <c r="H33" s="15">
        <v>4034.56</v>
      </c>
    </row>
    <row r="34" spans="1:15" s="11" customFormat="1" ht="15.75" thickTop="1">
      <c r="A34" s="16" t="s">
        <v>8</v>
      </c>
      <c r="B34" s="17">
        <f t="shared" ref="B34:G34" si="0">SUM(B3:B33)</f>
        <v>0</v>
      </c>
      <c r="C34" s="17">
        <f t="shared" si="0"/>
        <v>644</v>
      </c>
      <c r="D34" s="17">
        <f t="shared" si="0"/>
        <v>0</v>
      </c>
      <c r="E34" s="18">
        <f t="shared" si="0"/>
        <v>0.72</v>
      </c>
      <c r="F34" s="18">
        <f t="shared" si="0"/>
        <v>1.5</v>
      </c>
      <c r="G34" s="17">
        <f t="shared" si="0"/>
        <v>0</v>
      </c>
      <c r="H34" s="18"/>
    </row>
    <row r="35" spans="1:15" s="11" customFormat="1">
      <c r="A35" s="19" t="s">
        <v>9</v>
      </c>
      <c r="B35" s="20">
        <f>SUM(B34+'Dec 2011'!B35)</f>
        <v>1523</v>
      </c>
      <c r="C35" s="20">
        <f>SUM(C34+'Dec 2011'!C35)</f>
        <v>2233</v>
      </c>
      <c r="D35" s="20">
        <f>SUM(D34+'Dec 2011'!D35)</f>
        <v>5200</v>
      </c>
      <c r="E35" s="21">
        <f>SUM(E34+'Dec 2011'!E35)</f>
        <v>1.8599999999999999</v>
      </c>
      <c r="F35" s="21">
        <f>SUM(F34+'Dec 2011'!F35)</f>
        <v>2</v>
      </c>
      <c r="G35" s="20">
        <f>SUM(G34+'Dec 2011'!G35)</f>
        <v>11498</v>
      </c>
      <c r="H35" s="21"/>
    </row>
    <row r="37" spans="1:15">
      <c r="A37" t="s">
        <v>10</v>
      </c>
      <c r="B37" s="23">
        <f>SUM(B3:B33)*1.9835</f>
        <v>0</v>
      </c>
      <c r="C37" s="23">
        <f>SUM(C3:C33)*1.9835</f>
        <v>1277.374</v>
      </c>
      <c r="D37" s="23">
        <f>SUM(D3:D33)*1.9835</f>
        <v>0</v>
      </c>
      <c r="E37" s="23"/>
      <c r="F37" s="23"/>
      <c r="G37" s="23"/>
      <c r="I37" s="22"/>
    </row>
    <row r="39" spans="1:15">
      <c r="A39" t="s">
        <v>24</v>
      </c>
      <c r="B39" s="23">
        <f>SUM(B37+'Dec 2011'!B39)</f>
        <v>1916.0610000000001</v>
      </c>
      <c r="C39" s="23">
        <f>SUM(C37+'Dec 2011'!C39)</f>
        <v>2844.3389999999999</v>
      </c>
      <c r="D39" s="23">
        <f>SUM(D37+'Dec 2011'!D39)</f>
        <v>3223.1875</v>
      </c>
      <c r="E39" s="23"/>
      <c r="F39" s="23"/>
      <c r="G39" s="23"/>
      <c r="I39" s="22"/>
    </row>
    <row r="40" spans="1:15">
      <c r="B40" s="23"/>
      <c r="C40" s="23"/>
      <c r="D40" s="24"/>
      <c r="E40" s="23"/>
      <c r="F40" s="23"/>
      <c r="G40" s="23"/>
      <c r="I40" s="22"/>
    </row>
    <row r="41" spans="1:15" ht="17.45" customHeight="1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0"/>
      <c r="N41" s="31"/>
      <c r="O41" s="30"/>
    </row>
    <row r="42" spans="1:15" ht="16.899999999999999" customHeight="1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0"/>
      <c r="N42" s="31"/>
      <c r="O42" s="30"/>
    </row>
    <row r="43" spans="1:15" ht="13.9" customHeight="1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2"/>
      <c r="L43" s="32"/>
      <c r="M43" s="32"/>
      <c r="N43" s="33"/>
      <c r="O43" s="34"/>
    </row>
    <row r="44" spans="1:15" ht="15.6" customHeight="1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8"/>
  <sheetViews>
    <sheetView topLeftCell="A13" workbookViewId="0">
      <selection activeCell="I33" sqref="I33"/>
    </sheetView>
  </sheetViews>
  <sheetFormatPr defaultRowHeight="1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>
      <c r="A3" s="12">
        <v>40878</v>
      </c>
      <c r="B3" s="25">
        <v>0</v>
      </c>
      <c r="C3" s="25">
        <v>20</v>
      </c>
      <c r="D3" s="25">
        <v>0</v>
      </c>
      <c r="E3" s="26">
        <v>0</v>
      </c>
      <c r="F3" s="26">
        <v>0</v>
      </c>
      <c r="G3" s="25">
        <v>0</v>
      </c>
      <c r="H3" s="27">
        <v>4034.44</v>
      </c>
    </row>
    <row r="4" spans="1:9">
      <c r="A4" s="12">
        <v>40879</v>
      </c>
      <c r="B4" s="25">
        <v>0</v>
      </c>
      <c r="C4" s="25">
        <v>20</v>
      </c>
      <c r="D4" s="25">
        <v>0</v>
      </c>
      <c r="E4" s="26">
        <v>0</v>
      </c>
      <c r="F4" s="26">
        <v>0</v>
      </c>
      <c r="G4" s="25">
        <v>0</v>
      </c>
      <c r="H4" s="27">
        <v>4034.45</v>
      </c>
    </row>
    <row r="5" spans="1:9">
      <c r="A5" s="12">
        <v>40880</v>
      </c>
      <c r="B5" s="25">
        <v>0</v>
      </c>
      <c r="C5" s="25">
        <v>20</v>
      </c>
      <c r="D5" s="25">
        <v>0</v>
      </c>
      <c r="E5" s="26">
        <v>0</v>
      </c>
      <c r="F5" s="26">
        <v>0</v>
      </c>
      <c r="G5" s="25">
        <v>0</v>
      </c>
      <c r="H5" s="27">
        <v>4034.46</v>
      </c>
    </row>
    <row r="6" spans="1:9">
      <c r="A6" s="12">
        <v>40881</v>
      </c>
      <c r="B6" s="25">
        <v>0</v>
      </c>
      <c r="C6" s="25">
        <v>20</v>
      </c>
      <c r="D6" s="25">
        <v>0</v>
      </c>
      <c r="E6" s="26">
        <v>0</v>
      </c>
      <c r="F6" s="26">
        <v>0</v>
      </c>
      <c r="G6" s="25">
        <v>0</v>
      </c>
      <c r="H6" s="27">
        <v>4034.47</v>
      </c>
    </row>
    <row r="7" spans="1:9">
      <c r="A7" s="12">
        <v>40882</v>
      </c>
      <c r="B7" s="25">
        <v>0</v>
      </c>
      <c r="C7" s="25">
        <v>17</v>
      </c>
      <c r="D7" s="25">
        <v>0</v>
      </c>
      <c r="E7" s="26">
        <v>0</v>
      </c>
      <c r="F7" s="26">
        <v>0</v>
      </c>
      <c r="G7" s="25">
        <v>0</v>
      </c>
      <c r="H7" s="27">
        <v>4034.48</v>
      </c>
    </row>
    <row r="8" spans="1:9">
      <c r="A8" s="12">
        <v>40883</v>
      </c>
      <c r="B8" s="25">
        <v>0</v>
      </c>
      <c r="C8" s="25">
        <v>15</v>
      </c>
      <c r="D8" s="25">
        <v>0</v>
      </c>
      <c r="E8" s="26">
        <v>0</v>
      </c>
      <c r="F8" s="26">
        <v>0</v>
      </c>
      <c r="G8" s="25">
        <v>0</v>
      </c>
      <c r="H8" s="27">
        <v>4034.48</v>
      </c>
    </row>
    <row r="9" spans="1:9">
      <c r="A9" s="12">
        <v>40884</v>
      </c>
      <c r="B9" s="25">
        <v>0</v>
      </c>
      <c r="C9" s="25">
        <v>15</v>
      </c>
      <c r="D9" s="25">
        <v>0</v>
      </c>
      <c r="E9" s="26">
        <v>0</v>
      </c>
      <c r="F9" s="26">
        <v>0</v>
      </c>
      <c r="G9" s="25">
        <v>0</v>
      </c>
      <c r="H9" s="27">
        <v>4034.48</v>
      </c>
    </row>
    <row r="10" spans="1:9">
      <c r="A10" s="12">
        <v>40885</v>
      </c>
      <c r="B10" s="25">
        <v>0</v>
      </c>
      <c r="C10" s="25">
        <v>15</v>
      </c>
      <c r="D10" s="25">
        <v>0</v>
      </c>
      <c r="E10" s="26">
        <v>0</v>
      </c>
      <c r="F10" s="26">
        <v>0</v>
      </c>
      <c r="G10" s="25">
        <v>0</v>
      </c>
      <c r="H10" s="27">
        <v>4034.48</v>
      </c>
    </row>
    <row r="11" spans="1:9">
      <c r="A11" s="12">
        <v>40886</v>
      </c>
      <c r="B11" s="25">
        <v>0</v>
      </c>
      <c r="C11" s="25">
        <v>15</v>
      </c>
      <c r="D11" s="25">
        <v>0</v>
      </c>
      <c r="E11" s="26">
        <v>0</v>
      </c>
      <c r="F11" s="26">
        <v>0</v>
      </c>
      <c r="G11" s="25">
        <v>0</v>
      </c>
      <c r="H11" s="27">
        <v>4034.48</v>
      </c>
    </row>
    <row r="12" spans="1:9">
      <c r="A12" s="12">
        <v>40887</v>
      </c>
      <c r="B12" s="25">
        <v>0</v>
      </c>
      <c r="C12" s="25">
        <v>15</v>
      </c>
      <c r="D12" s="25">
        <v>0</v>
      </c>
      <c r="E12" s="26">
        <v>0</v>
      </c>
      <c r="F12" s="26">
        <v>0</v>
      </c>
      <c r="G12" s="25">
        <v>0</v>
      </c>
      <c r="H12" s="27">
        <v>4034.48</v>
      </c>
    </row>
    <row r="13" spans="1:9">
      <c r="A13" s="12">
        <v>40888</v>
      </c>
      <c r="B13" s="25">
        <v>0</v>
      </c>
      <c r="C13" s="25">
        <v>15</v>
      </c>
      <c r="D13" s="25">
        <v>0</v>
      </c>
      <c r="E13" s="26">
        <v>0</v>
      </c>
      <c r="F13" s="26">
        <v>0</v>
      </c>
      <c r="G13" s="25">
        <v>0</v>
      </c>
      <c r="H13" s="27">
        <v>4034.48</v>
      </c>
    </row>
    <row r="14" spans="1:9">
      <c r="A14" s="12">
        <v>40889</v>
      </c>
      <c r="B14" s="25">
        <v>0</v>
      </c>
      <c r="C14" s="25">
        <v>15</v>
      </c>
      <c r="D14" s="25">
        <v>0</v>
      </c>
      <c r="E14" s="26">
        <v>0</v>
      </c>
      <c r="F14" s="26">
        <v>0</v>
      </c>
      <c r="G14" s="25">
        <v>0</v>
      </c>
      <c r="H14" s="27">
        <v>4034.48</v>
      </c>
    </row>
    <row r="15" spans="1:9">
      <c r="A15" s="12">
        <v>40890</v>
      </c>
      <c r="B15" s="25">
        <v>0</v>
      </c>
      <c r="C15" s="25">
        <v>15</v>
      </c>
      <c r="D15" s="25">
        <v>0</v>
      </c>
      <c r="E15" s="26">
        <v>0</v>
      </c>
      <c r="F15" s="26">
        <v>0</v>
      </c>
      <c r="G15" s="25">
        <v>0</v>
      </c>
      <c r="H15" s="27">
        <v>4034.48</v>
      </c>
    </row>
    <row r="16" spans="1:9">
      <c r="A16" s="12">
        <v>40891</v>
      </c>
      <c r="B16" s="25">
        <v>0</v>
      </c>
      <c r="C16" s="25">
        <v>15</v>
      </c>
      <c r="D16" s="25">
        <v>0</v>
      </c>
      <c r="E16" s="26">
        <v>0</v>
      </c>
      <c r="F16" s="26">
        <v>0</v>
      </c>
      <c r="G16" s="25">
        <v>0</v>
      </c>
      <c r="H16" s="27">
        <v>4034.48</v>
      </c>
    </row>
    <row r="17" spans="1:8">
      <c r="A17" s="12">
        <v>40892</v>
      </c>
      <c r="B17" s="25">
        <v>0</v>
      </c>
      <c r="C17" s="25">
        <v>15</v>
      </c>
      <c r="D17" s="25">
        <v>0</v>
      </c>
      <c r="E17" s="26">
        <v>0</v>
      </c>
      <c r="F17" s="26" t="s">
        <v>36</v>
      </c>
      <c r="G17" s="25">
        <v>0</v>
      </c>
      <c r="H17" s="27">
        <v>4034.48</v>
      </c>
    </row>
    <row r="18" spans="1:8">
      <c r="A18" s="12">
        <v>40893</v>
      </c>
      <c r="B18" s="25">
        <v>0</v>
      </c>
      <c r="C18" s="25">
        <v>15</v>
      </c>
      <c r="D18" s="25">
        <v>0</v>
      </c>
      <c r="E18" s="26">
        <v>0</v>
      </c>
      <c r="F18" s="26">
        <v>0</v>
      </c>
      <c r="G18" s="25">
        <v>0</v>
      </c>
      <c r="H18" s="27">
        <v>4034.48</v>
      </c>
    </row>
    <row r="19" spans="1:8">
      <c r="A19" s="12">
        <v>40894</v>
      </c>
      <c r="B19" s="25">
        <v>0</v>
      </c>
      <c r="C19" s="25">
        <v>15</v>
      </c>
      <c r="D19" s="25">
        <v>0</v>
      </c>
      <c r="E19" s="26">
        <v>0</v>
      </c>
      <c r="F19" s="26">
        <v>0</v>
      </c>
      <c r="G19" s="25">
        <v>0</v>
      </c>
      <c r="H19" s="27">
        <v>4034.48</v>
      </c>
    </row>
    <row r="20" spans="1:8">
      <c r="A20" s="12">
        <v>40895</v>
      </c>
      <c r="B20" s="25">
        <v>0</v>
      </c>
      <c r="C20" s="25">
        <v>15</v>
      </c>
      <c r="D20" s="25">
        <v>0</v>
      </c>
      <c r="E20" s="26">
        <v>0</v>
      </c>
      <c r="F20" s="26">
        <v>0</v>
      </c>
      <c r="G20" s="25">
        <v>0</v>
      </c>
      <c r="H20" s="27">
        <v>4034.48</v>
      </c>
    </row>
    <row r="21" spans="1:8">
      <c r="A21" s="12">
        <v>40896</v>
      </c>
      <c r="B21" s="25">
        <v>0</v>
      </c>
      <c r="C21" s="25">
        <v>15</v>
      </c>
      <c r="D21" s="25">
        <v>0</v>
      </c>
      <c r="E21" s="26">
        <v>0</v>
      </c>
      <c r="F21" s="26">
        <v>0</v>
      </c>
      <c r="G21" s="25">
        <v>0</v>
      </c>
      <c r="H21" s="27">
        <v>4034.48</v>
      </c>
    </row>
    <row r="22" spans="1:8">
      <c r="A22" s="12">
        <v>40897</v>
      </c>
      <c r="B22" s="25">
        <v>0</v>
      </c>
      <c r="C22" s="25">
        <v>15</v>
      </c>
      <c r="D22" s="25">
        <v>0</v>
      </c>
      <c r="E22" s="26">
        <v>0</v>
      </c>
      <c r="F22" s="26">
        <v>0</v>
      </c>
      <c r="G22" s="25">
        <v>0</v>
      </c>
      <c r="H22" s="27">
        <v>4034.48</v>
      </c>
    </row>
    <row r="23" spans="1:8">
      <c r="A23" s="12">
        <v>40898</v>
      </c>
      <c r="B23" s="25">
        <v>0</v>
      </c>
      <c r="C23" s="25">
        <v>15</v>
      </c>
      <c r="D23" s="25">
        <v>0</v>
      </c>
      <c r="E23" s="26">
        <v>0</v>
      </c>
      <c r="F23" s="26">
        <v>0</v>
      </c>
      <c r="G23" s="25">
        <v>0</v>
      </c>
      <c r="H23" s="27">
        <v>4034.48</v>
      </c>
    </row>
    <row r="24" spans="1:8">
      <c r="A24" s="12">
        <v>40899</v>
      </c>
      <c r="B24" s="25">
        <v>0</v>
      </c>
      <c r="C24" s="25">
        <v>15</v>
      </c>
      <c r="D24" s="25">
        <v>0</v>
      </c>
      <c r="E24" s="26">
        <v>0</v>
      </c>
      <c r="F24" s="26">
        <v>0</v>
      </c>
      <c r="G24" s="25">
        <v>0</v>
      </c>
      <c r="H24" s="27">
        <v>4034.48</v>
      </c>
    </row>
    <row r="25" spans="1:8">
      <c r="A25" s="12">
        <v>40900</v>
      </c>
      <c r="B25" s="25">
        <v>0</v>
      </c>
      <c r="C25" s="25">
        <v>15</v>
      </c>
      <c r="D25" s="25">
        <v>0</v>
      </c>
      <c r="E25" s="26">
        <v>0</v>
      </c>
      <c r="F25" s="26">
        <v>0</v>
      </c>
      <c r="G25" s="25">
        <v>0</v>
      </c>
      <c r="H25" s="27">
        <v>4034.48</v>
      </c>
    </row>
    <row r="26" spans="1:8">
      <c r="A26" s="12">
        <v>40901</v>
      </c>
      <c r="B26" s="25">
        <v>0</v>
      </c>
      <c r="C26" s="25">
        <v>15</v>
      </c>
      <c r="D26" s="25">
        <v>0</v>
      </c>
      <c r="E26" s="26">
        <v>0</v>
      </c>
      <c r="F26" s="26">
        <v>0</v>
      </c>
      <c r="G26" s="25">
        <v>0</v>
      </c>
      <c r="H26" s="27">
        <v>4034.48</v>
      </c>
    </row>
    <row r="27" spans="1:8">
      <c r="A27" s="12">
        <v>40902</v>
      </c>
      <c r="B27" s="25">
        <v>0</v>
      </c>
      <c r="C27" s="25">
        <v>15</v>
      </c>
      <c r="D27" s="25">
        <v>0</v>
      </c>
      <c r="E27" s="26">
        <v>0</v>
      </c>
      <c r="F27" s="26">
        <v>0</v>
      </c>
      <c r="G27" s="25">
        <v>0</v>
      </c>
      <c r="H27" s="27">
        <v>4034.48</v>
      </c>
    </row>
    <row r="28" spans="1:8">
      <c r="A28" s="12">
        <v>40903</v>
      </c>
      <c r="B28" s="25">
        <v>0</v>
      </c>
      <c r="C28" s="25">
        <v>15</v>
      </c>
      <c r="D28" s="25">
        <v>0</v>
      </c>
      <c r="E28" s="26">
        <v>0</v>
      </c>
      <c r="F28" s="26">
        <v>0</v>
      </c>
      <c r="G28" s="25">
        <v>0</v>
      </c>
      <c r="H28" s="27">
        <v>4034.48</v>
      </c>
    </row>
    <row r="29" spans="1:8">
      <c r="A29" s="12">
        <v>40904</v>
      </c>
      <c r="B29" s="25">
        <v>0</v>
      </c>
      <c r="C29" s="25">
        <v>15</v>
      </c>
      <c r="D29" s="25">
        <v>0</v>
      </c>
      <c r="E29" s="26" t="s">
        <v>36</v>
      </c>
      <c r="F29" s="26">
        <v>0</v>
      </c>
      <c r="G29" s="25">
        <v>0</v>
      </c>
      <c r="H29" s="27">
        <v>4034.48</v>
      </c>
    </row>
    <row r="30" spans="1:8">
      <c r="A30" s="12">
        <v>40905</v>
      </c>
      <c r="B30" s="25">
        <v>0</v>
      </c>
      <c r="C30" s="25">
        <v>15</v>
      </c>
      <c r="D30" s="25">
        <v>0</v>
      </c>
      <c r="E30" s="26">
        <v>0.06</v>
      </c>
      <c r="F30" s="26">
        <v>0</v>
      </c>
      <c r="G30" s="25">
        <v>0</v>
      </c>
      <c r="H30" s="27">
        <v>4034.48</v>
      </c>
    </row>
    <row r="31" spans="1:8">
      <c r="A31" s="12">
        <v>40906</v>
      </c>
      <c r="B31" s="25">
        <v>0</v>
      </c>
      <c r="C31" s="25">
        <v>15</v>
      </c>
      <c r="D31" s="25">
        <v>0</v>
      </c>
      <c r="E31" s="26">
        <v>0</v>
      </c>
      <c r="F31" s="26">
        <v>0</v>
      </c>
      <c r="G31" s="25">
        <v>0</v>
      </c>
      <c r="H31" s="27">
        <v>4034.49</v>
      </c>
    </row>
    <row r="32" spans="1:8">
      <c r="A32" s="12">
        <v>40907</v>
      </c>
      <c r="B32" s="25">
        <v>0</v>
      </c>
      <c r="C32" s="25">
        <v>15</v>
      </c>
      <c r="D32" s="25">
        <v>0</v>
      </c>
      <c r="E32" s="26">
        <v>0.16</v>
      </c>
      <c r="F32" s="26">
        <v>0</v>
      </c>
      <c r="G32" s="25">
        <v>0</v>
      </c>
      <c r="H32" s="27">
        <v>4034.5</v>
      </c>
    </row>
    <row r="33" spans="1:15" ht="15.75" thickBot="1">
      <c r="A33" s="12">
        <v>40908</v>
      </c>
      <c r="B33" s="88">
        <v>0</v>
      </c>
      <c r="C33" s="25">
        <v>15</v>
      </c>
      <c r="D33" s="25">
        <v>0</v>
      </c>
      <c r="E33" s="89" t="s">
        <v>36</v>
      </c>
      <c r="F33" s="26">
        <v>0</v>
      </c>
      <c r="G33" s="25">
        <v>0</v>
      </c>
      <c r="H33" s="27">
        <v>4034.5</v>
      </c>
    </row>
    <row r="34" spans="1:15" s="11" customFormat="1" ht="15.75" thickTop="1">
      <c r="A34" s="16" t="s">
        <v>8</v>
      </c>
      <c r="B34" s="17">
        <f t="shared" ref="B34:G34" si="0">SUM(B3:B33)</f>
        <v>0</v>
      </c>
      <c r="C34" s="17">
        <f t="shared" si="0"/>
        <v>487</v>
      </c>
      <c r="D34" s="17">
        <f t="shared" si="0"/>
        <v>0</v>
      </c>
      <c r="E34" s="18">
        <f t="shared" si="0"/>
        <v>0.22</v>
      </c>
      <c r="F34" s="18">
        <f t="shared" si="0"/>
        <v>0</v>
      </c>
      <c r="G34" s="17">
        <f t="shared" si="0"/>
        <v>0</v>
      </c>
      <c r="H34" s="18"/>
    </row>
    <row r="35" spans="1:15" s="11" customFormat="1">
      <c r="A35" s="19" t="s">
        <v>9</v>
      </c>
      <c r="B35" s="20">
        <f>SUM(B34+'Nov 2011'!B34)</f>
        <v>1523</v>
      </c>
      <c r="C35" s="20">
        <f>SUM(C34+'Nov 2011'!C34)</f>
        <v>1589</v>
      </c>
      <c r="D35" s="20">
        <f>SUM(D34+'Nov 2011'!D34)</f>
        <v>5200</v>
      </c>
      <c r="E35" s="21">
        <f>SUM(E34+'Nov 2011'!E34)</f>
        <v>1.1399999999999999</v>
      </c>
      <c r="F35" s="21">
        <f>SUM(F34+'Nov 2011'!F34)</f>
        <v>0.5</v>
      </c>
      <c r="G35" s="20">
        <f>SUM(G34+'Nov 2011'!G34)</f>
        <v>11498</v>
      </c>
      <c r="H35" s="21"/>
    </row>
    <row r="37" spans="1:15">
      <c r="A37" t="s">
        <v>10</v>
      </c>
      <c r="B37" s="23">
        <f>SUM(B3:B33)*1.9835</f>
        <v>0</v>
      </c>
      <c r="C37" s="23">
        <f>SUM(C3:C33)*1.9835</f>
        <v>965.96450000000004</v>
      </c>
      <c r="D37" s="23">
        <f>SUM(D3:D33)*1.9835</f>
        <v>0</v>
      </c>
      <c r="E37" s="23"/>
      <c r="F37" s="23"/>
      <c r="G37" s="23"/>
      <c r="I37" s="22"/>
    </row>
    <row r="39" spans="1:15">
      <c r="A39" t="s">
        <v>24</v>
      </c>
      <c r="B39" s="23">
        <f>SUM('Nov 2011'!B38+B37)</f>
        <v>1916.0610000000001</v>
      </c>
      <c r="C39" s="23">
        <f>SUM('Nov 2011'!C38+C37)</f>
        <v>1566.9650000000001</v>
      </c>
      <c r="D39" s="23">
        <f>SUM('Nov 2011'!D38+D37)</f>
        <v>3223.1875</v>
      </c>
      <c r="E39" s="23"/>
      <c r="F39" s="23"/>
      <c r="G39" s="23"/>
      <c r="I39" s="22"/>
    </row>
    <row r="40" spans="1:15">
      <c r="B40" s="23"/>
      <c r="C40" s="23"/>
      <c r="D40" s="24"/>
      <c r="E40" s="23"/>
      <c r="F40" s="23"/>
      <c r="G40" s="23"/>
      <c r="I40" s="22"/>
    </row>
    <row r="41" spans="1:15" ht="17.45" customHeight="1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  <c r="K41" s="30"/>
      <c r="L41" s="30"/>
      <c r="M41" s="30"/>
      <c r="N41" s="31"/>
      <c r="O41" s="30"/>
    </row>
    <row r="42" spans="1:15" ht="16.899999999999999" customHeight="1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0"/>
      <c r="N42" s="31"/>
      <c r="O42" s="30"/>
    </row>
    <row r="43" spans="1:15" ht="13.9" customHeight="1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2"/>
      <c r="L43" s="32"/>
      <c r="M43" s="32"/>
      <c r="N43" s="33"/>
      <c r="O43" s="34"/>
    </row>
    <row r="44" spans="1:15" ht="15.6" customHeight="1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>
      <c r="A54" s="67"/>
      <c r="B54" s="68"/>
      <c r="C54" s="69"/>
      <c r="D54" s="61"/>
      <c r="E54" s="70"/>
      <c r="F54" s="71"/>
      <c r="G54" s="64"/>
      <c r="H54" s="65"/>
    </row>
    <row r="55" spans="1:15">
      <c r="A55" s="67"/>
      <c r="B55" s="68"/>
      <c r="C55" s="69"/>
      <c r="D55" s="61"/>
      <c r="E55" s="72"/>
      <c r="F55" s="71"/>
      <c r="G55" s="64"/>
      <c r="H55" s="65"/>
    </row>
    <row r="56" spans="1:15">
      <c r="A56" s="67"/>
      <c r="B56" s="68"/>
      <c r="C56" s="69"/>
      <c r="D56" s="61"/>
      <c r="E56" s="72"/>
      <c r="F56" s="71"/>
      <c r="G56" s="64"/>
      <c r="H56" s="65"/>
    </row>
    <row r="57" spans="1:15" ht="15.75" thickBot="1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7"/>
  <sheetViews>
    <sheetView topLeftCell="A13" workbookViewId="0">
      <selection activeCell="F34" sqref="F34"/>
    </sheetView>
  </sheetViews>
  <sheetFormatPr defaultRowHeight="15"/>
  <cols>
    <col min="1" max="1" width="13.5703125" style="2" bestFit="1" customWidth="1"/>
    <col min="2" max="4" width="11.7109375" style="6" customWidth="1"/>
    <col min="5" max="6" width="11.7109375" customWidth="1"/>
    <col min="7" max="7" width="11.7109375" style="6" customWidth="1"/>
    <col min="8" max="8" width="11.7109375" customWidth="1"/>
    <col min="9" max="9" width="29" bestFit="1" customWidth="1"/>
  </cols>
  <sheetData>
    <row r="1" spans="1:9" s="1" customFormat="1" ht="30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>
      <c r="A3" s="12">
        <v>40848</v>
      </c>
      <c r="B3" s="90">
        <v>71</v>
      </c>
      <c r="C3" s="90">
        <v>0</v>
      </c>
      <c r="D3" s="90">
        <v>159</v>
      </c>
      <c r="E3" s="26">
        <v>0</v>
      </c>
      <c r="F3" s="26">
        <v>0</v>
      </c>
      <c r="G3" s="90">
        <v>103</v>
      </c>
      <c r="H3" s="26">
        <v>4034.56</v>
      </c>
      <c r="I3" t="s">
        <v>30</v>
      </c>
    </row>
    <row r="4" spans="1:9">
      <c r="A4" s="12">
        <v>40849</v>
      </c>
      <c r="B4" s="90">
        <v>100</v>
      </c>
      <c r="C4" s="90">
        <v>0</v>
      </c>
      <c r="D4" s="90">
        <v>169</v>
      </c>
      <c r="E4" s="26">
        <v>0</v>
      </c>
      <c r="F4" s="26">
        <v>0</v>
      </c>
      <c r="G4" s="90">
        <v>89</v>
      </c>
      <c r="H4" s="26">
        <v>4034.54</v>
      </c>
    </row>
    <row r="5" spans="1:9">
      <c r="A5" s="12">
        <v>40850</v>
      </c>
      <c r="B5" s="90">
        <v>100</v>
      </c>
      <c r="C5" s="90">
        <v>0</v>
      </c>
      <c r="D5" s="90">
        <v>166</v>
      </c>
      <c r="E5" s="26">
        <v>0</v>
      </c>
      <c r="F5" s="26">
        <v>0</v>
      </c>
      <c r="G5" s="90">
        <v>84</v>
      </c>
      <c r="H5" s="26">
        <v>4034.53</v>
      </c>
    </row>
    <row r="6" spans="1:9">
      <c r="A6" s="12">
        <v>40851</v>
      </c>
      <c r="B6" s="90">
        <v>83</v>
      </c>
      <c r="C6" s="90">
        <v>0</v>
      </c>
      <c r="D6" s="90">
        <v>130</v>
      </c>
      <c r="E6" s="26">
        <v>0</v>
      </c>
      <c r="F6" s="26">
        <v>0</v>
      </c>
      <c r="G6" s="90">
        <v>174</v>
      </c>
      <c r="H6" s="26">
        <v>4034.52</v>
      </c>
      <c r="I6" t="s">
        <v>31</v>
      </c>
    </row>
    <row r="7" spans="1:9">
      <c r="A7" s="12">
        <v>40852</v>
      </c>
      <c r="B7" s="90">
        <v>75</v>
      </c>
      <c r="C7" s="90">
        <v>0</v>
      </c>
      <c r="D7" s="90">
        <v>126</v>
      </c>
      <c r="E7" s="26">
        <v>0.02</v>
      </c>
      <c r="F7" s="26">
        <v>0.25</v>
      </c>
      <c r="G7" s="90">
        <v>300</v>
      </c>
      <c r="H7" s="26">
        <v>4034.5</v>
      </c>
    </row>
    <row r="8" spans="1:9">
      <c r="A8" s="12">
        <v>40853</v>
      </c>
      <c r="B8" s="90">
        <v>58</v>
      </c>
      <c r="C8" s="90">
        <v>0</v>
      </c>
      <c r="D8" s="90">
        <v>120</v>
      </c>
      <c r="E8" s="26">
        <v>0.03</v>
      </c>
      <c r="F8" s="26">
        <v>0.25</v>
      </c>
      <c r="G8" s="90">
        <v>300</v>
      </c>
      <c r="H8" s="26">
        <v>4034.48</v>
      </c>
      <c r="I8" t="s">
        <v>32</v>
      </c>
    </row>
    <row r="9" spans="1:9">
      <c r="A9" s="12">
        <v>40854</v>
      </c>
      <c r="B9" s="90">
        <v>50</v>
      </c>
      <c r="C9" s="90">
        <v>0</v>
      </c>
      <c r="D9" s="90">
        <v>116</v>
      </c>
      <c r="E9" s="26">
        <v>0.01</v>
      </c>
      <c r="F9" s="26">
        <v>0</v>
      </c>
      <c r="G9" s="90">
        <v>300</v>
      </c>
      <c r="H9" s="26">
        <v>4034.44</v>
      </c>
    </row>
    <row r="10" spans="1:9">
      <c r="A10" s="12">
        <v>40855</v>
      </c>
      <c r="B10" s="90">
        <v>50</v>
      </c>
      <c r="C10" s="90">
        <v>0</v>
      </c>
      <c r="D10" s="90">
        <v>89</v>
      </c>
      <c r="E10" s="26">
        <v>0</v>
      </c>
      <c r="F10" s="26">
        <v>0</v>
      </c>
      <c r="G10" s="90">
        <v>300</v>
      </c>
      <c r="H10" s="26">
        <v>4034.42</v>
      </c>
    </row>
    <row r="11" spans="1:9">
      <c r="A11" s="12">
        <v>40856</v>
      </c>
      <c r="B11" s="90">
        <v>50</v>
      </c>
      <c r="C11" s="90">
        <v>0</v>
      </c>
      <c r="D11" s="90">
        <v>84</v>
      </c>
      <c r="E11" s="26">
        <v>0</v>
      </c>
      <c r="F11" s="26">
        <v>0</v>
      </c>
      <c r="G11" s="90">
        <v>300</v>
      </c>
      <c r="H11" s="26">
        <v>4034.4</v>
      </c>
    </row>
    <row r="12" spans="1:9">
      <c r="A12" s="12">
        <v>40857</v>
      </c>
      <c r="B12" s="90">
        <v>50</v>
      </c>
      <c r="C12" s="90">
        <v>0</v>
      </c>
      <c r="D12" s="90">
        <v>83</v>
      </c>
      <c r="E12" s="26">
        <v>0</v>
      </c>
      <c r="F12" s="26">
        <v>0</v>
      </c>
      <c r="G12" s="90">
        <v>300</v>
      </c>
      <c r="H12" s="26">
        <v>4034.38</v>
      </c>
    </row>
    <row r="13" spans="1:9">
      <c r="A13" s="12">
        <v>40858</v>
      </c>
      <c r="B13" s="90">
        <v>56</v>
      </c>
      <c r="C13" s="90">
        <v>0</v>
      </c>
      <c r="D13" s="90">
        <v>86</v>
      </c>
      <c r="E13" s="26">
        <v>0</v>
      </c>
      <c r="F13" s="26">
        <v>0</v>
      </c>
      <c r="G13" s="90">
        <v>300</v>
      </c>
      <c r="H13" s="26">
        <v>4034.36</v>
      </c>
      <c r="I13" t="s">
        <v>33</v>
      </c>
    </row>
    <row r="14" spans="1:9">
      <c r="A14" s="12">
        <v>40859</v>
      </c>
      <c r="B14" s="90">
        <v>50</v>
      </c>
      <c r="C14" s="90">
        <v>0</v>
      </c>
      <c r="D14" s="90">
        <v>78</v>
      </c>
      <c r="E14" s="26">
        <v>0</v>
      </c>
      <c r="F14" s="26">
        <v>0</v>
      </c>
      <c r="G14" s="90">
        <v>300</v>
      </c>
      <c r="H14" s="26">
        <v>4034.33</v>
      </c>
    </row>
    <row r="15" spans="1:9">
      <c r="A15" s="12">
        <v>40860</v>
      </c>
      <c r="B15" s="90">
        <v>50</v>
      </c>
      <c r="C15" s="90">
        <v>0</v>
      </c>
      <c r="D15" s="90">
        <v>68</v>
      </c>
      <c r="E15" s="26">
        <v>0</v>
      </c>
      <c r="F15" s="26">
        <v>0</v>
      </c>
      <c r="G15" s="90">
        <v>300</v>
      </c>
      <c r="H15" s="26">
        <v>4034.3</v>
      </c>
    </row>
    <row r="16" spans="1:9">
      <c r="A16" s="12">
        <v>40861</v>
      </c>
      <c r="B16" s="90">
        <v>50</v>
      </c>
      <c r="C16" s="90">
        <v>0</v>
      </c>
      <c r="D16" s="90">
        <v>60</v>
      </c>
      <c r="E16" s="26">
        <v>0</v>
      </c>
      <c r="F16" s="26">
        <v>0</v>
      </c>
      <c r="G16" s="90">
        <v>300</v>
      </c>
      <c r="H16" s="26">
        <v>4034.3</v>
      </c>
    </row>
    <row r="17" spans="1:9">
      <c r="A17" s="12">
        <v>40862</v>
      </c>
      <c r="B17" s="90">
        <v>39</v>
      </c>
      <c r="C17" s="90">
        <v>0</v>
      </c>
      <c r="D17" s="90">
        <v>38</v>
      </c>
      <c r="E17" s="26">
        <v>0</v>
      </c>
      <c r="F17" s="26">
        <v>0</v>
      </c>
      <c r="G17" s="90">
        <v>300</v>
      </c>
      <c r="H17" s="26">
        <v>4034.28</v>
      </c>
      <c r="I17" t="s">
        <v>34</v>
      </c>
    </row>
    <row r="18" spans="1:9">
      <c r="A18" s="12">
        <v>40863</v>
      </c>
      <c r="B18" s="90">
        <v>25</v>
      </c>
      <c r="C18" s="90">
        <v>0</v>
      </c>
      <c r="D18" s="90">
        <v>23</v>
      </c>
      <c r="E18" s="26">
        <v>0</v>
      </c>
      <c r="F18" s="26">
        <v>0</v>
      </c>
      <c r="G18" s="90">
        <v>300</v>
      </c>
      <c r="H18" s="26">
        <v>4034.26</v>
      </c>
    </row>
    <row r="19" spans="1:9">
      <c r="A19" s="12">
        <v>40864</v>
      </c>
      <c r="B19" s="90">
        <v>9</v>
      </c>
      <c r="C19" s="90">
        <v>0</v>
      </c>
      <c r="D19" s="90">
        <v>20</v>
      </c>
      <c r="E19" s="26">
        <v>0</v>
      </c>
      <c r="F19" s="26">
        <v>0</v>
      </c>
      <c r="G19" s="90">
        <v>175</v>
      </c>
      <c r="H19" s="26">
        <v>4034.24</v>
      </c>
      <c r="I19" t="s">
        <v>35</v>
      </c>
    </row>
    <row r="20" spans="1:9">
      <c r="A20" s="12">
        <v>40865</v>
      </c>
      <c r="B20" s="90">
        <v>0</v>
      </c>
      <c r="C20" s="90">
        <v>16</v>
      </c>
      <c r="D20" s="90">
        <v>10</v>
      </c>
      <c r="E20" s="26">
        <v>0.16</v>
      </c>
      <c r="F20" s="26" t="s">
        <v>36</v>
      </c>
      <c r="G20" s="90">
        <v>0</v>
      </c>
      <c r="H20" s="26">
        <v>4034.22</v>
      </c>
    </row>
    <row r="21" spans="1:9">
      <c r="A21" s="12">
        <v>40866</v>
      </c>
      <c r="B21" s="90">
        <v>0</v>
      </c>
      <c r="C21" s="90">
        <v>25</v>
      </c>
      <c r="D21" s="90">
        <v>0</v>
      </c>
      <c r="E21" s="26">
        <v>0</v>
      </c>
      <c r="F21" s="26" t="s">
        <v>36</v>
      </c>
      <c r="G21" s="90">
        <v>0</v>
      </c>
      <c r="H21" s="26">
        <v>4034.24</v>
      </c>
    </row>
    <row r="22" spans="1:9">
      <c r="A22" s="12">
        <v>40867</v>
      </c>
      <c r="B22" s="90">
        <v>0</v>
      </c>
      <c r="C22" s="90">
        <v>25</v>
      </c>
      <c r="D22" s="90">
        <v>0</v>
      </c>
      <c r="E22" s="26">
        <v>0.04</v>
      </c>
      <c r="F22" s="26" t="s">
        <v>36</v>
      </c>
      <c r="G22" s="90">
        <v>0</v>
      </c>
      <c r="H22" s="26">
        <v>4034.26</v>
      </c>
    </row>
    <row r="23" spans="1:9">
      <c r="A23" s="12">
        <v>40868</v>
      </c>
      <c r="B23" s="90">
        <v>0</v>
      </c>
      <c r="C23" s="90">
        <v>25</v>
      </c>
      <c r="D23" s="90">
        <v>0</v>
      </c>
      <c r="E23" s="26">
        <v>0</v>
      </c>
      <c r="F23" s="26">
        <v>0</v>
      </c>
      <c r="G23" s="90">
        <v>0</v>
      </c>
      <c r="H23" s="26">
        <v>4034.28</v>
      </c>
    </row>
    <row r="24" spans="1:9">
      <c r="A24" s="12">
        <v>40869</v>
      </c>
      <c r="B24" s="90">
        <v>0</v>
      </c>
      <c r="C24" s="90">
        <v>25</v>
      </c>
      <c r="D24" s="90">
        <v>0</v>
      </c>
      <c r="E24" s="26">
        <v>0</v>
      </c>
      <c r="F24" s="26">
        <v>0</v>
      </c>
      <c r="G24" s="90">
        <v>0</v>
      </c>
      <c r="H24" s="26">
        <v>4034.3</v>
      </c>
    </row>
    <row r="25" spans="1:9">
      <c r="A25" s="12">
        <v>40870</v>
      </c>
      <c r="B25" s="90">
        <v>0</v>
      </c>
      <c r="C25" s="90">
        <v>25</v>
      </c>
      <c r="D25" s="90">
        <v>0</v>
      </c>
      <c r="E25" s="26">
        <v>0</v>
      </c>
      <c r="F25" s="26">
        <v>0</v>
      </c>
      <c r="G25" s="90">
        <v>0</v>
      </c>
      <c r="H25" s="26">
        <v>4034.32</v>
      </c>
    </row>
    <row r="26" spans="1:9">
      <c r="A26" s="12">
        <v>40871</v>
      </c>
      <c r="B26" s="90">
        <v>0</v>
      </c>
      <c r="C26" s="90">
        <v>25</v>
      </c>
      <c r="D26" s="90">
        <v>0</v>
      </c>
      <c r="E26" s="26">
        <v>0.21</v>
      </c>
      <c r="F26" s="26">
        <v>0</v>
      </c>
      <c r="G26" s="90">
        <v>0</v>
      </c>
      <c r="H26" s="26">
        <v>4034.34</v>
      </c>
    </row>
    <row r="27" spans="1:9">
      <c r="A27" s="12">
        <v>40872</v>
      </c>
      <c r="B27" s="90">
        <v>0</v>
      </c>
      <c r="C27" s="90">
        <v>25</v>
      </c>
      <c r="D27" s="90">
        <v>0</v>
      </c>
      <c r="E27" s="26">
        <v>0</v>
      </c>
      <c r="F27" s="26">
        <v>0</v>
      </c>
      <c r="G27" s="90">
        <v>0</v>
      </c>
      <c r="H27" s="26">
        <v>4034.36</v>
      </c>
    </row>
    <row r="28" spans="1:9">
      <c r="A28" s="12">
        <v>40873</v>
      </c>
      <c r="B28" s="90">
        <v>0</v>
      </c>
      <c r="C28" s="90">
        <v>25</v>
      </c>
      <c r="D28" s="90">
        <v>0</v>
      </c>
      <c r="E28" s="26">
        <v>0</v>
      </c>
      <c r="F28" s="26">
        <v>0</v>
      </c>
      <c r="G28" s="90">
        <v>0</v>
      </c>
      <c r="H28" s="26">
        <v>4034.38</v>
      </c>
    </row>
    <row r="29" spans="1:9">
      <c r="A29" s="12">
        <v>40874</v>
      </c>
      <c r="B29" s="90">
        <v>0</v>
      </c>
      <c r="C29" s="90">
        <v>25</v>
      </c>
      <c r="D29" s="90">
        <v>0</v>
      </c>
      <c r="E29" s="26">
        <v>0</v>
      </c>
      <c r="F29" s="26">
        <v>0</v>
      </c>
      <c r="G29" s="90">
        <v>0</v>
      </c>
      <c r="H29" s="26">
        <v>4034.4</v>
      </c>
    </row>
    <row r="30" spans="1:9">
      <c r="A30" s="12">
        <v>40875</v>
      </c>
      <c r="B30" s="90">
        <v>0</v>
      </c>
      <c r="C30" s="90">
        <v>22</v>
      </c>
      <c r="D30" s="90">
        <v>0</v>
      </c>
      <c r="E30" s="26">
        <v>0.08</v>
      </c>
      <c r="F30" s="26">
        <v>0</v>
      </c>
      <c r="G30" s="90">
        <v>0</v>
      </c>
      <c r="H30" s="26">
        <v>4034.41</v>
      </c>
    </row>
    <row r="31" spans="1:9">
      <c r="A31" s="12">
        <v>40876</v>
      </c>
      <c r="B31" s="90">
        <v>0</v>
      </c>
      <c r="C31" s="90">
        <v>20</v>
      </c>
      <c r="D31" s="90">
        <v>0</v>
      </c>
      <c r="E31" s="26">
        <v>0</v>
      </c>
      <c r="F31" s="26">
        <v>0</v>
      </c>
      <c r="G31" s="90">
        <v>0</v>
      </c>
      <c r="H31" s="26">
        <v>4034.42</v>
      </c>
    </row>
    <row r="32" spans="1:9" ht="15.75" thickBot="1">
      <c r="A32" s="12">
        <v>40877</v>
      </c>
      <c r="B32" s="90">
        <v>0</v>
      </c>
      <c r="C32" s="90">
        <v>20</v>
      </c>
      <c r="D32" s="90">
        <v>0</v>
      </c>
      <c r="E32" s="89">
        <v>0.01</v>
      </c>
      <c r="F32" s="89">
        <v>0</v>
      </c>
      <c r="G32" s="91">
        <v>0</v>
      </c>
      <c r="H32" s="26">
        <v>4034.43</v>
      </c>
    </row>
    <row r="33" spans="1:15" s="11" customFormat="1" ht="15.75" thickTop="1">
      <c r="A33" s="16" t="s">
        <v>8</v>
      </c>
      <c r="B33" s="17">
        <f t="shared" ref="B33:G33" si="0">SUM(B3:B32)</f>
        <v>966</v>
      </c>
      <c r="C33" s="17">
        <f t="shared" si="0"/>
        <v>303</v>
      </c>
      <c r="D33" s="17">
        <f t="shared" si="0"/>
        <v>1625</v>
      </c>
      <c r="E33" s="18">
        <f t="shared" si="0"/>
        <v>0.55999999999999994</v>
      </c>
      <c r="F33" s="18">
        <f t="shared" si="0"/>
        <v>0.5</v>
      </c>
      <c r="G33" s="17">
        <f t="shared" si="0"/>
        <v>4225</v>
      </c>
      <c r="H33" s="18"/>
      <c r="I33"/>
    </row>
    <row r="34" spans="1:15" s="11" customFormat="1">
      <c r="A34" s="19" t="s">
        <v>9</v>
      </c>
      <c r="B34" s="20">
        <f>SUM(B33+'Oct 2011'!B35)</f>
        <v>1523</v>
      </c>
      <c r="C34" s="20">
        <f>SUM(C33+'Oct 2011'!C35)</f>
        <v>1102</v>
      </c>
      <c r="D34" s="20">
        <f>SUM(D33+'Oct 2011'!D35)</f>
        <v>5200</v>
      </c>
      <c r="E34" s="21">
        <f>SUM(E33+'Oct 2011'!E35)</f>
        <v>0.91999999999999993</v>
      </c>
      <c r="F34" s="21">
        <f>SUM(F33+'Oct 2011'!F35)</f>
        <v>0.5</v>
      </c>
      <c r="G34" s="20">
        <f>SUM(G33+'Oct 2011'!G35)</f>
        <v>11498</v>
      </c>
      <c r="H34" s="21"/>
    </row>
    <row r="35" spans="1:15">
      <c r="I35" s="11"/>
    </row>
    <row r="36" spans="1:15">
      <c r="A36" t="s">
        <v>10</v>
      </c>
      <c r="B36" s="23">
        <f>SUM(B3:B32)*1.9835</f>
        <v>1916.0610000000001</v>
      </c>
      <c r="C36" s="23">
        <f>SUM(C3:C32)*1.9835</f>
        <v>601.00049999999999</v>
      </c>
      <c r="D36" s="23">
        <f>SUM(D3:D32)*1.9835</f>
        <v>3223.1875</v>
      </c>
      <c r="E36" s="23"/>
      <c r="F36" s="23"/>
      <c r="G36" s="23"/>
      <c r="I36" s="22"/>
    </row>
    <row r="37" spans="1:15">
      <c r="A37"/>
      <c r="B37"/>
      <c r="C37"/>
      <c r="D37"/>
      <c r="G37"/>
    </row>
    <row r="38" spans="1:15">
      <c r="A38" t="s">
        <v>24</v>
      </c>
      <c r="B38" s="23">
        <f>SUM('Oct 2011'!B40+B36)</f>
        <v>1916.0610000000001</v>
      </c>
      <c r="C38" s="23">
        <f>SUM('Oct 2011'!C40+C36)</f>
        <v>601.00049999999999</v>
      </c>
      <c r="D38" s="23">
        <f>SUM('Oct 2011'!D40+D36)</f>
        <v>3223.1875</v>
      </c>
      <c r="E38" s="23"/>
      <c r="F38" s="23"/>
      <c r="G38" s="23"/>
      <c r="I38" s="22"/>
    </row>
    <row r="39" spans="1:15">
      <c r="A39"/>
      <c r="B39" s="23"/>
      <c r="C39" s="23"/>
      <c r="D39" s="24"/>
      <c r="E39" s="23"/>
      <c r="F39" s="23"/>
      <c r="G39" s="23"/>
      <c r="I39" s="22"/>
    </row>
    <row r="40" spans="1:15" ht="17.45" customHeight="1">
      <c r="A40" s="114"/>
      <c r="B40" s="114"/>
      <c r="C40" s="114"/>
      <c r="D40" s="114"/>
      <c r="E40" s="114"/>
      <c r="F40" s="115"/>
      <c r="G40" s="116" t="s">
        <v>12</v>
      </c>
      <c r="H40" s="117"/>
      <c r="I40" s="30"/>
      <c r="J40" s="30"/>
      <c r="K40" s="30"/>
      <c r="L40" s="30"/>
      <c r="M40" s="30"/>
      <c r="N40" s="31"/>
      <c r="O40" s="30"/>
    </row>
    <row r="41" spans="1:15" ht="16.899999999999999" customHeight="1">
      <c r="A41" s="29"/>
      <c r="B41" s="29"/>
      <c r="C41" s="29"/>
      <c r="D41" s="29"/>
      <c r="E41" s="29"/>
      <c r="F41" s="29"/>
      <c r="G41" s="116"/>
      <c r="H41" s="117"/>
      <c r="I41" s="30"/>
      <c r="J41" s="30"/>
      <c r="K41" s="30"/>
      <c r="L41" s="30"/>
      <c r="M41" s="30"/>
      <c r="N41" s="31"/>
      <c r="O41" s="30"/>
    </row>
    <row r="42" spans="1:15" ht="13.9" customHeight="1">
      <c r="A42" s="119" t="s">
        <v>23</v>
      </c>
      <c r="B42" s="119"/>
      <c r="C42" s="119"/>
      <c r="D42" s="119"/>
      <c r="E42" s="119"/>
      <c r="F42" s="119"/>
      <c r="G42" s="119"/>
      <c r="H42" s="119"/>
      <c r="I42" s="119"/>
      <c r="J42" s="119"/>
      <c r="K42" s="32"/>
      <c r="L42" s="32"/>
      <c r="M42" s="32"/>
      <c r="N42" s="33"/>
      <c r="O42" s="34"/>
    </row>
    <row r="43" spans="1:15" ht="15.6" customHeight="1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>
      <c r="A53" s="67"/>
      <c r="B53" s="68"/>
      <c r="C53" s="69"/>
      <c r="D53" s="61"/>
      <c r="E53" s="70"/>
      <c r="F53" s="71"/>
      <c r="G53" s="64"/>
      <c r="H53" s="65"/>
    </row>
    <row r="54" spans="1:15">
      <c r="A54" s="67"/>
      <c r="B54" s="68"/>
      <c r="C54" s="69"/>
      <c r="D54" s="61"/>
      <c r="E54" s="72"/>
      <c r="F54" s="71"/>
      <c r="G54" s="64"/>
      <c r="H54" s="65"/>
    </row>
    <row r="55" spans="1:15">
      <c r="A55" s="67"/>
      <c r="B55" s="68"/>
      <c r="C55" s="69"/>
      <c r="D55" s="61"/>
      <c r="E55" s="72"/>
      <c r="F55" s="71"/>
      <c r="G55" s="64"/>
      <c r="H55" s="65"/>
    </row>
    <row r="56" spans="1:15" ht="15.75" thickBot="1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>
      <c r="A57" s="120" t="s">
        <v>21</v>
      </c>
      <c r="B57" s="121"/>
      <c r="C57" s="122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9"/>
  <sheetViews>
    <sheetView zoomScale="90" zoomScaleNormal="9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D35" sqref="D35"/>
    </sheetView>
  </sheetViews>
  <sheetFormatPr defaultRowHeight="15"/>
  <cols>
    <col min="1" max="1" width="13.5703125" style="2" bestFit="1" customWidth="1"/>
    <col min="2" max="4" width="11.7109375" style="10" customWidth="1"/>
    <col min="5" max="6" width="11.7109375" style="8" customWidth="1"/>
    <col min="7" max="7" width="11.7109375" style="10" customWidth="1"/>
    <col min="8" max="8" width="11.7109375" style="4" customWidth="1"/>
    <col min="9" max="9" width="27.42578125" customWidth="1"/>
  </cols>
  <sheetData>
    <row r="1" spans="1:9" s="1" customFormat="1" ht="31.5">
      <c r="A1" s="96" t="s">
        <v>0</v>
      </c>
      <c r="B1" s="97" t="s">
        <v>5</v>
      </c>
      <c r="C1" s="97" t="s">
        <v>1</v>
      </c>
      <c r="D1" s="97" t="s">
        <v>2</v>
      </c>
      <c r="E1" s="98" t="s">
        <v>6</v>
      </c>
      <c r="F1" s="98" t="s">
        <v>7</v>
      </c>
      <c r="G1" s="97" t="s">
        <v>3</v>
      </c>
      <c r="H1" s="99" t="s">
        <v>4</v>
      </c>
      <c r="I1" s="3" t="s">
        <v>11</v>
      </c>
    </row>
    <row r="2" spans="1:9" s="1" customFormat="1" ht="15.75">
      <c r="A2" s="100"/>
      <c r="B2" s="97" t="s">
        <v>25</v>
      </c>
      <c r="C2" s="97" t="s">
        <v>25</v>
      </c>
      <c r="D2" s="97" t="s">
        <v>25</v>
      </c>
      <c r="E2" s="98"/>
      <c r="F2" s="98"/>
      <c r="G2" s="97" t="s">
        <v>26</v>
      </c>
      <c r="H2" s="99"/>
      <c r="I2" s="85"/>
    </row>
    <row r="3" spans="1:9" ht="15.75">
      <c r="A3" s="108">
        <v>40817</v>
      </c>
      <c r="B3" s="102">
        <v>0</v>
      </c>
      <c r="C3" s="102">
        <v>0</v>
      </c>
      <c r="D3" s="102">
        <v>158</v>
      </c>
      <c r="E3" s="103">
        <v>0</v>
      </c>
      <c r="F3" s="103">
        <v>0</v>
      </c>
      <c r="G3" s="102">
        <v>160</v>
      </c>
      <c r="H3" s="103">
        <v>4034.77</v>
      </c>
    </row>
    <row r="4" spans="1:9" ht="15.75">
      <c r="A4" s="108">
        <v>40818</v>
      </c>
      <c r="B4" s="102">
        <v>0</v>
      </c>
      <c r="C4" s="102">
        <v>0</v>
      </c>
      <c r="D4" s="102">
        <v>137</v>
      </c>
      <c r="E4" s="103">
        <v>0</v>
      </c>
      <c r="F4" s="103">
        <v>0</v>
      </c>
      <c r="G4" s="102">
        <v>160</v>
      </c>
      <c r="H4" s="103">
        <v>4034.76</v>
      </c>
    </row>
    <row r="5" spans="1:9" ht="15.75">
      <c r="A5" s="108">
        <v>40819</v>
      </c>
      <c r="B5" s="102">
        <v>0</v>
      </c>
      <c r="C5" s="102">
        <v>0</v>
      </c>
      <c r="D5" s="102">
        <v>138</v>
      </c>
      <c r="E5" s="103">
        <v>0</v>
      </c>
      <c r="F5" s="103">
        <v>0</v>
      </c>
      <c r="G5" s="102">
        <v>160</v>
      </c>
      <c r="H5" s="103">
        <v>4034.76</v>
      </c>
    </row>
    <row r="6" spans="1:9" ht="15.75">
      <c r="A6" s="108">
        <v>40820</v>
      </c>
      <c r="B6" s="102">
        <v>0</v>
      </c>
      <c r="C6" s="102">
        <v>8</v>
      </c>
      <c r="D6" s="102">
        <v>145</v>
      </c>
      <c r="E6" s="103">
        <v>0</v>
      </c>
      <c r="F6" s="103">
        <v>0</v>
      </c>
      <c r="G6" s="102">
        <v>160</v>
      </c>
      <c r="H6" s="103">
        <v>4034.76</v>
      </c>
    </row>
    <row r="7" spans="1:9" ht="15.75">
      <c r="A7" s="108">
        <v>40821</v>
      </c>
      <c r="B7" s="102">
        <v>0</v>
      </c>
      <c r="C7" s="102">
        <v>22</v>
      </c>
      <c r="D7" s="102">
        <v>133</v>
      </c>
      <c r="E7" s="103">
        <v>0.08</v>
      </c>
      <c r="F7" s="103">
        <v>0</v>
      </c>
      <c r="G7" s="102">
        <v>160</v>
      </c>
      <c r="H7" s="103">
        <v>4034.76</v>
      </c>
    </row>
    <row r="8" spans="1:9" ht="15.75">
      <c r="A8" s="108">
        <v>40822</v>
      </c>
      <c r="B8" s="102">
        <v>0</v>
      </c>
      <c r="C8" s="102">
        <v>15</v>
      </c>
      <c r="D8" s="102">
        <v>134</v>
      </c>
      <c r="E8" s="103">
        <v>0.02</v>
      </c>
      <c r="F8" s="103">
        <v>0</v>
      </c>
      <c r="G8" s="102">
        <v>160</v>
      </c>
      <c r="H8" s="103">
        <v>4034.76</v>
      </c>
    </row>
    <row r="9" spans="1:9" ht="15.75">
      <c r="A9" s="108">
        <v>40823</v>
      </c>
      <c r="B9" s="102">
        <v>0</v>
      </c>
      <c r="C9" s="102">
        <v>125</v>
      </c>
      <c r="D9" s="102">
        <v>121</v>
      </c>
      <c r="E9" s="103">
        <v>0</v>
      </c>
      <c r="F9" s="103">
        <v>0</v>
      </c>
      <c r="G9" s="102">
        <v>160</v>
      </c>
      <c r="H9" s="103">
        <v>4034.76</v>
      </c>
    </row>
    <row r="10" spans="1:9" ht="15.75">
      <c r="A10" s="108">
        <v>40824</v>
      </c>
      <c r="B10" s="102">
        <v>0</v>
      </c>
      <c r="C10" s="102">
        <v>100</v>
      </c>
      <c r="D10" s="102">
        <v>117</v>
      </c>
      <c r="E10" s="103">
        <v>0</v>
      </c>
      <c r="F10" s="103">
        <v>0</v>
      </c>
      <c r="G10" s="102">
        <v>160</v>
      </c>
      <c r="H10" s="103">
        <v>4034.76</v>
      </c>
    </row>
    <row r="11" spans="1:9" ht="15.75">
      <c r="A11" s="108">
        <v>40825</v>
      </c>
      <c r="B11" s="102">
        <v>0</v>
      </c>
      <c r="C11" s="102">
        <v>99</v>
      </c>
      <c r="D11" s="102">
        <v>135</v>
      </c>
      <c r="E11" s="103">
        <v>0</v>
      </c>
      <c r="F11" s="103">
        <v>0</v>
      </c>
      <c r="G11" s="102">
        <v>160</v>
      </c>
      <c r="H11" s="103">
        <v>4034.77</v>
      </c>
    </row>
    <row r="12" spans="1:9" ht="15.75">
      <c r="A12" s="108">
        <v>40826</v>
      </c>
      <c r="B12" s="102">
        <v>0</v>
      </c>
      <c r="C12" s="102">
        <v>95</v>
      </c>
      <c r="D12" s="102">
        <v>144</v>
      </c>
      <c r="E12" s="103">
        <v>0.26</v>
      </c>
      <c r="F12" s="103">
        <v>0</v>
      </c>
      <c r="G12" s="102">
        <v>160</v>
      </c>
      <c r="H12" s="103">
        <v>4034.79</v>
      </c>
    </row>
    <row r="13" spans="1:9" ht="15.75">
      <c r="A13" s="108">
        <v>40827</v>
      </c>
      <c r="B13" s="102">
        <v>0</v>
      </c>
      <c r="C13" s="102">
        <v>100</v>
      </c>
      <c r="D13" s="102">
        <v>122</v>
      </c>
      <c r="E13" s="103">
        <v>0</v>
      </c>
      <c r="F13" s="103">
        <v>0</v>
      </c>
      <c r="G13" s="102">
        <v>160</v>
      </c>
      <c r="H13" s="103">
        <v>4034.82</v>
      </c>
    </row>
    <row r="14" spans="1:9" ht="15.75">
      <c r="A14" s="108">
        <v>40828</v>
      </c>
      <c r="B14" s="102">
        <v>0</v>
      </c>
      <c r="C14" s="102">
        <v>61</v>
      </c>
      <c r="D14" s="102">
        <v>122</v>
      </c>
      <c r="E14" s="103">
        <v>0</v>
      </c>
      <c r="F14" s="103">
        <v>0</v>
      </c>
      <c r="G14" s="102">
        <v>160</v>
      </c>
      <c r="H14" s="103">
        <v>4034.84</v>
      </c>
    </row>
    <row r="15" spans="1:9" ht="15.75">
      <c r="A15" s="108">
        <v>40829</v>
      </c>
      <c r="B15" s="102">
        <v>0</v>
      </c>
      <c r="C15" s="102">
        <v>15</v>
      </c>
      <c r="D15" s="102">
        <v>104</v>
      </c>
      <c r="E15" s="103">
        <v>0</v>
      </c>
      <c r="F15" s="103">
        <v>0</v>
      </c>
      <c r="G15" s="102">
        <v>160</v>
      </c>
      <c r="H15" s="103">
        <v>4034.86</v>
      </c>
    </row>
    <row r="16" spans="1:9" ht="15.75">
      <c r="A16" s="108">
        <v>40830</v>
      </c>
      <c r="B16" s="102">
        <v>0</v>
      </c>
      <c r="C16" s="102">
        <v>33</v>
      </c>
      <c r="D16" s="102">
        <v>83</v>
      </c>
      <c r="E16" s="103">
        <v>0</v>
      </c>
      <c r="F16" s="103">
        <v>0</v>
      </c>
      <c r="G16" s="102">
        <v>251</v>
      </c>
      <c r="H16" s="103">
        <v>4034.88</v>
      </c>
    </row>
    <row r="17" spans="1:9" ht="15.75">
      <c r="A17" s="108">
        <v>40831</v>
      </c>
      <c r="B17" s="102">
        <v>0</v>
      </c>
      <c r="C17" s="102">
        <v>50</v>
      </c>
      <c r="D17" s="102">
        <v>83</v>
      </c>
      <c r="E17" s="103">
        <v>0</v>
      </c>
      <c r="F17" s="103">
        <v>0</v>
      </c>
      <c r="G17" s="102">
        <v>301</v>
      </c>
      <c r="H17" s="103">
        <v>4034.86</v>
      </c>
    </row>
    <row r="18" spans="1:9" ht="15.75">
      <c r="A18" s="108">
        <v>40832</v>
      </c>
      <c r="B18" s="102">
        <v>0</v>
      </c>
      <c r="C18" s="102">
        <v>44</v>
      </c>
      <c r="D18" s="102">
        <v>77</v>
      </c>
      <c r="E18" s="103">
        <v>0</v>
      </c>
      <c r="F18" s="103">
        <v>0</v>
      </c>
      <c r="G18" s="102">
        <v>301</v>
      </c>
      <c r="H18" s="103">
        <v>4034.85</v>
      </c>
    </row>
    <row r="19" spans="1:9" ht="15.75">
      <c r="A19" s="108">
        <v>40833</v>
      </c>
      <c r="B19" s="102">
        <v>0</v>
      </c>
      <c r="C19" s="102">
        <v>14</v>
      </c>
      <c r="D19" s="102">
        <v>84</v>
      </c>
      <c r="E19" s="103">
        <v>0</v>
      </c>
      <c r="F19" s="103">
        <v>0</v>
      </c>
      <c r="G19" s="102">
        <v>301</v>
      </c>
      <c r="H19" s="103">
        <v>4034.85</v>
      </c>
    </row>
    <row r="20" spans="1:9" ht="15.75">
      <c r="A20" s="108">
        <v>40834</v>
      </c>
      <c r="B20" s="102">
        <v>0</v>
      </c>
      <c r="C20" s="102">
        <v>3</v>
      </c>
      <c r="D20" s="102">
        <v>98</v>
      </c>
      <c r="E20" s="103">
        <v>0</v>
      </c>
      <c r="F20" s="103">
        <v>0</v>
      </c>
      <c r="G20" s="102">
        <v>301</v>
      </c>
      <c r="H20" s="103">
        <v>4034.84</v>
      </c>
    </row>
    <row r="21" spans="1:9" ht="15.75">
      <c r="A21" s="108">
        <v>40835</v>
      </c>
      <c r="B21" s="102">
        <v>0</v>
      </c>
      <c r="C21" s="102">
        <v>13</v>
      </c>
      <c r="D21" s="102">
        <v>96</v>
      </c>
      <c r="E21" s="103">
        <v>0</v>
      </c>
      <c r="F21" s="103">
        <v>0</v>
      </c>
      <c r="G21" s="102">
        <v>301</v>
      </c>
      <c r="H21" s="103">
        <v>4034.84</v>
      </c>
    </row>
    <row r="22" spans="1:9" ht="15.75">
      <c r="A22" s="108">
        <v>40836</v>
      </c>
      <c r="B22" s="102">
        <v>0</v>
      </c>
      <c r="C22" s="102">
        <v>2</v>
      </c>
      <c r="D22" s="102">
        <v>109</v>
      </c>
      <c r="E22" s="103">
        <v>0</v>
      </c>
      <c r="F22" s="103">
        <v>0</v>
      </c>
      <c r="G22" s="102">
        <v>301</v>
      </c>
      <c r="H22" s="103">
        <v>4034.82</v>
      </c>
    </row>
    <row r="23" spans="1:9" ht="15.75">
      <c r="A23" s="108">
        <v>40837</v>
      </c>
      <c r="B23" s="102">
        <v>0</v>
      </c>
      <c r="C23" s="102">
        <v>0</v>
      </c>
      <c r="D23" s="102">
        <v>114</v>
      </c>
      <c r="E23" s="103">
        <v>0</v>
      </c>
      <c r="F23" s="103">
        <v>0</v>
      </c>
      <c r="G23" s="102">
        <v>301</v>
      </c>
      <c r="H23" s="103">
        <v>4034.8</v>
      </c>
    </row>
    <row r="24" spans="1:9" ht="15.75">
      <c r="A24" s="108">
        <v>40838</v>
      </c>
      <c r="B24" s="102">
        <v>0</v>
      </c>
      <c r="C24" s="102">
        <v>0</v>
      </c>
      <c r="D24" s="102">
        <v>111</v>
      </c>
      <c r="E24" s="103">
        <v>0</v>
      </c>
      <c r="F24" s="103">
        <v>0</v>
      </c>
      <c r="G24" s="102">
        <v>301</v>
      </c>
      <c r="H24" s="103">
        <v>4034.78</v>
      </c>
    </row>
    <row r="25" spans="1:9" ht="15.75">
      <c r="A25" s="108">
        <v>40839</v>
      </c>
      <c r="B25" s="102">
        <v>47</v>
      </c>
      <c r="C25" s="102">
        <v>0</v>
      </c>
      <c r="D25" s="102">
        <v>105</v>
      </c>
      <c r="E25" s="103">
        <v>0</v>
      </c>
      <c r="F25" s="103">
        <v>0</v>
      </c>
      <c r="G25" s="102">
        <v>301</v>
      </c>
      <c r="H25" s="103">
        <v>4034.77</v>
      </c>
      <c r="I25" t="s">
        <v>27</v>
      </c>
    </row>
    <row r="26" spans="1:9" ht="15.75">
      <c r="A26" s="108">
        <v>40840</v>
      </c>
      <c r="B26" s="102">
        <v>75</v>
      </c>
      <c r="C26" s="102">
        <v>0</v>
      </c>
      <c r="D26" s="102">
        <v>91</v>
      </c>
      <c r="E26" s="103">
        <v>0</v>
      </c>
      <c r="F26" s="103">
        <v>0</v>
      </c>
      <c r="G26" s="102">
        <v>301</v>
      </c>
      <c r="H26" s="103">
        <v>4034.74</v>
      </c>
    </row>
    <row r="27" spans="1:9" ht="15.75">
      <c r="A27" s="108">
        <v>40841</v>
      </c>
      <c r="B27" s="102">
        <v>75</v>
      </c>
      <c r="C27" s="102">
        <v>0</v>
      </c>
      <c r="D27" s="102">
        <v>102</v>
      </c>
      <c r="E27" s="103">
        <v>0</v>
      </c>
      <c r="F27" s="103">
        <v>0</v>
      </c>
      <c r="G27" s="102">
        <v>301</v>
      </c>
      <c r="H27" s="103">
        <v>4034.73</v>
      </c>
    </row>
    <row r="28" spans="1:9" ht="15.75">
      <c r="A28" s="108">
        <v>40842</v>
      </c>
      <c r="B28" s="102">
        <v>75</v>
      </c>
      <c r="C28" s="102">
        <v>0</v>
      </c>
      <c r="D28" s="102">
        <v>117</v>
      </c>
      <c r="E28" s="103">
        <v>0</v>
      </c>
      <c r="F28" s="103">
        <v>0</v>
      </c>
      <c r="G28" s="102">
        <v>301</v>
      </c>
      <c r="H28" s="103">
        <v>4034.7</v>
      </c>
    </row>
    <row r="29" spans="1:9" ht="15.75">
      <c r="A29" s="108">
        <v>40843</v>
      </c>
      <c r="B29" s="102">
        <v>75</v>
      </c>
      <c r="C29" s="102">
        <v>0</v>
      </c>
      <c r="D29" s="102">
        <v>117</v>
      </c>
      <c r="E29" s="103">
        <v>0</v>
      </c>
      <c r="F29" s="103">
        <v>0</v>
      </c>
      <c r="G29" s="102">
        <v>301</v>
      </c>
      <c r="H29" s="103">
        <v>4034.68</v>
      </c>
    </row>
    <row r="30" spans="1:9" ht="15.75">
      <c r="A30" s="108">
        <v>40844</v>
      </c>
      <c r="B30" s="102">
        <v>60</v>
      </c>
      <c r="C30" s="102">
        <v>0</v>
      </c>
      <c r="D30" s="102">
        <v>117</v>
      </c>
      <c r="E30" s="103">
        <v>0</v>
      </c>
      <c r="F30" s="103">
        <v>0</v>
      </c>
      <c r="G30" s="102">
        <v>301</v>
      </c>
      <c r="H30" s="103">
        <v>4034.65</v>
      </c>
      <c r="I30" t="s">
        <v>28</v>
      </c>
    </row>
    <row r="31" spans="1:9" ht="15.75">
      <c r="A31" s="101">
        <v>40845</v>
      </c>
      <c r="B31" s="102">
        <v>50</v>
      </c>
      <c r="C31" s="102">
        <v>0</v>
      </c>
      <c r="D31" s="102">
        <v>113</v>
      </c>
      <c r="E31" s="103">
        <v>0</v>
      </c>
      <c r="F31" s="103">
        <v>0</v>
      </c>
      <c r="G31" s="102">
        <v>301</v>
      </c>
      <c r="H31" s="103">
        <v>4034.62</v>
      </c>
    </row>
    <row r="32" spans="1:9" ht="15.75">
      <c r="A32" s="101">
        <v>40846</v>
      </c>
      <c r="B32" s="102">
        <v>50</v>
      </c>
      <c r="C32" s="102">
        <v>0</v>
      </c>
      <c r="D32" s="102">
        <v>112</v>
      </c>
      <c r="E32" s="103">
        <v>0</v>
      </c>
      <c r="F32" s="103">
        <v>0</v>
      </c>
      <c r="G32" s="102">
        <v>301</v>
      </c>
      <c r="H32" s="103">
        <v>4034.6</v>
      </c>
    </row>
    <row r="33" spans="1:14" ht="16.5" thickBot="1">
      <c r="A33" s="109">
        <v>40847</v>
      </c>
      <c r="B33" s="102">
        <v>50</v>
      </c>
      <c r="C33" s="102">
        <v>0</v>
      </c>
      <c r="D33" s="102">
        <v>136</v>
      </c>
      <c r="E33" s="103">
        <v>0</v>
      </c>
      <c r="F33" s="103">
        <v>0</v>
      </c>
      <c r="G33" s="102">
        <v>126</v>
      </c>
      <c r="H33" s="103">
        <v>4034.58</v>
      </c>
      <c r="I33" t="s">
        <v>29</v>
      </c>
    </row>
    <row r="34" spans="1:14" ht="16.5" thickTop="1">
      <c r="A34" s="104" t="s">
        <v>8</v>
      </c>
      <c r="B34" s="102">
        <f t="shared" ref="B34:G34" si="0">SUM(B3:B33)</f>
        <v>557</v>
      </c>
      <c r="C34" s="102">
        <f t="shared" si="0"/>
        <v>799</v>
      </c>
      <c r="D34" s="102">
        <f t="shared" si="0"/>
        <v>3575</v>
      </c>
      <c r="E34" s="102">
        <f t="shared" si="0"/>
        <v>0.36</v>
      </c>
      <c r="F34" s="102">
        <f t="shared" si="0"/>
        <v>0</v>
      </c>
      <c r="G34" s="102">
        <f t="shared" si="0"/>
        <v>7273</v>
      </c>
      <c r="H34" s="102">
        <f>SUM(H3:H32)</f>
        <v>121043.18</v>
      </c>
      <c r="J34" s="11"/>
    </row>
    <row r="35" spans="1:14" s="11" customFormat="1" ht="15.75">
      <c r="A35" s="105" t="s">
        <v>9</v>
      </c>
      <c r="B35" s="106">
        <f>SUM(B34+'Oct 2011'!B36)</f>
        <v>557</v>
      </c>
      <c r="C35" s="106">
        <f>SUM(C34+'Oct 2011'!C36)</f>
        <v>799</v>
      </c>
      <c r="D35" s="106">
        <f>SUM(D34+'Oct 2011'!D36)</f>
        <v>3575</v>
      </c>
      <c r="E35" s="107">
        <f>SUM(E34+'Oct 2011'!E36)</f>
        <v>0.36</v>
      </c>
      <c r="F35" s="107">
        <f>SUM(F34+'Oct 2011'!F36)</f>
        <v>0</v>
      </c>
      <c r="G35" s="106">
        <f>SUM(G34+'Oct 2011'!G36)</f>
        <v>7273</v>
      </c>
      <c r="H35" s="107"/>
    </row>
    <row r="36" spans="1:14" s="11" customFormat="1">
      <c r="A36" s="2"/>
      <c r="B36" s="6"/>
      <c r="C36" s="6"/>
      <c r="D36" s="6"/>
      <c r="E36"/>
      <c r="F36"/>
      <c r="G36" s="6"/>
      <c r="H36"/>
      <c r="J36"/>
    </row>
    <row r="37" spans="1:14">
      <c r="A37" t="s">
        <v>10</v>
      </c>
      <c r="B37" s="23">
        <f>SUM(B3:B32)*1.9835</f>
        <v>1005.6345</v>
      </c>
      <c r="C37" s="23">
        <f>SUM(C3:C32)*1.9835</f>
        <v>1584.8165000000001</v>
      </c>
      <c r="D37" s="23">
        <f>SUM(D3:D32)*1.9835</f>
        <v>6821.2565000000004</v>
      </c>
      <c r="E37" s="23"/>
      <c r="F37" s="23"/>
      <c r="G37" s="23"/>
      <c r="H37"/>
      <c r="I37" s="22"/>
    </row>
    <row r="38" spans="1:14">
      <c r="A38"/>
      <c r="B38"/>
      <c r="C38"/>
      <c r="D38"/>
      <c r="E38"/>
      <c r="F38"/>
      <c r="G38"/>
      <c r="H38"/>
    </row>
    <row r="39" spans="1:14">
      <c r="A39" t="s">
        <v>24</v>
      </c>
      <c r="B39" s="23">
        <f>SUM('Oct 2011'!B40+B37)</f>
        <v>1005.6345</v>
      </c>
      <c r="C39" s="23">
        <f>SUM('Oct 2011'!C40+C37)</f>
        <v>1584.8165000000001</v>
      </c>
      <c r="D39" s="23">
        <f>SUM('Oct 2011'!D40+D37)</f>
        <v>6821.2565000000004</v>
      </c>
      <c r="E39" s="23"/>
      <c r="F39" s="23"/>
      <c r="G39" s="23"/>
      <c r="H39"/>
      <c r="I39" s="22"/>
    </row>
    <row r="40" spans="1:14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>
      <c r="A41" s="114"/>
      <c r="B41" s="114"/>
      <c r="C41" s="114"/>
      <c r="D41" s="114"/>
      <c r="E41" s="114"/>
      <c r="F41" s="115"/>
      <c r="G41" s="116" t="s">
        <v>12</v>
      </c>
      <c r="H41" s="117"/>
      <c r="I41" s="30"/>
      <c r="J41" s="30"/>
    </row>
    <row r="42" spans="1:14" ht="17.45" customHeight="1">
      <c r="A42" s="29"/>
      <c r="B42" s="29"/>
      <c r="C42" s="29"/>
      <c r="D42" s="29"/>
      <c r="E42" s="29"/>
      <c r="F42" s="29"/>
      <c r="G42" s="116"/>
      <c r="H42" s="117"/>
      <c r="I42" s="30"/>
      <c r="J42" s="30"/>
      <c r="K42" s="30"/>
      <c r="L42" s="30"/>
      <c r="M42" s="31"/>
      <c r="N42" s="30"/>
    </row>
    <row r="43" spans="1:14" ht="16.899999999999999" customHeight="1">
      <c r="A43" s="119" t="s">
        <v>23</v>
      </c>
      <c r="B43" s="119"/>
      <c r="C43" s="119"/>
      <c r="D43" s="119"/>
      <c r="E43" s="119"/>
      <c r="F43" s="119"/>
      <c r="G43" s="119"/>
      <c r="H43" s="119"/>
      <c r="I43" s="119"/>
      <c r="J43" s="119"/>
      <c r="K43" s="30"/>
      <c r="L43" s="30"/>
      <c r="M43" s="31"/>
      <c r="N43" s="30"/>
    </row>
    <row r="44" spans="1:14" ht="13.9" customHeight="1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15" customHeight="1" thickBot="1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7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>
      <c r="A54" s="67"/>
      <c r="B54" s="68"/>
      <c r="C54" s="69"/>
      <c r="D54" s="61"/>
      <c r="E54" s="70"/>
      <c r="F54" s="71"/>
      <c r="G54" s="64"/>
      <c r="H54" s="65"/>
    </row>
    <row r="55" spans="1:14">
      <c r="A55" s="67"/>
      <c r="B55" s="68"/>
      <c r="C55" s="69"/>
      <c r="D55" s="61"/>
      <c r="E55" s="72"/>
      <c r="F55" s="71"/>
      <c r="G55" s="64"/>
      <c r="H55" s="65"/>
    </row>
    <row r="56" spans="1:14">
      <c r="A56" s="67"/>
      <c r="B56" s="68"/>
      <c r="C56" s="69"/>
      <c r="D56" s="61"/>
      <c r="E56" s="72"/>
      <c r="F56" s="71"/>
      <c r="G56" s="64"/>
      <c r="H56" s="65"/>
    </row>
    <row r="57" spans="1:14" ht="15.75" thickBot="1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6.25" thickBot="1">
      <c r="A58" s="120" t="s">
        <v>21</v>
      </c>
      <c r="B58" s="121"/>
      <c r="C58" s="122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>
      <c r="A59" s="120" t="s">
        <v>21</v>
      </c>
      <c r="B59" s="121"/>
      <c r="C59" s="122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2012</vt:lpstr>
      <vt:lpstr>Aug 2012</vt:lpstr>
      <vt:lpstr>Jul 2012</vt:lpstr>
      <vt:lpstr>Jun 2012</vt:lpstr>
      <vt:lpstr>May 2012</vt:lpstr>
      <vt:lpstr>Apr 2012</vt:lpstr>
      <vt:lpstr>Mar 2012</vt:lpstr>
      <vt:lpstr>Feb 2012</vt:lpstr>
      <vt:lpstr>Jan 2012</vt:lpstr>
      <vt:lpstr>Dec 2011</vt:lpstr>
      <vt:lpstr>Nov 2011</vt:lpstr>
      <vt:lpstr>Oct 2011</vt:lpstr>
      <vt:lpstr>'Apr 2012'!Print_Area</vt:lpstr>
      <vt:lpstr>'Aug 2012'!Print_Area</vt:lpstr>
      <vt:lpstr>'Feb 2012'!Print_Area</vt:lpstr>
      <vt:lpstr>'Jan 2012'!Print_Area</vt:lpstr>
      <vt:lpstr>'Jul 2012'!Print_Area</vt:lpstr>
      <vt:lpstr>'Jun 2012'!Print_Area</vt:lpstr>
      <vt:lpstr>'Mar 2012'!Print_Area</vt:lpstr>
      <vt:lpstr>'Nov 2011'!Print_Area</vt:lpstr>
      <vt:lpstr>'Oct 2011'!Print_Area</vt:lpstr>
      <vt:lpstr>'Sep 2012'!Print_Area</vt:lpstr>
    </vt:vector>
  </TitlesOfParts>
  <Company>Bureau of Reclamation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dfelstul</cp:lastModifiedBy>
  <cp:lastPrinted>2012-06-11T14:16:22Z</cp:lastPrinted>
  <dcterms:created xsi:type="dcterms:W3CDTF">2010-05-21T17:05:57Z</dcterms:created>
  <dcterms:modified xsi:type="dcterms:W3CDTF">2012-10-04T22:43:08Z</dcterms:modified>
</cp:coreProperties>
</file>