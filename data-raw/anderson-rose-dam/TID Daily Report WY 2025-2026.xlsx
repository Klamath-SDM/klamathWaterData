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vstromberg_usbr_gov/Documents/Documents/"/>
    </mc:Choice>
  </mc:AlternateContent>
  <xr:revisionPtr revIDLastSave="0" documentId="8_{542150CF-495C-42BC-8654-D7E35F6611DE}" xr6:coauthVersionLast="47" xr6:coauthVersionMax="47" xr10:uidLastSave="{00000000-0000-0000-0000-000000000000}"/>
  <bookViews>
    <workbookView xWindow="-28920" yWindow="3105" windowWidth="29040" windowHeight="15720" tabRatio="868" activeTab="8" xr2:uid="{00000000-000D-0000-FFFF-FFFF00000000}"/>
  </bookViews>
  <sheets>
    <sheet name="Oct 2026" sheetId="14" r:id="rId1"/>
    <sheet name="Sep 2026" sheetId="12" r:id="rId2"/>
    <sheet name="Aug 2026" sheetId="11" r:id="rId3"/>
    <sheet name="Jul 2026" sheetId="10" r:id="rId4"/>
    <sheet name="Jun 2026" sheetId="9" r:id="rId5"/>
    <sheet name="May 2026" sheetId="8" r:id="rId6"/>
    <sheet name="Apr 2026" sheetId="7" r:id="rId7"/>
    <sheet name="Mar 2026" sheetId="6" r:id="rId8"/>
    <sheet name="Feb 2026" sheetId="5" r:id="rId9"/>
    <sheet name="Jan 2026" sheetId="4" r:id="rId10"/>
    <sheet name="Dec 2025" sheetId="3" r:id="rId11"/>
    <sheet name="Nov 2025" sheetId="2" r:id="rId12"/>
    <sheet name="Oct 2025" sheetId="1" r:id="rId13"/>
  </sheets>
  <definedNames>
    <definedName name="_xlnm.Print_Area" localSheetId="6">'Apr 2026'!$A$1:$I$34</definedName>
    <definedName name="_xlnm.Print_Area" localSheetId="2">'Aug 2026'!$A$1:$I$39</definedName>
    <definedName name="_xlnm.Print_Area" localSheetId="10">'Dec 2025'!$A$1:$J$39</definedName>
    <definedName name="_xlnm.Print_Area" localSheetId="8">'Feb 2026'!$A$1:$I$33</definedName>
    <definedName name="_xlnm.Print_Area" localSheetId="9">'Jan 2026'!$A$1:$J$39</definedName>
    <definedName name="_xlnm.Print_Area" localSheetId="3">'Jul 2026'!$A$1:$I$39</definedName>
    <definedName name="_xlnm.Print_Area" localSheetId="4">'Jun 2026'!$A$1:$I$38</definedName>
    <definedName name="_xlnm.Print_Area" localSheetId="7">'Mar 2026'!$A$1:$I$35</definedName>
    <definedName name="_xlnm.Print_Area" localSheetId="11">'Nov 2025'!$A$1:$J$38</definedName>
    <definedName name="_xlnm.Print_Area" localSheetId="12">'Oct 2025'!$A$1:$J$39</definedName>
    <definedName name="_xlnm.Print_Area" localSheetId="0">'Oct 2026'!$A$1:$I$39</definedName>
    <definedName name="_xlnm.Print_Area" localSheetId="1">'Sep 2026'!$A$1:$I$38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E58" i="14"/>
  <c r="G57" i="14"/>
  <c r="G56" i="14"/>
  <c r="G55" i="14"/>
  <c r="G54" i="14"/>
  <c r="G53" i="14"/>
  <c r="G58" i="14" s="1"/>
  <c r="H49" i="14"/>
  <c r="G49" i="14"/>
  <c r="H48" i="14"/>
  <c r="G48" i="14"/>
  <c r="H47" i="14"/>
  <c r="I47" i="14" s="1"/>
  <c r="G47" i="14"/>
  <c r="H46" i="14"/>
  <c r="G46" i="14"/>
  <c r="H45" i="14"/>
  <c r="I45" i="14" s="1"/>
  <c r="G45" i="14"/>
  <c r="E37" i="14"/>
  <c r="D37" i="14"/>
  <c r="C37" i="14"/>
  <c r="B37" i="14"/>
  <c r="H34" i="14"/>
  <c r="G34" i="14"/>
  <c r="F34" i="14"/>
  <c r="E34" i="14"/>
  <c r="D34" i="14"/>
  <c r="C34" i="14"/>
  <c r="B3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I48" i="14" l="1"/>
  <c r="I46" i="14"/>
  <c r="I49" i="14"/>
  <c r="H34" i="1"/>
  <c r="D37" i="6" l="1"/>
  <c r="D34" i="6"/>
  <c r="B33" i="12" l="1"/>
  <c r="B36" i="12"/>
  <c r="B34" i="11"/>
  <c r="B37" i="11"/>
  <c r="B34" i="10"/>
  <c r="B37" i="10"/>
  <c r="B33" i="9"/>
  <c r="B36" i="9"/>
  <c r="B34" i="8"/>
  <c r="B37" i="8"/>
  <c r="B33" i="7"/>
  <c r="B34" i="6"/>
  <c r="B37" i="6"/>
  <c r="B34" i="1"/>
  <c r="B35" i="1" s="1"/>
  <c r="B37" i="1"/>
  <c r="B39" i="1" s="1"/>
  <c r="B33" i="2"/>
  <c r="B36" i="2"/>
  <c r="B34" i="3"/>
  <c r="B37" i="3"/>
  <c r="B34" i="4"/>
  <c r="B37" i="4"/>
  <c r="B32" i="5"/>
  <c r="B35" i="5"/>
  <c r="B38" i="2" l="1"/>
  <c r="B39" i="3" s="1"/>
  <c r="B39" i="4" s="1"/>
  <c r="B37" i="5" s="1"/>
  <c r="B39" i="6" s="1"/>
  <c r="B36" i="7"/>
  <c r="B34" i="2"/>
  <c r="B35" i="3" s="1"/>
  <c r="B35" i="4" s="1"/>
  <c r="B33" i="5" s="1"/>
  <c r="B35" i="6" s="1"/>
  <c r="B34" i="7" s="1"/>
  <c r="B35" i="8" s="1"/>
  <c r="B34" i="9" s="1"/>
  <c r="B35" i="10" s="1"/>
  <c r="B35" i="1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6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B34" i="12" l="1"/>
  <c r="B35" i="14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B38" i="7"/>
  <c r="B39" i="8" s="1"/>
  <c r="B38" i="9" s="1"/>
  <c r="B39" i="10" s="1"/>
  <c r="B39" i="11" s="1"/>
  <c r="H33" i="12"/>
  <c r="G33" i="12"/>
  <c r="F33" i="12"/>
  <c r="E33" i="12"/>
  <c r="D33" i="12"/>
  <c r="C33" i="12"/>
  <c r="E37" i="11"/>
  <c r="D37" i="11"/>
  <c r="C37" i="11"/>
  <c r="H33" i="9"/>
  <c r="G33" i="9"/>
  <c r="F33" i="9"/>
  <c r="E33" i="9"/>
  <c r="D33" i="9"/>
  <c r="H33" i="2"/>
  <c r="H35" i="1"/>
  <c r="B38" i="12" l="1"/>
  <c r="B39" i="14"/>
  <c r="D37" i="1"/>
  <c r="E37" i="1"/>
  <c r="E39" i="1" s="1"/>
  <c r="C37" i="1"/>
  <c r="C39" i="1" s="1"/>
  <c r="H32" i="5" l="1"/>
  <c r="C33" i="7"/>
  <c r="C36" i="7" s="1"/>
  <c r="D33" i="7"/>
  <c r="D36" i="7" s="1"/>
  <c r="E33" i="7"/>
  <c r="E36" i="7" s="1"/>
  <c r="F33" i="7"/>
  <c r="G33" i="7"/>
  <c r="H33" i="7"/>
  <c r="G44" i="7"/>
  <c r="H44" i="7"/>
  <c r="G45" i="7"/>
  <c r="H45" i="7"/>
  <c r="G46" i="7"/>
  <c r="H46" i="7"/>
  <c r="G47" i="7"/>
  <c r="H47" i="7"/>
  <c r="G48" i="7"/>
  <c r="H48" i="7"/>
  <c r="I48" i="7" s="1"/>
  <c r="G52" i="7"/>
  <c r="G53" i="7"/>
  <c r="G54" i="7"/>
  <c r="G55" i="7"/>
  <c r="G56" i="7"/>
  <c r="E57" i="7"/>
  <c r="C34" i="11"/>
  <c r="D34" i="11"/>
  <c r="E34" i="11"/>
  <c r="F34" i="11"/>
  <c r="G34" i="11"/>
  <c r="H34" i="11"/>
  <c r="G45" i="11"/>
  <c r="H45" i="11"/>
  <c r="G46" i="11"/>
  <c r="H46" i="11"/>
  <c r="G47" i="11"/>
  <c r="H47" i="11"/>
  <c r="G48" i="11"/>
  <c r="H48" i="11"/>
  <c r="G49" i="11"/>
  <c r="H49" i="11"/>
  <c r="G53" i="11"/>
  <c r="G54" i="11"/>
  <c r="G55" i="11"/>
  <c r="G56" i="11"/>
  <c r="G57" i="11"/>
  <c r="E58" i="11"/>
  <c r="C34" i="3"/>
  <c r="D34" i="3"/>
  <c r="E34" i="3"/>
  <c r="F34" i="3"/>
  <c r="G34" i="3"/>
  <c r="H34" i="3"/>
  <c r="C37" i="3"/>
  <c r="D37" i="3"/>
  <c r="E37" i="3"/>
  <c r="G45" i="3"/>
  <c r="H45" i="3"/>
  <c r="G46" i="3"/>
  <c r="H46" i="3"/>
  <c r="G47" i="3"/>
  <c r="H47" i="3"/>
  <c r="G48" i="3"/>
  <c r="H48" i="3"/>
  <c r="G49" i="3"/>
  <c r="H49" i="3"/>
  <c r="E58" i="3"/>
  <c r="G58" i="3"/>
  <c r="C32" i="5"/>
  <c r="D32" i="5"/>
  <c r="E32" i="5"/>
  <c r="F32" i="5"/>
  <c r="G32" i="5"/>
  <c r="C35" i="5"/>
  <c r="D35" i="5"/>
  <c r="E35" i="5"/>
  <c r="G43" i="5"/>
  <c r="H43" i="5"/>
  <c r="G44" i="5"/>
  <c r="H44" i="5"/>
  <c r="G45" i="5"/>
  <c r="H45" i="5"/>
  <c r="G46" i="5"/>
  <c r="H46" i="5"/>
  <c r="G47" i="5"/>
  <c r="H47" i="5"/>
  <c r="G51" i="5"/>
  <c r="G52" i="5"/>
  <c r="G53" i="5"/>
  <c r="G54" i="5"/>
  <c r="G55" i="5"/>
  <c r="E56" i="5"/>
  <c r="C34" i="4"/>
  <c r="D34" i="4"/>
  <c r="E34" i="4"/>
  <c r="F34" i="4"/>
  <c r="G34" i="4"/>
  <c r="H34" i="4"/>
  <c r="C37" i="4"/>
  <c r="D37" i="4"/>
  <c r="E37" i="4"/>
  <c r="G45" i="4"/>
  <c r="H45" i="4"/>
  <c r="G46" i="4"/>
  <c r="H46" i="4"/>
  <c r="G47" i="4"/>
  <c r="H47" i="4"/>
  <c r="G48" i="4"/>
  <c r="H48" i="4"/>
  <c r="G49" i="4"/>
  <c r="H49" i="4"/>
  <c r="G53" i="4"/>
  <c r="G54" i="4"/>
  <c r="G55" i="4"/>
  <c r="G56" i="4"/>
  <c r="G57" i="4"/>
  <c r="E58" i="4"/>
  <c r="C34" i="10"/>
  <c r="D34" i="10"/>
  <c r="E34" i="10"/>
  <c r="F34" i="10"/>
  <c r="G34" i="10"/>
  <c r="H34" i="10"/>
  <c r="C37" i="10"/>
  <c r="D37" i="10"/>
  <c r="E37" i="10"/>
  <c r="G45" i="10"/>
  <c r="H45" i="10"/>
  <c r="G46" i="10"/>
  <c r="H46" i="10"/>
  <c r="G47" i="10"/>
  <c r="H47" i="10"/>
  <c r="G48" i="10"/>
  <c r="H48" i="10"/>
  <c r="G49" i="10"/>
  <c r="H49" i="10"/>
  <c r="G53" i="10"/>
  <c r="G54" i="10"/>
  <c r="G55" i="10"/>
  <c r="G56" i="10"/>
  <c r="G57" i="10"/>
  <c r="E58" i="10"/>
  <c r="C33" i="9"/>
  <c r="C36" i="9"/>
  <c r="D36" i="9"/>
  <c r="E36" i="9"/>
  <c r="G44" i="9"/>
  <c r="H44" i="9"/>
  <c r="G45" i="9"/>
  <c r="H45" i="9"/>
  <c r="G46" i="9"/>
  <c r="H46" i="9"/>
  <c r="G47" i="9"/>
  <c r="H47" i="9"/>
  <c r="G48" i="9"/>
  <c r="H48" i="9"/>
  <c r="G52" i="9"/>
  <c r="G53" i="9"/>
  <c r="G54" i="9"/>
  <c r="G55" i="9"/>
  <c r="G56" i="9"/>
  <c r="E57" i="9"/>
  <c r="C34" i="6"/>
  <c r="E34" i="6"/>
  <c r="F34" i="6"/>
  <c r="G34" i="6"/>
  <c r="H34" i="6"/>
  <c r="C37" i="6"/>
  <c r="E37" i="6"/>
  <c r="G45" i="6"/>
  <c r="H45" i="6"/>
  <c r="G46" i="6"/>
  <c r="H46" i="6"/>
  <c r="G47" i="6"/>
  <c r="H47" i="6"/>
  <c r="G48" i="6"/>
  <c r="H48" i="6"/>
  <c r="G49" i="6"/>
  <c r="H49" i="6"/>
  <c r="G53" i="6"/>
  <c r="G54" i="6"/>
  <c r="G55" i="6"/>
  <c r="G56" i="6"/>
  <c r="G57" i="6"/>
  <c r="E58" i="6"/>
  <c r="C34" i="8"/>
  <c r="D34" i="8"/>
  <c r="E34" i="8"/>
  <c r="F34" i="8"/>
  <c r="G34" i="8"/>
  <c r="H34" i="8"/>
  <c r="C37" i="8"/>
  <c r="D37" i="8"/>
  <c r="E37" i="8"/>
  <c r="G45" i="8"/>
  <c r="H45" i="8"/>
  <c r="G46" i="8"/>
  <c r="H46" i="8"/>
  <c r="G47" i="8"/>
  <c r="H47" i="8"/>
  <c r="G48" i="8"/>
  <c r="H48" i="8"/>
  <c r="G49" i="8"/>
  <c r="H49" i="8"/>
  <c r="G53" i="8"/>
  <c r="G54" i="8"/>
  <c r="G55" i="8"/>
  <c r="G56" i="8"/>
  <c r="G57" i="8"/>
  <c r="E58" i="8"/>
  <c r="C33" i="2"/>
  <c r="E33" i="2"/>
  <c r="F33" i="2"/>
  <c r="G33" i="2"/>
  <c r="H34" i="2"/>
  <c r="C36" i="2"/>
  <c r="D36" i="2"/>
  <c r="E36" i="2"/>
  <c r="E38" i="2" s="1"/>
  <c r="G44" i="2"/>
  <c r="H44" i="2"/>
  <c r="G45" i="2"/>
  <c r="H45" i="2"/>
  <c r="G46" i="2"/>
  <c r="H46" i="2"/>
  <c r="G47" i="2"/>
  <c r="H47" i="2"/>
  <c r="I47" i="2" s="1"/>
  <c r="G48" i="2"/>
  <c r="H48" i="2"/>
  <c r="E57" i="2"/>
  <c r="G57" i="2"/>
  <c r="C34" i="1"/>
  <c r="C35" i="1" s="1"/>
  <c r="D34" i="1"/>
  <c r="D35" i="1" s="1"/>
  <c r="E34" i="1"/>
  <c r="E35" i="1" s="1"/>
  <c r="F34" i="1"/>
  <c r="F35" i="1" s="1"/>
  <c r="G34" i="1"/>
  <c r="G35" i="1" s="1"/>
  <c r="D39" i="1"/>
  <c r="G45" i="1"/>
  <c r="H45" i="1"/>
  <c r="G46" i="1"/>
  <c r="H46" i="1"/>
  <c r="G47" i="1"/>
  <c r="H47" i="1"/>
  <c r="G48" i="1"/>
  <c r="H48" i="1"/>
  <c r="G49" i="1"/>
  <c r="H49" i="1"/>
  <c r="E58" i="1"/>
  <c r="E59" i="1" s="1"/>
  <c r="G58" i="1"/>
  <c r="G59" i="1" s="1"/>
  <c r="C36" i="12"/>
  <c r="D36" i="12"/>
  <c r="E36" i="12"/>
  <c r="G44" i="12"/>
  <c r="H44" i="12"/>
  <c r="G45" i="12"/>
  <c r="H45" i="12"/>
  <c r="G46" i="12"/>
  <c r="H46" i="12"/>
  <c r="G47" i="12"/>
  <c r="H47" i="12"/>
  <c r="G48" i="12"/>
  <c r="H48" i="12"/>
  <c r="G52" i="12"/>
  <c r="G53" i="12"/>
  <c r="G54" i="12"/>
  <c r="G55" i="12"/>
  <c r="G56" i="12"/>
  <c r="E57" i="12"/>
  <c r="I47" i="1" l="1"/>
  <c r="I45" i="5"/>
  <c r="I43" i="5"/>
  <c r="I49" i="6"/>
  <c r="I45" i="6"/>
  <c r="I46" i="1"/>
  <c r="I46" i="2"/>
  <c r="I48" i="6"/>
  <c r="I49" i="1"/>
  <c r="I47" i="6"/>
  <c r="I44" i="7"/>
  <c r="I49" i="8"/>
  <c r="I45" i="8"/>
  <c r="I47" i="3"/>
  <c r="I45" i="4"/>
  <c r="I47" i="12"/>
  <c r="I44" i="9"/>
  <c r="I46" i="5"/>
  <c r="G58" i="10"/>
  <c r="I47" i="4"/>
  <c r="I46" i="10"/>
  <c r="I45" i="3"/>
  <c r="I44" i="12"/>
  <c r="E39" i="3"/>
  <c r="E39" i="4" s="1"/>
  <c r="E37" i="5" s="1"/>
  <c r="E39" i="6" s="1"/>
  <c r="E38" i="7" s="1"/>
  <c r="E39" i="8" s="1"/>
  <c r="E38" i="9" s="1"/>
  <c r="E39" i="10" s="1"/>
  <c r="E39" i="11" s="1"/>
  <c r="I47" i="8"/>
  <c r="I46" i="6"/>
  <c r="I47" i="9"/>
  <c r="I45" i="9"/>
  <c r="I45" i="10"/>
  <c r="G56" i="5"/>
  <c r="I48" i="3"/>
  <c r="G57" i="12"/>
  <c r="I45" i="12"/>
  <c r="I48" i="8"/>
  <c r="I46" i="8"/>
  <c r="I48" i="9"/>
  <c r="I45" i="1"/>
  <c r="I48" i="2"/>
  <c r="I45" i="2"/>
  <c r="G57" i="9"/>
  <c r="I46" i="9"/>
  <c r="I48" i="10"/>
  <c r="I49" i="4"/>
  <c r="I49" i="3"/>
  <c r="I44" i="2"/>
  <c r="G58" i="8"/>
  <c r="I49" i="10"/>
  <c r="I47" i="10"/>
  <c r="I48" i="4"/>
  <c r="G57" i="7"/>
  <c r="I46" i="7"/>
  <c r="I48" i="12"/>
  <c r="I46" i="12"/>
  <c r="I48" i="1"/>
  <c r="G58" i="4"/>
  <c r="I46" i="4"/>
  <c r="I47" i="5"/>
  <c r="I44" i="5"/>
  <c r="I46" i="3"/>
  <c r="I47" i="7"/>
  <c r="I45" i="7"/>
  <c r="G58" i="6"/>
  <c r="I46" i="11"/>
  <c r="I49" i="11"/>
  <c r="I47" i="11"/>
  <c r="I45" i="11"/>
  <c r="I48" i="11"/>
  <c r="G58" i="1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D38" i="2"/>
  <c r="D39" i="3" s="1"/>
  <c r="D39" i="4" s="1"/>
  <c r="D37" i="5" s="1"/>
  <c r="D39" i="6" s="1"/>
  <c r="D38" i="7" s="1"/>
  <c r="D39" i="8" s="1"/>
  <c r="D38" i="9" s="1"/>
  <c r="D39" i="10" s="1"/>
  <c r="D39" i="11" s="1"/>
  <c r="D34" i="2"/>
  <c r="D35" i="3" s="1"/>
  <c r="D35" i="4" s="1"/>
  <c r="D33" i="5" s="1"/>
  <c r="G34" i="2"/>
  <c r="G35" i="3" s="1"/>
  <c r="G35" i="4" s="1"/>
  <c r="G33" i="5" s="1"/>
  <c r="G35" i="6" s="1"/>
  <c r="G34" i="7" s="1"/>
  <c r="G35" i="8" s="1"/>
  <c r="G34" i="9" s="1"/>
  <c r="G35" i="10" s="1"/>
  <c r="G35" i="11" s="1"/>
  <c r="H35" i="3"/>
  <c r="H35" i="4" s="1"/>
  <c r="H33" i="5" s="1"/>
  <c r="H35" i="6" s="1"/>
  <c r="H34" i="7" s="1"/>
  <c r="H35" i="8" s="1"/>
  <c r="H34" i="9" s="1"/>
  <c r="H35" i="10" s="1"/>
  <c r="H35" i="11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l="1"/>
  <c r="E35" i="14"/>
  <c r="D38" i="12"/>
  <c r="D39" i="14"/>
  <c r="C38" i="12"/>
  <c r="C39" i="14"/>
  <c r="F34" i="12"/>
  <c r="F35" i="14"/>
  <c r="G34" i="12"/>
  <c r="G35" i="14"/>
  <c r="C34" i="12"/>
  <c r="C35" i="14"/>
  <c r="H34" i="12"/>
  <c r="H35" i="14"/>
  <c r="E38" i="12"/>
  <c r="E39" i="14"/>
  <c r="D35" i="6"/>
  <c r="D34" i="7" s="1"/>
  <c r="D35" i="8" s="1"/>
  <c r="D34" i="9" s="1"/>
  <c r="D35" i="10" s="1"/>
  <c r="D35" i="11" s="1"/>
  <c r="D34" i="12" l="1"/>
  <c r="D35" i="14"/>
</calcChain>
</file>

<file path=xl/sharedStrings.xml><?xml version="1.0" encoding="utf-8"?>
<sst xmlns="http://schemas.openxmlformats.org/spreadsheetml/2006/main" count="503" uniqueCount="114">
  <si>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</si>
  <si>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</si>
  <si>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</si>
  <si>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</si>
  <si>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</si>
  <si>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</si>
  <si>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</si>
  <si>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</si>
  <si>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</si>
  <si>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</si>
  <si>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</si>
  <si>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</si>
  <si>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</si>
  <si>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</si>
  <si>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</si>
  <si>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</si>
  <si>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</si>
  <si>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</si>
  <si>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</si>
  <si>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</si>
  <si>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</si>
  <si>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</si>
  <si>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</si>
  <si>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</si>
  <si>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</si>
  <si>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</si>
  <si>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</si>
  <si>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</si>
  <si>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LRDC</t>
  </si>
  <si>
    <t>-</t>
  </si>
  <si>
    <t>T</t>
  </si>
  <si>
    <t>* 1 unit at D plant</t>
  </si>
  <si>
    <t>*Switched to unit 1 at D plant from unit 3</t>
  </si>
  <si>
    <t>* 09:00 0/20 *10:30 20/50</t>
  </si>
  <si>
    <t>*11:00 50/0</t>
  </si>
  <si>
    <t>* 17:00 0/25</t>
  </si>
  <si>
    <t>D Plant off a 06:00</t>
  </si>
  <si>
    <t>Started 1 D at 11:00 Dplant off at 14:15</t>
  </si>
  <si>
    <t>14:00 25/0</t>
  </si>
  <si>
    <t>Started 1 D plant 08:30</t>
  </si>
  <si>
    <t>*09:00 0/50</t>
  </si>
  <si>
    <t>* 09:30 50/100 * 16:30 100/50</t>
  </si>
  <si>
    <t>2nd D plant at 15:30</t>
  </si>
  <si>
    <t>1 D plant off at 14:00</t>
  </si>
  <si>
    <t>1 D-plant off at 08:45</t>
  </si>
  <si>
    <t>10:30 2nd D-plant started</t>
  </si>
  <si>
    <t>08:50 3rd D-plant started</t>
  </si>
  <si>
    <t>8:50 2nd D-plant started</t>
  </si>
  <si>
    <t>D-Plant 1 unit off at 09:40</t>
  </si>
  <si>
    <t>D-Plant 1 unti off at 08:30</t>
  </si>
  <si>
    <t>08:33 D-Plant off</t>
  </si>
  <si>
    <t>* 15:30 0/25</t>
  </si>
  <si>
    <t>*18:00 25/50</t>
  </si>
  <si>
    <t>* 08:30 50/75</t>
  </si>
  <si>
    <t>*21:00 75/100</t>
  </si>
  <si>
    <t>* 18:00 100/125</t>
  </si>
  <si>
    <t>* 06:30 125/150 08:00 150/175 * 14:00 175/200</t>
  </si>
  <si>
    <t>* 12:30 200/250</t>
  </si>
  <si>
    <t>* 14:00 250/200</t>
  </si>
  <si>
    <t>* 13:30 200/150</t>
  </si>
  <si>
    <t>* 13:00 150/100</t>
  </si>
  <si>
    <t>*11:00 100/150 *15:30 150/200</t>
  </si>
  <si>
    <t>*15:00 200/250</t>
  </si>
  <si>
    <t>* 08:00 250/200</t>
  </si>
  <si>
    <t>*16:00 200/225</t>
  </si>
  <si>
    <t>* 15:30 225/250</t>
  </si>
  <si>
    <t>* 16:00 250/300</t>
  </si>
  <si>
    <t>* 09:00 300/350 * 13:30 350/400</t>
  </si>
  <si>
    <t>*8:30 400/350</t>
  </si>
  <si>
    <t>*13:30 350/300</t>
  </si>
  <si>
    <t>*00:30 300/250 10:00 250/200</t>
  </si>
  <si>
    <t>*08:00 200/250 14:30 250/300</t>
  </si>
  <si>
    <t>* 16:30 300/250</t>
  </si>
  <si>
    <t>* 12:30 250/200 * 17:30 200/150</t>
  </si>
  <si>
    <t>* 18:00 150/200</t>
  </si>
  <si>
    <t>* 15:00 200/250 * 18:00 250/300</t>
  </si>
  <si>
    <t>* 14:30 300/250</t>
  </si>
  <si>
    <t>* 10:00 250/300</t>
  </si>
  <si>
    <t>*08:00 300/250 12:00 250/200</t>
  </si>
  <si>
    <t>*09:00 200/150</t>
  </si>
  <si>
    <t>*15:00 150/200</t>
  </si>
  <si>
    <t>* 22:00 200/250</t>
  </si>
  <si>
    <t>*16:00 250/200</t>
  </si>
  <si>
    <t>*23:15 200/175</t>
  </si>
  <si>
    <t>*15:00 175/150</t>
  </si>
  <si>
    <t>*16:00 150/125</t>
  </si>
  <si>
    <t>*07:30 125/100 *23:30 100/150</t>
  </si>
  <si>
    <t>*08:30 150/200</t>
  </si>
  <si>
    <t>*07:00 200/250 15:30 250/200</t>
  </si>
  <si>
    <t>* 01:00 200/150 08:00 150/50</t>
  </si>
  <si>
    <t>* 06:30 50/18 14:30 18/0</t>
  </si>
  <si>
    <t>*23:00 0/50</t>
  </si>
  <si>
    <t>*10:30 50/100</t>
  </si>
  <si>
    <t>*14:30 100/150</t>
  </si>
  <si>
    <t>*07:00 150/200 22:45 200/250</t>
  </si>
  <si>
    <t>*14:30 250/300</t>
  </si>
  <si>
    <t>*00:30 300/250</t>
  </si>
  <si>
    <t>*10:30 300/350</t>
  </si>
  <si>
    <t>*10:00 350/300</t>
  </si>
  <si>
    <t>08:00 300/400</t>
  </si>
  <si>
    <t>08:30 400/300</t>
  </si>
  <si>
    <t>08:00 300/250</t>
  </si>
  <si>
    <t>00:00 250/300 15:00 300/250</t>
  </si>
  <si>
    <t>*21:30 250/300</t>
  </si>
  <si>
    <t>*17:00 250/200</t>
  </si>
  <si>
    <t>*07:15 200/300</t>
  </si>
  <si>
    <t>*07:30 300/200</t>
  </si>
  <si>
    <t>*08:30 200/250</t>
  </si>
  <si>
    <t>*09:00 250/300</t>
  </si>
  <si>
    <t>15:00 300/400 * 21:15 400/500</t>
  </si>
  <si>
    <t>* 13:00 500/350</t>
  </si>
  <si>
    <t>* 16:00 350/300</t>
  </si>
  <si>
    <t xml:space="preserve">*300/250 14:30 </t>
  </si>
  <si>
    <t>* 09:15 250/300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</si>
</sst>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_);[Red]\(0\)"/>
    <numFmt numFmtId="167" formatCode="h:mm;@"/>
  </numFmts>
  <fonts count="4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indexed="10"/>
      <name val="Calibri"/>
      <family val="2"/>
    </font>
    <font>
      <sz val="11"/>
      <name val="Calibri"/>
      <family val="2"/>
    </font>
    <font>
      <b/>
      <sz val="11"/>
      <color indexed="12"/>
      <name val="Calibri"/>
      <family val="2"/>
    </font>
    <font>
      <sz val="11"/>
      <color indexed="10"/>
      <name val="Calibri"/>
      <family val="2"/>
    </font>
    <font>
      <b/>
      <sz val="11"/>
      <color indexed="58"/>
      <name val="Calibri"/>
      <family val="2"/>
    </font>
    <font>
      <sz val="11"/>
      <color indexed="12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MS Sans Serif"/>
      <family val="2"/>
    </font>
    <font>
      <b/>
      <sz val="11"/>
      <color indexed="10"/>
      <name val="Arial"/>
      <family val="2"/>
    </font>
    <font>
      <sz val="11"/>
      <name val="Arial"/>
      <family val="2"/>
    </font>
    <font>
      <sz val="11"/>
      <color indexed="8"/>
      <name val="MS Sans Serif"/>
      <family val="2"/>
    </font>
    <font>
      <b/>
      <sz val="11"/>
      <color indexed="12"/>
      <name val="MS Sans Serif"/>
      <family val="2"/>
    </font>
    <font>
      <sz val="11"/>
      <color indexed="10"/>
      <name val="MS Sans Serif"/>
      <family val="2"/>
    </font>
    <font>
      <sz val="11"/>
      <name val="MS Sans Serif"/>
      <family val="2"/>
    </font>
    <font>
      <b/>
      <sz val="11"/>
      <color indexed="58"/>
      <name val="MS Sans Serif"/>
      <family val="2"/>
    </font>
    <font>
      <sz val="11"/>
      <color indexed="12"/>
      <name val="MS Sans Serif"/>
      <family val="2"/>
    </font>
    <font>
      <sz val="11"/>
      <color indexed="58"/>
      <name val="MS Sans Serif"/>
      <family val="2"/>
    </font>
    <font>
      <b/>
      <sz val="11"/>
      <color indexed="8"/>
      <name val="MS Sans Serif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264">
    <xf numFmtId="0" fontId="0" fillId="0" borderId="0" xfId="0"/>
    <xf numFmtId="0" fontId="6" fillId="0" borderId="0" xfId="0" applyFont="1" applyAlignment="1">
      <alignment wrapText="1"/>
    </xf>
    <xf numFmtId="4" fontId="3" fillId="2" borderId="1" xfId="1" applyNumberFormat="1" applyFont="1" applyFill="1" applyBorder="1" applyAlignment="1">
      <alignment horizontal="center" wrapText="1"/>
    </xf>
    <xf numFmtId="3" fontId="3" fillId="2" borderId="1" xfId="1" applyNumberFormat="1" applyFont="1" applyFill="1" applyBorder="1" applyAlignment="1">
      <alignment horizontal="center" wrapText="1"/>
    </xf>
    <xf numFmtId="2" fontId="3" fillId="2" borderId="1" xfId="1" applyNumberFormat="1" applyFont="1" applyFill="1" applyBorder="1" applyAlignment="1">
      <alignment horizontal="center" wrapText="1"/>
    </xf>
    <xf numFmtId="1" fontId="3" fillId="2" borderId="1" xfId="1" applyNumberFormat="1" applyFont="1" applyFill="1" applyBorder="1" applyAlignment="1">
      <alignment horizontal="center" wrapText="1"/>
    </xf>
    <xf numFmtId="0" fontId="6" fillId="0" borderId="0" xfId="0" applyFont="1"/>
    <xf numFmtId="14" fontId="4" fillId="0" borderId="1" xfId="2" applyNumberFormat="1" applyFont="1" applyBorder="1" applyAlignment="1">
      <alignment horizontal="right" wrapText="1"/>
    </xf>
    <xf numFmtId="1" fontId="4" fillId="0" borderId="1" xfId="2" applyNumberFormat="1" applyFont="1" applyBorder="1" applyAlignment="1">
      <alignment horizontal="right" wrapText="1"/>
    </xf>
    <xf numFmtId="2" fontId="4" fillId="0" borderId="1" xfId="2" applyNumberFormat="1" applyFont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4" fontId="1" fillId="0" borderId="1" xfId="3" applyNumberFormat="1" applyFont="1" applyBorder="1" applyAlignment="1">
      <alignment horizontal="right" wrapText="1"/>
    </xf>
    <xf numFmtId="0" fontId="7" fillId="0" borderId="0" xfId="0" applyFont="1" applyAlignment="1">
      <alignment horizontal="center"/>
    </xf>
    <xf numFmtId="0" fontId="9" fillId="0" borderId="0" xfId="2" applyFont="1"/>
    <xf numFmtId="166" fontId="9" fillId="0" borderId="0" xfId="2" applyNumberFormat="1" applyFont="1"/>
    <xf numFmtId="0" fontId="10" fillId="0" borderId="0" xfId="0" applyFont="1"/>
    <xf numFmtId="166" fontId="10" fillId="0" borderId="0" xfId="0" applyNumberFormat="1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0" fontId="21" fillId="0" borderId="0" xfId="0" applyFont="1"/>
    <xf numFmtId="0" fontId="22" fillId="0" borderId="27" xfId="0" applyFont="1" applyBorder="1" applyAlignment="1">
      <alignment horizontal="right" wrapText="1"/>
    </xf>
    <xf numFmtId="0" fontId="22" fillId="0" borderId="0" xfId="0" applyFont="1"/>
    <xf numFmtId="0" fontId="21" fillId="0" borderId="0" xfId="0" applyFont="1" applyAlignment="1">
      <alignment wrapText="1"/>
    </xf>
    <xf numFmtId="0" fontId="22" fillId="0" borderId="27" xfId="0" applyFont="1" applyBorder="1" applyAlignment="1">
      <alignment horizontal="right"/>
    </xf>
    <xf numFmtId="14" fontId="11" fillId="0" borderId="28" xfId="0" applyNumberFormat="1" applyFont="1" applyBorder="1" applyAlignment="1">
      <alignment horizontal="left"/>
    </xf>
    <xf numFmtId="14" fontId="10" fillId="0" borderId="28" xfId="0" applyNumberFormat="1" applyFont="1" applyBorder="1" applyAlignment="1">
      <alignment horizontal="right"/>
    </xf>
    <xf numFmtId="14" fontId="11" fillId="0" borderId="26" xfId="0" applyNumberFormat="1" applyFont="1" applyBorder="1" applyAlignment="1">
      <alignment horizontal="center" wrapText="1"/>
    </xf>
    <xf numFmtId="14" fontId="15" fillId="0" borderId="29" xfId="0" applyNumberFormat="1" applyFont="1" applyBorder="1" applyAlignment="1">
      <alignment horizontal="right"/>
    </xf>
    <xf numFmtId="14" fontId="15" fillId="0" borderId="28" xfId="0" applyNumberFormat="1" applyFont="1" applyBorder="1"/>
    <xf numFmtId="0" fontId="15" fillId="0" borderId="30" xfId="0" applyFont="1" applyBorder="1"/>
    <xf numFmtId="0" fontId="22" fillId="0" borderId="27" xfId="0" quotePrefix="1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25" fillId="0" borderId="0" xfId="0" applyFont="1"/>
    <xf numFmtId="0" fontId="24" fillId="0" borderId="0" xfId="0" applyFont="1" applyAlignment="1">
      <alignment wrapText="1"/>
    </xf>
    <xf numFmtId="0" fontId="26" fillId="0" borderId="0" xfId="0" applyFont="1"/>
    <xf numFmtId="0" fontId="3" fillId="0" borderId="0" xfId="0" applyFont="1"/>
    <xf numFmtId="14" fontId="26" fillId="0" borderId="0" xfId="0" applyNumberFormat="1" applyFont="1"/>
    <xf numFmtId="3" fontId="26" fillId="0" borderId="0" xfId="0" applyNumberFormat="1" applyFont="1"/>
    <xf numFmtId="165" fontId="26" fillId="0" borderId="0" xfId="0" applyNumberFormat="1" applyFont="1" applyAlignment="1">
      <alignment horizontal="center"/>
    </xf>
    <xf numFmtId="165" fontId="26" fillId="0" borderId="0" xfId="0" applyNumberFormat="1" applyFont="1"/>
    <xf numFmtId="0" fontId="26" fillId="0" borderId="0" xfId="0" applyFont="1" applyAlignment="1">
      <alignment vertical="center" wrapText="1"/>
    </xf>
    <xf numFmtId="0" fontId="26" fillId="0" borderId="0" xfId="0" applyFont="1" applyAlignment="1">
      <alignment vertical="center"/>
    </xf>
    <xf numFmtId="1" fontId="26" fillId="0" borderId="0" xfId="0" applyNumberFormat="1" applyFont="1"/>
    <xf numFmtId="2" fontId="26" fillId="0" borderId="0" xfId="0" applyNumberFormat="1" applyFont="1"/>
    <xf numFmtId="4" fontId="26" fillId="0" borderId="0" xfId="0" applyNumberFormat="1" applyFont="1"/>
    <xf numFmtId="14" fontId="3" fillId="0" borderId="2" xfId="0" applyNumberFormat="1" applyFont="1" applyBorder="1"/>
    <xf numFmtId="3" fontId="1" fillId="0" borderId="1" xfId="3" applyNumberFormat="1" applyFont="1" applyBorder="1" applyAlignment="1">
      <alignment horizontal="right" wrapText="1"/>
    </xf>
    <xf numFmtId="14" fontId="3" fillId="0" borderId="1" xfId="0" applyNumberFormat="1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27" fillId="0" borderId="0" xfId="0" applyFont="1" applyAlignment="1">
      <alignment horizontal="center"/>
    </xf>
    <xf numFmtId="0" fontId="28" fillId="0" borderId="0" xfId="2" applyFont="1"/>
    <xf numFmtId="166" fontId="28" fillId="0" borderId="0" xfId="2" applyNumberFormat="1" applyFont="1"/>
    <xf numFmtId="14" fontId="29" fillId="0" borderId="3" xfId="0" applyNumberFormat="1" applyFont="1" applyBorder="1" applyAlignment="1">
      <alignment horizontal="left"/>
    </xf>
    <xf numFmtId="14" fontId="29" fillId="0" borderId="28" xfId="0" applyNumberFormat="1" applyFont="1" applyBorder="1" applyAlignment="1">
      <alignment horizontal="left"/>
    </xf>
    <xf numFmtId="167" fontId="1" fillId="0" borderId="4" xfId="0" applyNumberFormat="1" applyFont="1" applyBorder="1" applyAlignment="1">
      <alignment horizontal="right"/>
    </xf>
    <xf numFmtId="0" fontId="1" fillId="0" borderId="4" xfId="0" applyFont="1" applyBorder="1"/>
    <xf numFmtId="38" fontId="1" fillId="0" borderId="5" xfId="0" applyNumberFormat="1" applyFont="1" applyBorder="1" applyAlignment="1">
      <alignment horizontal="right"/>
    </xf>
    <xf numFmtId="0" fontId="30" fillId="0" borderId="3" xfId="0" applyFont="1" applyBorder="1"/>
    <xf numFmtId="1" fontId="30" fillId="0" borderId="4" xfId="0" applyNumberFormat="1" applyFont="1" applyBorder="1"/>
    <xf numFmtId="1" fontId="30" fillId="0" borderId="6" xfId="0" applyNumberFormat="1" applyFont="1" applyBorder="1"/>
    <xf numFmtId="0" fontId="1" fillId="0" borderId="0" xfId="0" applyFont="1"/>
    <xf numFmtId="166" fontId="1" fillId="0" borderId="0" xfId="0" applyNumberFormat="1" applyFont="1"/>
    <xf numFmtId="14" fontId="1" fillId="0" borderId="3" xfId="0" applyNumberFormat="1" applyFont="1" applyBorder="1" applyAlignment="1">
      <alignment horizontal="right"/>
    </xf>
    <xf numFmtId="14" fontId="1" fillId="0" borderId="28" xfId="0" applyNumberFormat="1" applyFont="1" applyBorder="1" applyAlignment="1">
      <alignment horizontal="right"/>
    </xf>
    <xf numFmtId="38" fontId="1" fillId="0" borderId="6" xfId="0" applyNumberFormat="1" applyFont="1" applyBorder="1" applyAlignment="1">
      <alignment horizontal="right"/>
    </xf>
    <xf numFmtId="14" fontId="28" fillId="0" borderId="7" xfId="0" applyNumberFormat="1" applyFont="1" applyBorder="1" applyAlignment="1">
      <alignment horizontal="center"/>
    </xf>
    <xf numFmtId="0" fontId="27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0" borderId="0" xfId="0" quotePrefix="1" applyNumberFormat="1" applyFont="1" applyAlignment="1">
      <alignment horizontal="center"/>
    </xf>
    <xf numFmtId="14" fontId="29" fillId="0" borderId="8" xfId="0" applyNumberFormat="1" applyFont="1" applyBorder="1" applyAlignment="1">
      <alignment horizontal="center" wrapText="1"/>
    </xf>
    <xf numFmtId="14" fontId="29" fillId="0" borderId="26" xfId="0" applyNumberFormat="1" applyFont="1" applyBorder="1" applyAlignment="1">
      <alignment horizontal="center" wrapText="1"/>
    </xf>
    <xf numFmtId="167" fontId="29" fillId="0" borderId="9" xfId="0" applyNumberFormat="1" applyFont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9" xfId="0" quotePrefix="1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166" fontId="31" fillId="0" borderId="11" xfId="0" applyNumberFormat="1" applyFont="1" applyBorder="1" applyAlignment="1">
      <alignment horizontal="center" wrapText="1"/>
    </xf>
    <xf numFmtId="0" fontId="31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14" fontId="28" fillId="0" borderId="12" xfId="0" applyNumberFormat="1" applyFont="1" applyBorder="1" applyAlignment="1">
      <alignment horizontal="right"/>
    </xf>
    <xf numFmtId="14" fontId="28" fillId="0" borderId="29" xfId="0" applyNumberFormat="1" applyFont="1" applyBorder="1" applyAlignment="1">
      <alignment horizontal="right"/>
    </xf>
    <xf numFmtId="167" fontId="28" fillId="0" borderId="4" xfId="0" applyNumberFormat="1" applyFont="1" applyBorder="1" applyAlignment="1">
      <alignment horizontal="right"/>
    </xf>
    <xf numFmtId="0" fontId="28" fillId="0" borderId="4" xfId="0" applyFont="1" applyBorder="1"/>
    <xf numFmtId="0" fontId="32" fillId="0" borderId="4" xfId="0" applyFont="1" applyBorder="1"/>
    <xf numFmtId="38" fontId="28" fillId="0" borderId="4" xfId="0" applyNumberFormat="1" applyFont="1" applyBorder="1" applyAlignment="1">
      <alignment horizontal="right"/>
    </xf>
    <xf numFmtId="164" fontId="32" fillId="0" borderId="13" xfId="0" applyNumberFormat="1" applyFont="1" applyBorder="1"/>
    <xf numFmtId="166" fontId="33" fillId="0" borderId="11" xfId="0" applyNumberFormat="1" applyFont="1" applyBorder="1"/>
    <xf numFmtId="164" fontId="33" fillId="0" borderId="0" xfId="0" applyNumberFormat="1" applyFont="1"/>
    <xf numFmtId="0" fontId="32" fillId="0" borderId="0" xfId="0" applyFont="1"/>
    <xf numFmtId="14" fontId="28" fillId="0" borderId="3" xfId="0" applyNumberFormat="1" applyFont="1" applyBorder="1"/>
    <xf numFmtId="14" fontId="28" fillId="0" borderId="28" xfId="0" applyNumberFormat="1" applyFont="1" applyBorder="1"/>
    <xf numFmtId="20" fontId="28" fillId="0" borderId="4" xfId="0" applyNumberFormat="1" applyFont="1" applyBorder="1"/>
    <xf numFmtId="1" fontId="28" fillId="0" borderId="4" xfId="0" applyNumberFormat="1" applyFont="1" applyBorder="1"/>
    <xf numFmtId="38" fontId="28" fillId="0" borderId="4" xfId="0" applyNumberFormat="1" applyFont="1" applyBorder="1"/>
    <xf numFmtId="164" fontId="32" fillId="0" borderId="6" xfId="0" applyNumberFormat="1" applyFont="1" applyBorder="1"/>
    <xf numFmtId="38" fontId="28" fillId="0" borderId="14" xfId="0" applyNumberFormat="1" applyFont="1" applyBorder="1"/>
    <xf numFmtId="0" fontId="28" fillId="0" borderId="15" xfId="0" applyFont="1" applyBorder="1"/>
    <xf numFmtId="0" fontId="28" fillId="0" borderId="30" xfId="0" applyFont="1" applyBorder="1"/>
    <xf numFmtId="20" fontId="28" fillId="0" borderId="16" xfId="0" applyNumberFormat="1" applyFont="1" applyBorder="1"/>
    <xf numFmtId="1" fontId="28" fillId="0" borderId="16" xfId="0" applyNumberFormat="1" applyFont="1" applyBorder="1"/>
    <xf numFmtId="0" fontId="32" fillId="0" borderId="16" xfId="0" applyFont="1" applyBorder="1"/>
    <xf numFmtId="164" fontId="32" fillId="0" borderId="17" xfId="0" applyNumberFormat="1" applyFont="1" applyBorder="1"/>
    <xf numFmtId="1" fontId="29" fillId="0" borderId="9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64" fontId="32" fillId="3" borderId="18" xfId="0" applyNumberFormat="1" applyFont="1" applyFill="1" applyBorder="1" applyAlignment="1">
      <alignment vertical="center"/>
    </xf>
    <xf numFmtId="166" fontId="33" fillId="0" borderId="11" xfId="0" applyNumberFormat="1" applyFont="1" applyBorder="1" applyAlignment="1">
      <alignment vertical="center"/>
    </xf>
    <xf numFmtId="14" fontId="1" fillId="0" borderId="1" xfId="2" applyNumberFormat="1" applyFont="1" applyBorder="1" applyAlignment="1">
      <alignment horizontal="right" wrapText="1"/>
    </xf>
    <xf numFmtId="0" fontId="23" fillId="0" borderId="0" xfId="0" applyFont="1"/>
    <xf numFmtId="3" fontId="3" fillId="0" borderId="2" xfId="0" applyNumberFormat="1" applyFont="1" applyBorder="1"/>
    <xf numFmtId="4" fontId="3" fillId="0" borderId="2" xfId="0" applyNumberFormat="1" applyFont="1" applyBorder="1"/>
    <xf numFmtId="14" fontId="23" fillId="0" borderId="0" xfId="0" applyNumberFormat="1" applyFont="1"/>
    <xf numFmtId="3" fontId="23" fillId="0" borderId="0" xfId="0" applyNumberFormat="1" applyFont="1"/>
    <xf numFmtId="165" fontId="23" fillId="0" borderId="0" xfId="0" applyNumberFormat="1" applyFont="1" applyAlignment="1">
      <alignment horizontal="center"/>
    </xf>
    <xf numFmtId="165" fontId="23" fillId="0" borderId="0" xfId="0" applyNumberFormat="1" applyFont="1"/>
    <xf numFmtId="0" fontId="34" fillId="0" borderId="0" xfId="0" applyFont="1" applyAlignment="1">
      <alignment horizontal="center"/>
    </xf>
    <xf numFmtId="0" fontId="36" fillId="0" borderId="0" xfId="2" applyFont="1"/>
    <xf numFmtId="166" fontId="36" fillId="0" borderId="0" xfId="2" applyNumberFormat="1" applyFont="1"/>
    <xf numFmtId="0" fontId="37" fillId="0" borderId="0" xfId="0" applyFont="1"/>
    <xf numFmtId="166" fontId="37" fillId="0" borderId="0" xfId="0" applyNumberFormat="1" applyFont="1"/>
    <xf numFmtId="14" fontId="38" fillId="0" borderId="3" xfId="0" applyNumberFormat="1" applyFont="1" applyBorder="1" applyAlignment="1">
      <alignment horizontal="left"/>
    </xf>
    <xf numFmtId="14" fontId="38" fillId="0" borderId="28" xfId="0" applyNumberFormat="1" applyFont="1" applyBorder="1" applyAlignment="1">
      <alignment horizontal="left"/>
    </xf>
    <xf numFmtId="167" fontId="37" fillId="0" borderId="4" xfId="0" applyNumberFormat="1" applyFont="1" applyBorder="1" applyAlignment="1">
      <alignment horizontal="right"/>
    </xf>
    <xf numFmtId="0" fontId="37" fillId="0" borderId="4" xfId="0" applyFont="1" applyBorder="1"/>
    <xf numFmtId="38" fontId="37" fillId="0" borderId="5" xfId="0" applyNumberFormat="1" applyFont="1" applyBorder="1" applyAlignment="1">
      <alignment horizontal="right"/>
    </xf>
    <xf numFmtId="0" fontId="39" fillId="0" borderId="3" xfId="0" applyFont="1" applyBorder="1"/>
    <xf numFmtId="1" fontId="39" fillId="0" borderId="4" xfId="0" applyNumberFormat="1" applyFont="1" applyBorder="1"/>
    <xf numFmtId="1" fontId="39" fillId="0" borderId="6" xfId="0" applyNumberFormat="1" applyFont="1" applyBorder="1"/>
    <xf numFmtId="14" fontId="37" fillId="0" borderId="3" xfId="0" applyNumberFormat="1" applyFont="1" applyBorder="1" applyAlignment="1">
      <alignment horizontal="right"/>
    </xf>
    <xf numFmtId="14" fontId="37" fillId="0" borderId="28" xfId="0" applyNumberFormat="1" applyFont="1" applyBorder="1" applyAlignment="1">
      <alignment horizontal="right"/>
    </xf>
    <xf numFmtId="38" fontId="37" fillId="0" borderId="6" xfId="0" applyNumberFormat="1" applyFont="1" applyBorder="1" applyAlignment="1">
      <alignment horizontal="right"/>
    </xf>
    <xf numFmtId="14" fontId="40" fillId="0" borderId="7" xfId="0" applyNumberFormat="1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7" fillId="0" borderId="0" xfId="0" applyFont="1" applyAlignment="1">
      <alignment horizontal="center"/>
    </xf>
    <xf numFmtId="0" fontId="34" fillId="0" borderId="0" xfId="0" applyFont="1" applyAlignment="1">
      <alignment horizontal="left"/>
    </xf>
    <xf numFmtId="1" fontId="37" fillId="0" borderId="0" xfId="0" applyNumberFormat="1" applyFont="1" applyAlignment="1">
      <alignment horizontal="center"/>
    </xf>
    <xf numFmtId="1" fontId="37" fillId="0" borderId="0" xfId="0" quotePrefix="1" applyNumberFormat="1" applyFont="1" applyAlignment="1">
      <alignment horizontal="center"/>
    </xf>
    <xf numFmtId="14" fontId="38" fillId="0" borderId="8" xfId="0" applyNumberFormat="1" applyFont="1" applyBorder="1" applyAlignment="1">
      <alignment horizontal="center" wrapText="1"/>
    </xf>
    <xf numFmtId="14" fontId="38" fillId="0" borderId="26" xfId="0" applyNumberFormat="1" applyFont="1" applyBorder="1" applyAlignment="1">
      <alignment horizontal="center" wrapText="1"/>
    </xf>
    <xf numFmtId="167" fontId="38" fillId="0" borderId="9" xfId="0" applyNumberFormat="1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8" fillId="0" borderId="9" xfId="0" quotePrefix="1" applyFont="1" applyBorder="1" applyAlignment="1">
      <alignment horizontal="center" wrapText="1"/>
    </xf>
    <xf numFmtId="0" fontId="38" fillId="0" borderId="10" xfId="0" applyFont="1" applyBorder="1" applyAlignment="1">
      <alignment horizontal="center" wrapText="1"/>
    </xf>
    <xf numFmtId="166" fontId="41" fillId="0" borderId="11" xfId="0" applyNumberFormat="1" applyFont="1" applyBorder="1" applyAlignment="1">
      <alignment horizontal="center" wrapText="1"/>
    </xf>
    <xf numFmtId="0" fontId="41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14" fontId="40" fillId="0" borderId="12" xfId="0" applyNumberFormat="1" applyFont="1" applyBorder="1" applyAlignment="1">
      <alignment horizontal="right"/>
    </xf>
    <xf numFmtId="14" fontId="40" fillId="0" borderId="29" xfId="0" applyNumberFormat="1" applyFont="1" applyBorder="1" applyAlignment="1">
      <alignment horizontal="right"/>
    </xf>
    <xf numFmtId="167" fontId="40" fillId="0" borderId="4" xfId="0" applyNumberFormat="1" applyFont="1" applyBorder="1" applyAlignment="1">
      <alignment horizontal="right"/>
    </xf>
    <xf numFmtId="0" fontId="40" fillId="0" borderId="4" xfId="0" applyFont="1" applyBorder="1"/>
    <xf numFmtId="0" fontId="42" fillId="0" borderId="4" xfId="0" applyFont="1" applyBorder="1"/>
    <xf numFmtId="38" fontId="40" fillId="0" borderId="4" xfId="0" applyNumberFormat="1" applyFont="1" applyBorder="1" applyAlignment="1">
      <alignment horizontal="right"/>
    </xf>
    <xf numFmtId="164" fontId="42" fillId="0" borderId="13" xfId="0" applyNumberFormat="1" applyFont="1" applyBorder="1"/>
    <xf numFmtId="166" fontId="43" fillId="0" borderId="11" xfId="0" applyNumberFormat="1" applyFont="1" applyBorder="1"/>
    <xf numFmtId="164" fontId="43" fillId="0" borderId="0" xfId="0" applyNumberFormat="1" applyFont="1"/>
    <xf numFmtId="0" fontId="42" fillId="0" borderId="0" xfId="0" applyFont="1"/>
    <xf numFmtId="14" fontId="40" fillId="0" borderId="3" xfId="0" applyNumberFormat="1" applyFont="1" applyBorder="1"/>
    <xf numFmtId="14" fontId="40" fillId="0" borderId="28" xfId="0" applyNumberFormat="1" applyFont="1" applyBorder="1"/>
    <xf numFmtId="20" fontId="40" fillId="0" borderId="4" xfId="0" applyNumberFormat="1" applyFont="1" applyBorder="1"/>
    <xf numFmtId="1" fontId="40" fillId="0" borderId="4" xfId="0" applyNumberFormat="1" applyFont="1" applyBorder="1"/>
    <xf numFmtId="38" fontId="40" fillId="0" borderId="4" xfId="0" applyNumberFormat="1" applyFont="1" applyBorder="1"/>
    <xf numFmtId="164" fontId="42" fillId="0" borderId="6" xfId="0" applyNumberFormat="1" applyFont="1" applyBorder="1"/>
    <xf numFmtId="38" fontId="40" fillId="0" borderId="14" xfId="0" applyNumberFormat="1" applyFont="1" applyBorder="1"/>
    <xf numFmtId="0" fontId="40" fillId="0" borderId="15" xfId="0" applyFont="1" applyBorder="1"/>
    <xf numFmtId="0" fontId="40" fillId="0" borderId="30" xfId="0" applyFont="1" applyBorder="1"/>
    <xf numFmtId="20" fontId="40" fillId="0" borderId="16" xfId="0" applyNumberFormat="1" applyFont="1" applyBorder="1"/>
    <xf numFmtId="1" fontId="40" fillId="0" borderId="16" xfId="0" applyNumberFormat="1" applyFont="1" applyBorder="1"/>
    <xf numFmtId="0" fontId="42" fillId="0" borderId="16" xfId="0" applyFont="1" applyBorder="1"/>
    <xf numFmtId="164" fontId="42" fillId="0" borderId="17" xfId="0" applyNumberFormat="1" applyFont="1" applyBorder="1"/>
    <xf numFmtId="1" fontId="38" fillId="0" borderId="9" xfId="0" applyNumberFormat="1" applyFont="1" applyBorder="1" applyAlignment="1">
      <alignment horizontal="center" vertical="center" wrapText="1"/>
    </xf>
    <xf numFmtId="1" fontId="44" fillId="0" borderId="4" xfId="0" applyNumberFormat="1" applyFont="1" applyBorder="1" applyAlignment="1">
      <alignment horizontal="center" vertical="center" wrapText="1"/>
    </xf>
    <xf numFmtId="164" fontId="42" fillId="3" borderId="18" xfId="0" applyNumberFormat="1" applyFont="1" applyFill="1" applyBorder="1" applyAlignment="1">
      <alignment vertical="center"/>
    </xf>
    <xf numFmtId="166" fontId="43" fillId="0" borderId="11" xfId="0" applyNumberFormat="1" applyFont="1" applyBorder="1" applyAlignment="1">
      <alignment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vertical="center"/>
    </xf>
    <xf numFmtId="13" fontId="21" fillId="0" borderId="0" xfId="0" applyNumberFormat="1" applyFont="1"/>
    <xf numFmtId="20" fontId="21" fillId="0" borderId="0" xfId="0" applyNumberFormat="1" applyFont="1"/>
    <xf numFmtId="0" fontId="22" fillId="0" borderId="31" xfId="0" applyFont="1" applyBorder="1" applyAlignment="1">
      <alignment horizontal="right" wrapText="1"/>
    </xf>
    <xf numFmtId="20" fontId="21" fillId="0" borderId="0" xfId="0" applyNumberFormat="1" applyFont="1" applyAlignment="1">
      <alignment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>
      <alignment horizontal="center" wrapText="1"/>
    </xf>
    <xf numFmtId="0" fontId="8" fillId="0" borderId="21" xfId="2" applyFont="1" applyBorder="1" applyAlignment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/>
    </xf>
    <xf numFmtId="0" fontId="34" fillId="0" borderId="21" xfId="0" applyFont="1" applyBorder="1" applyAlignment="1">
      <alignment horizontal="center"/>
    </xf>
    <xf numFmtId="0" fontId="35" fillId="0" borderId="22" xfId="2" applyFont="1" applyBorder="1" applyAlignment="1">
      <alignment horizontal="center" wrapText="1"/>
    </xf>
    <xf numFmtId="0" fontId="35" fillId="0" borderId="21" xfId="2" applyFont="1" applyBorder="1" applyAlignment="1">
      <alignment horizontal="center" wrapText="1"/>
    </xf>
    <xf numFmtId="14" fontId="34" fillId="0" borderId="23" xfId="0" applyNumberFormat="1" applyFont="1" applyBorder="1" applyAlignment="1">
      <alignment horizontal="center"/>
    </xf>
    <xf numFmtId="14" fontId="34" fillId="0" borderId="0" xfId="0" applyNumberFormat="1" applyFont="1" applyAlignment="1">
      <alignment horizontal="center"/>
    </xf>
    <xf numFmtId="1" fontId="44" fillId="0" borderId="24" xfId="0" applyNumberFormat="1" applyFont="1" applyBorder="1" applyAlignment="1">
      <alignment horizontal="right" vertical="center" wrapText="1"/>
    </xf>
    <xf numFmtId="1" fontId="44" fillId="0" borderId="25" xfId="0" applyNumberFormat="1" applyFont="1" applyBorder="1" applyAlignment="1">
      <alignment horizontal="right" vertical="center" wrapText="1"/>
    </xf>
    <xf numFmtId="1" fontId="44" fillId="0" borderId="26" xfId="0" applyNumberFormat="1" applyFont="1" applyBorder="1" applyAlignment="1">
      <alignment horizontal="right" vertical="center" wrapText="1"/>
    </xf>
    <xf numFmtId="1" fontId="3" fillId="0" borderId="24" xfId="0" applyNumberFormat="1" applyFont="1" applyBorder="1" applyAlignment="1">
      <alignment horizontal="right" vertical="center" wrapText="1"/>
    </xf>
    <xf numFmtId="1" fontId="3" fillId="0" borderId="25" xfId="0" applyNumberFormat="1" applyFont="1" applyBorder="1" applyAlignment="1">
      <alignment horizontal="right" vertical="center" wrapText="1"/>
    </xf>
    <xf numFmtId="1" fontId="3" fillId="0" borderId="26" xfId="0" applyNumberFormat="1" applyFont="1" applyBorder="1" applyAlignment="1">
      <alignment horizontal="right" vertical="center" wrapText="1"/>
    </xf>
    <xf numFmtId="0" fontId="27" fillId="0" borderId="0" xfId="0" applyFont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22" xfId="2" applyFont="1" applyBorder="1" applyAlignment="1">
      <alignment horizontal="center" wrapText="1"/>
    </xf>
    <xf numFmtId="0" fontId="27" fillId="0" borderId="21" xfId="2" applyFont="1" applyBorder="1" applyAlignment="1">
      <alignment horizontal="center" wrapText="1"/>
    </xf>
    <xf numFmtId="14" fontId="27" fillId="0" borderId="0" xfId="0" applyNumberFormat="1" applyFont="1" applyAlignment="1">
      <alignment horizontal="center"/>
    </xf>
  </cellXfs>
  <cellStyles count="4">
    <cellStyle name="Normal" xfId="0" builtinId="0"/>
    <cellStyle name="Normal_Sheet1" xfId="1" xr:uid="{00000000-0005-0000-0000-000001000000}"/>
    <cellStyle name="Normal_Sheet1_1" xfId="2" xr:uid="{00000000-0005-0000-0000-000002000000}"/>
    <cellStyle name="Normal_Sheet1_1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66456-B434-48B1-BB01-AB47C361C2B7}">
  <sheetPr>
    <pageSetUpPr fitToPage="1"/>
  </sheetPr>
  <dimension ref="A1:O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4" sqref="K14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2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2" x14ac:dyDescent="0.25">
      <c r="A3" s="18">
        <v>46296</v>
      </c>
      <c r="B3" s="77"/>
      <c r="C3" s="77"/>
      <c r="D3" s="77"/>
      <c r="E3" s="77"/>
      <c r="F3" s="77"/>
      <c r="G3" s="77"/>
      <c r="H3" s="77"/>
      <c r="I3" s="77"/>
      <c r="J3" s="76"/>
      <c r="K3" s="76"/>
      <c r="L3" s="78"/>
    </row>
    <row r="4" spans="1:12" x14ac:dyDescent="0.25">
      <c r="A4" s="18">
        <f>A3+1</f>
        <v>46297</v>
      </c>
      <c r="B4" s="77"/>
      <c r="C4" s="77"/>
      <c r="D4" s="77"/>
      <c r="E4" s="77"/>
      <c r="F4" s="77"/>
      <c r="G4" s="77"/>
      <c r="H4" s="77"/>
      <c r="I4" s="77"/>
      <c r="J4" s="76"/>
      <c r="K4" s="76"/>
      <c r="L4" s="78"/>
    </row>
    <row r="5" spans="1:12" x14ac:dyDescent="0.25">
      <c r="A5" s="18">
        <f t="shared" ref="A5:A31" si="0">A4+1</f>
        <v>46298</v>
      </c>
      <c r="B5" s="77"/>
      <c r="C5" s="77"/>
      <c r="D5" s="77"/>
      <c r="E5" s="77"/>
      <c r="F5" s="77"/>
      <c r="G5" s="77"/>
      <c r="H5" s="77"/>
      <c r="I5" s="77"/>
      <c r="J5" s="76"/>
      <c r="K5" s="76"/>
      <c r="L5" s="78"/>
    </row>
    <row r="6" spans="1:12" x14ac:dyDescent="0.25">
      <c r="A6" s="18">
        <f t="shared" si="0"/>
        <v>46299</v>
      </c>
      <c r="B6" s="77"/>
      <c r="C6" s="77"/>
      <c r="D6" s="77"/>
      <c r="E6" s="77"/>
      <c r="F6" s="77"/>
      <c r="G6" s="77"/>
      <c r="H6" s="77"/>
      <c r="I6" s="77"/>
      <c r="J6" s="76"/>
      <c r="K6" s="76"/>
      <c r="L6" s="78"/>
    </row>
    <row r="7" spans="1:12" x14ac:dyDescent="0.25">
      <c r="A7" s="18">
        <f t="shared" si="0"/>
        <v>46300</v>
      </c>
      <c r="B7" s="77"/>
      <c r="C7" s="77"/>
      <c r="D7" s="77"/>
      <c r="E7" s="77"/>
      <c r="F7" s="77"/>
      <c r="G7" s="77"/>
      <c r="H7" s="77"/>
      <c r="I7" s="77"/>
      <c r="J7" s="76"/>
      <c r="K7" s="76"/>
      <c r="L7" s="78"/>
    </row>
    <row r="8" spans="1:12" x14ac:dyDescent="0.25">
      <c r="A8" s="18">
        <f t="shared" si="0"/>
        <v>46301</v>
      </c>
      <c r="B8" s="77"/>
      <c r="C8" s="77"/>
      <c r="D8" s="77"/>
      <c r="E8" s="77"/>
      <c r="F8" s="77"/>
      <c r="G8" s="77"/>
      <c r="H8" s="77"/>
      <c r="I8" s="77"/>
      <c r="J8" s="76"/>
      <c r="K8" s="76"/>
      <c r="L8" s="78"/>
    </row>
    <row r="9" spans="1:12" x14ac:dyDescent="0.25">
      <c r="A9" s="18">
        <f t="shared" si="0"/>
        <v>46302</v>
      </c>
      <c r="B9" s="77"/>
      <c r="C9" s="77"/>
      <c r="D9" s="77"/>
      <c r="E9" s="77"/>
      <c r="F9" s="77"/>
      <c r="G9" s="77"/>
      <c r="H9" s="77"/>
      <c r="I9" s="77"/>
      <c r="J9" s="76"/>
      <c r="K9" s="76"/>
      <c r="L9" s="78"/>
    </row>
    <row r="10" spans="1:12" x14ac:dyDescent="0.25">
      <c r="A10" s="18">
        <f t="shared" si="0"/>
        <v>46303</v>
      </c>
      <c r="B10" s="77"/>
      <c r="C10" s="77"/>
      <c r="D10" s="77"/>
      <c r="E10" s="77"/>
      <c r="F10" s="77"/>
      <c r="G10" s="77"/>
      <c r="H10" s="77"/>
      <c r="I10" s="77"/>
      <c r="J10" s="76"/>
      <c r="K10" s="76"/>
      <c r="L10" s="78"/>
    </row>
    <row r="11" spans="1:12" x14ac:dyDescent="0.25">
      <c r="A11" s="18">
        <f t="shared" si="0"/>
        <v>46304</v>
      </c>
      <c r="B11" s="77"/>
      <c r="C11" s="77"/>
      <c r="D11" s="77"/>
      <c r="E11" s="77"/>
      <c r="F11" s="77"/>
      <c r="G11" s="77"/>
      <c r="H11" s="77"/>
      <c r="I11" s="77"/>
      <c r="J11" s="76"/>
      <c r="K11" s="76"/>
      <c r="L11" s="78"/>
    </row>
    <row r="12" spans="1:12" x14ac:dyDescent="0.25">
      <c r="A12" s="18">
        <f t="shared" si="0"/>
        <v>46305</v>
      </c>
      <c r="B12" s="77"/>
      <c r="C12" s="77"/>
      <c r="D12" s="77"/>
      <c r="E12" s="77"/>
      <c r="F12" s="77"/>
      <c r="G12" s="77"/>
      <c r="H12" s="77"/>
      <c r="I12" s="77"/>
      <c r="J12" s="76"/>
      <c r="K12" s="76"/>
      <c r="L12" s="78"/>
    </row>
    <row r="13" spans="1:12" x14ac:dyDescent="0.25">
      <c r="A13" s="18">
        <f t="shared" si="0"/>
        <v>46306</v>
      </c>
      <c r="B13" s="77"/>
      <c r="C13" s="77"/>
      <c r="D13" s="77"/>
      <c r="E13" s="77"/>
      <c r="F13" s="77"/>
      <c r="G13" s="77"/>
      <c r="H13" s="77"/>
      <c r="I13" s="77"/>
      <c r="J13" s="76"/>
      <c r="K13" s="76"/>
      <c r="L13" s="78"/>
    </row>
    <row r="14" spans="1:12" x14ac:dyDescent="0.25">
      <c r="A14" s="18">
        <f t="shared" si="0"/>
        <v>46307</v>
      </c>
      <c r="B14" s="77"/>
      <c r="C14" s="77"/>
      <c r="D14" s="77"/>
      <c r="E14" s="77"/>
      <c r="F14" s="77"/>
      <c r="G14" s="77"/>
      <c r="H14" s="77"/>
      <c r="I14" s="77"/>
      <c r="J14" s="76"/>
      <c r="K14" s="76"/>
      <c r="L14" s="78"/>
    </row>
    <row r="15" spans="1:12" x14ac:dyDescent="0.25">
      <c r="A15" s="18">
        <f t="shared" si="0"/>
        <v>46308</v>
      </c>
      <c r="B15" s="77"/>
      <c r="C15" s="77"/>
      <c r="D15" s="77"/>
      <c r="E15" s="77"/>
      <c r="F15" s="77"/>
      <c r="G15" s="77"/>
      <c r="H15" s="77"/>
      <c r="I15" s="77"/>
      <c r="J15" s="76"/>
      <c r="K15" s="76"/>
      <c r="L15" s="78"/>
    </row>
    <row r="16" spans="1:12" x14ac:dyDescent="0.25">
      <c r="A16" s="18">
        <f t="shared" si="0"/>
        <v>46309</v>
      </c>
      <c r="B16" s="77"/>
      <c r="C16" s="77"/>
      <c r="D16" s="77"/>
      <c r="E16" s="77"/>
      <c r="F16" s="77"/>
      <c r="G16" s="77"/>
      <c r="H16" s="77"/>
      <c r="I16" s="77"/>
      <c r="J16" s="76"/>
      <c r="K16" s="76"/>
      <c r="L16" s="78"/>
    </row>
    <row r="17" spans="1:12" x14ac:dyDescent="0.25">
      <c r="A17" s="18">
        <f t="shared" si="0"/>
        <v>46310</v>
      </c>
      <c r="B17" s="77"/>
      <c r="C17" s="77"/>
      <c r="D17" s="77"/>
      <c r="E17" s="77"/>
      <c r="F17" s="77"/>
      <c r="G17" s="77"/>
      <c r="H17" s="77"/>
      <c r="I17" s="77"/>
      <c r="J17" s="76"/>
      <c r="K17" s="76"/>
      <c r="L17" s="78"/>
    </row>
    <row r="18" spans="1:12" x14ac:dyDescent="0.25">
      <c r="A18" s="18">
        <f t="shared" si="0"/>
        <v>46311</v>
      </c>
      <c r="B18" s="77"/>
      <c r="C18" s="77"/>
      <c r="D18" s="77"/>
      <c r="E18" s="77"/>
      <c r="F18" s="77"/>
      <c r="G18" s="77"/>
      <c r="H18" s="77"/>
      <c r="I18" s="77"/>
      <c r="J18" s="76"/>
      <c r="K18" s="76"/>
      <c r="L18" s="78"/>
    </row>
    <row r="19" spans="1:12" x14ac:dyDescent="0.25">
      <c r="A19" s="18">
        <f t="shared" si="0"/>
        <v>46312</v>
      </c>
      <c r="B19" s="77"/>
      <c r="C19" s="77"/>
      <c r="D19" s="77"/>
      <c r="E19" s="77"/>
      <c r="F19" s="77"/>
      <c r="G19" s="77"/>
      <c r="H19" s="77"/>
      <c r="I19" s="77"/>
      <c r="J19" s="76"/>
      <c r="K19" s="76"/>
      <c r="L19" s="78"/>
    </row>
    <row r="20" spans="1:12" x14ac:dyDescent="0.25">
      <c r="A20" s="18">
        <f t="shared" si="0"/>
        <v>46313</v>
      </c>
      <c r="B20" s="77"/>
      <c r="C20" s="77"/>
      <c r="D20" s="77"/>
      <c r="E20" s="77"/>
      <c r="F20" s="77"/>
      <c r="G20" s="77"/>
      <c r="H20" s="77"/>
      <c r="I20" s="77"/>
      <c r="J20" s="76"/>
      <c r="K20" s="76"/>
      <c r="L20" s="78"/>
    </row>
    <row r="21" spans="1:12" x14ac:dyDescent="0.25">
      <c r="A21" s="18">
        <f t="shared" si="0"/>
        <v>46314</v>
      </c>
      <c r="B21" s="77"/>
      <c r="C21" s="77"/>
      <c r="D21" s="77"/>
      <c r="E21" s="77"/>
      <c r="F21" s="77"/>
      <c r="G21" s="77"/>
      <c r="H21" s="77"/>
      <c r="I21" s="77"/>
      <c r="J21" s="76"/>
      <c r="K21" s="76"/>
      <c r="L21" s="78"/>
    </row>
    <row r="22" spans="1:12" x14ac:dyDescent="0.25">
      <c r="A22" s="18">
        <f t="shared" si="0"/>
        <v>46315</v>
      </c>
      <c r="B22" s="77"/>
      <c r="C22" s="77"/>
      <c r="D22" s="77"/>
      <c r="E22" s="77"/>
      <c r="F22" s="77"/>
      <c r="G22" s="77"/>
      <c r="H22" s="77"/>
      <c r="I22" s="77"/>
      <c r="J22" s="76"/>
      <c r="K22" s="76"/>
      <c r="L22" s="78"/>
    </row>
    <row r="23" spans="1:12" x14ac:dyDescent="0.25">
      <c r="A23" s="18">
        <f t="shared" si="0"/>
        <v>46316</v>
      </c>
      <c r="B23" s="77"/>
      <c r="C23" s="77"/>
      <c r="D23" s="77"/>
      <c r="E23" s="77"/>
      <c r="F23" s="77"/>
      <c r="G23" s="77"/>
      <c r="H23" s="77"/>
      <c r="I23" s="77"/>
      <c r="J23" s="76"/>
      <c r="K23" s="76"/>
      <c r="L23" s="78"/>
    </row>
    <row r="24" spans="1:12" x14ac:dyDescent="0.25">
      <c r="A24" s="18">
        <f t="shared" si="0"/>
        <v>46317</v>
      </c>
      <c r="B24" s="77"/>
      <c r="C24" s="77"/>
      <c r="D24" s="77"/>
      <c r="E24" s="77"/>
      <c r="F24" s="77"/>
      <c r="G24" s="77"/>
      <c r="H24" s="77"/>
      <c r="I24" s="77"/>
      <c r="J24" s="76"/>
      <c r="K24" s="76"/>
      <c r="L24" s="78"/>
    </row>
    <row r="25" spans="1:12" x14ac:dyDescent="0.25">
      <c r="A25" s="18">
        <f t="shared" si="0"/>
        <v>46318</v>
      </c>
      <c r="B25" s="77"/>
      <c r="C25" s="77"/>
      <c r="D25" s="77"/>
      <c r="E25" s="77"/>
      <c r="F25" s="77"/>
      <c r="G25" s="77"/>
      <c r="H25" s="77"/>
      <c r="I25" s="77"/>
      <c r="J25" s="76"/>
      <c r="K25" s="76"/>
      <c r="L25" s="78"/>
    </row>
    <row r="26" spans="1:12" x14ac:dyDescent="0.25">
      <c r="A26" s="18">
        <f t="shared" si="0"/>
        <v>46319</v>
      </c>
      <c r="B26" s="77"/>
      <c r="C26" s="77"/>
      <c r="D26" s="77"/>
      <c r="E26" s="77"/>
      <c r="F26" s="77"/>
      <c r="G26" s="77"/>
      <c r="H26" s="77"/>
      <c r="I26" s="77"/>
      <c r="J26" s="76"/>
      <c r="K26" s="76"/>
      <c r="L26" s="78"/>
    </row>
    <row r="27" spans="1:12" x14ac:dyDescent="0.25">
      <c r="A27" s="18">
        <f t="shared" si="0"/>
        <v>46320</v>
      </c>
      <c r="B27" s="77"/>
      <c r="C27" s="77"/>
      <c r="D27" s="77"/>
      <c r="E27" s="77"/>
      <c r="F27" s="77"/>
      <c r="G27" s="77"/>
      <c r="H27" s="77"/>
      <c r="I27" s="77"/>
      <c r="J27" s="76"/>
      <c r="K27" s="76"/>
      <c r="L27" s="78"/>
    </row>
    <row r="28" spans="1:12" x14ac:dyDescent="0.25">
      <c r="A28" s="18">
        <f t="shared" si="0"/>
        <v>46321</v>
      </c>
      <c r="B28" s="77"/>
      <c r="C28" s="77"/>
      <c r="D28" s="77"/>
      <c r="E28" s="77"/>
      <c r="F28" s="77"/>
      <c r="G28" s="77"/>
      <c r="H28" s="77"/>
      <c r="I28" s="77"/>
      <c r="J28" s="76"/>
      <c r="K28" s="76"/>
      <c r="L28" s="78"/>
    </row>
    <row r="29" spans="1:12" x14ac:dyDescent="0.25">
      <c r="A29" s="18">
        <f t="shared" si="0"/>
        <v>46322</v>
      </c>
      <c r="B29" s="77"/>
      <c r="C29" s="77"/>
      <c r="D29" s="77"/>
      <c r="E29" s="77"/>
      <c r="F29" s="77"/>
      <c r="G29" s="77"/>
      <c r="H29" s="77"/>
      <c r="I29" s="77"/>
      <c r="J29" s="76"/>
      <c r="K29" s="76"/>
    </row>
    <row r="30" spans="1:12" x14ac:dyDescent="0.25">
      <c r="A30" s="18">
        <f t="shared" si="0"/>
        <v>46323</v>
      </c>
      <c r="B30" s="77"/>
      <c r="C30" s="77"/>
      <c r="D30" s="77"/>
      <c r="E30" s="77"/>
      <c r="F30" s="77"/>
      <c r="G30" s="77"/>
      <c r="H30" s="77"/>
      <c r="I30" s="77"/>
      <c r="J30" s="76"/>
      <c r="K30" s="76"/>
    </row>
    <row r="31" spans="1:12" x14ac:dyDescent="0.25">
      <c r="A31" s="18">
        <f t="shared" si="0"/>
        <v>46324</v>
      </c>
      <c r="B31" s="77"/>
      <c r="C31" s="77"/>
      <c r="D31" s="77"/>
      <c r="E31" s="77"/>
      <c r="F31" s="77"/>
      <c r="G31" s="77"/>
      <c r="H31" s="77"/>
      <c r="I31" s="77"/>
      <c r="J31" s="76"/>
      <c r="K31" s="76"/>
    </row>
    <row r="32" spans="1:12" x14ac:dyDescent="0.25">
      <c r="A32" s="18">
        <v>45960</v>
      </c>
      <c r="B32" s="77"/>
      <c r="C32" s="77"/>
      <c r="D32" s="77"/>
      <c r="E32" s="77"/>
      <c r="F32" s="77"/>
      <c r="G32" s="77"/>
      <c r="H32" s="77"/>
      <c r="I32" s="77"/>
      <c r="J32" s="76"/>
      <c r="K32" s="76"/>
    </row>
    <row r="33" spans="1:15" ht="15.75" thickBot="1" x14ac:dyDescent="0.3">
      <c r="A33" s="18">
        <v>45961</v>
      </c>
      <c r="B33" s="77"/>
      <c r="C33" s="77"/>
      <c r="D33" s="77"/>
      <c r="E33" s="77"/>
      <c r="F33" s="77"/>
      <c r="G33" s="77"/>
      <c r="H33" s="77"/>
      <c r="I33" s="77"/>
      <c r="J33" s="76"/>
    </row>
    <row r="34" spans="1:15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0</v>
      </c>
      <c r="D34" s="11">
        <f t="shared" si="1"/>
        <v>0</v>
      </c>
      <c r="E34" s="11">
        <f t="shared" si="1"/>
        <v>0</v>
      </c>
      <c r="F34" s="12">
        <f t="shared" si="1"/>
        <v>0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SUM(B34+'Aug 2026'!B35)</f>
        <v>17333</v>
      </c>
      <c r="C35" s="14">
        <f>SUM(C34+'Aug 2026'!C35)</f>
        <v>29689</v>
      </c>
      <c r="D35" s="14">
        <f>SUM(D34+'Aug 2026'!D35)</f>
        <v>8715</v>
      </c>
      <c r="E35" s="14">
        <f>SUM(E34+'Aug 2026'!E35)</f>
        <v>44430</v>
      </c>
      <c r="F35" s="15">
        <f>SUM(F34+'Aug 2026'!F35)</f>
        <v>11.120000000000003</v>
      </c>
      <c r="G35" s="15">
        <f>SUM(G34+'Aug 2026'!G35)</f>
        <v>2.5</v>
      </c>
      <c r="H35" s="14">
        <f>SUM(H34+'Aug 2026'!H35)</f>
        <v>33365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0</v>
      </c>
      <c r="D37" s="17">
        <f>SUM(D3:D33)*1.9835</f>
        <v>0</v>
      </c>
      <c r="E37" s="17">
        <f>SUM(E3:E33)*1.9835</f>
        <v>0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SUM(B37+'Aug 2026'!B39)</f>
        <v>35425.31</v>
      </c>
      <c r="C39" s="17">
        <f>SUM(C37+'Aug 2026'!C39)</f>
        <v>70203.998999999996</v>
      </c>
      <c r="D39" s="17">
        <f>SUM(D37+'Aug 2026'!D39)</f>
        <v>17294.136499999997</v>
      </c>
      <c r="E39" s="17">
        <f>SUM(E37+'Aug 2026'!E39)</f>
        <v>103370.10249999998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6" sqref="K16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2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2" x14ac:dyDescent="0.25">
      <c r="A3" s="18">
        <v>46266</v>
      </c>
      <c r="B3" s="77"/>
      <c r="C3" s="77"/>
      <c r="D3" s="77"/>
      <c r="E3" s="77"/>
      <c r="F3" s="77"/>
      <c r="G3" s="77"/>
      <c r="H3" s="77"/>
      <c r="I3" s="77"/>
      <c r="J3" s="76"/>
      <c r="K3" s="76"/>
      <c r="L3" s="78"/>
    </row>
    <row r="4" spans="1:12" x14ac:dyDescent="0.25">
      <c r="A4" s="18">
        <f>A3+1</f>
        <v>46267</v>
      </c>
      <c r="B4" s="77"/>
      <c r="C4" s="77"/>
      <c r="D4" s="77"/>
      <c r="E4" s="77"/>
      <c r="F4" s="77"/>
      <c r="G4" s="77"/>
      <c r="H4" s="77"/>
      <c r="I4" s="77"/>
      <c r="J4" s="76"/>
      <c r="K4" s="76"/>
      <c r="L4" s="78"/>
    </row>
    <row r="5" spans="1:12" x14ac:dyDescent="0.25">
      <c r="A5" s="18">
        <f t="shared" ref="A5:A32" si="0">A4+1</f>
        <v>46268</v>
      </c>
      <c r="B5" s="77"/>
      <c r="C5" s="77"/>
      <c r="D5" s="77"/>
      <c r="E5" s="77"/>
      <c r="F5" s="77"/>
      <c r="G5" s="77"/>
      <c r="H5" s="77"/>
      <c r="I5" s="77"/>
      <c r="J5" s="76"/>
      <c r="K5" s="76"/>
      <c r="L5" s="78"/>
    </row>
    <row r="6" spans="1:12" x14ac:dyDescent="0.25">
      <c r="A6" s="18">
        <f t="shared" si="0"/>
        <v>46269</v>
      </c>
      <c r="B6" s="77"/>
      <c r="C6" s="77"/>
      <c r="D6" s="77"/>
      <c r="E6" s="77"/>
      <c r="F6" s="77"/>
      <c r="G6" s="77"/>
      <c r="H6" s="77"/>
      <c r="I6" s="77"/>
      <c r="J6" s="76"/>
      <c r="K6" s="76"/>
      <c r="L6" s="78"/>
    </row>
    <row r="7" spans="1:12" x14ac:dyDescent="0.25">
      <c r="A7" s="18">
        <f t="shared" si="0"/>
        <v>46270</v>
      </c>
      <c r="B7" s="77"/>
      <c r="C7" s="77"/>
      <c r="D7" s="77"/>
      <c r="E7" s="77"/>
      <c r="F7" s="77"/>
      <c r="G7" s="77"/>
      <c r="H7" s="77"/>
      <c r="I7" s="77"/>
      <c r="J7" s="76"/>
      <c r="K7" s="76"/>
      <c r="L7" s="78"/>
    </row>
    <row r="8" spans="1:12" x14ac:dyDescent="0.25">
      <c r="A8" s="18">
        <f t="shared" si="0"/>
        <v>46271</v>
      </c>
      <c r="B8" s="77"/>
      <c r="C8" s="77"/>
      <c r="D8" s="77"/>
      <c r="E8" s="77"/>
      <c r="F8" s="77"/>
      <c r="G8" s="77"/>
      <c r="H8" s="77"/>
      <c r="I8" s="77"/>
      <c r="J8" s="76"/>
      <c r="K8" s="76"/>
      <c r="L8" s="78"/>
    </row>
    <row r="9" spans="1:12" x14ac:dyDescent="0.25">
      <c r="A9" s="18">
        <f t="shared" si="0"/>
        <v>46272</v>
      </c>
      <c r="B9" s="77"/>
      <c r="C9" s="77"/>
      <c r="D9" s="77"/>
      <c r="E9" s="77"/>
      <c r="F9" s="77"/>
      <c r="G9" s="77"/>
      <c r="H9" s="77"/>
      <c r="I9" s="77"/>
      <c r="J9" s="76"/>
      <c r="K9" s="76"/>
      <c r="L9" s="78"/>
    </row>
    <row r="10" spans="1:12" x14ac:dyDescent="0.25">
      <c r="A10" s="18">
        <f t="shared" si="0"/>
        <v>46273</v>
      </c>
      <c r="B10" s="77"/>
      <c r="C10" s="77"/>
      <c r="D10" s="77"/>
      <c r="E10" s="77"/>
      <c r="F10" s="77"/>
      <c r="G10" s="77"/>
      <c r="H10" s="77"/>
      <c r="I10" s="77"/>
      <c r="J10" s="76"/>
      <c r="K10" s="76"/>
      <c r="L10" s="78"/>
    </row>
    <row r="11" spans="1:12" x14ac:dyDescent="0.25">
      <c r="A11" s="18">
        <f t="shared" si="0"/>
        <v>46274</v>
      </c>
      <c r="B11" s="77"/>
      <c r="C11" s="77"/>
      <c r="D11" s="77"/>
      <c r="E11" s="77"/>
      <c r="F11" s="77"/>
      <c r="G11" s="77"/>
      <c r="H11" s="77"/>
      <c r="I11" s="77"/>
      <c r="J11" s="76"/>
      <c r="K11" s="76"/>
      <c r="L11" s="78"/>
    </row>
    <row r="12" spans="1:12" x14ac:dyDescent="0.25">
      <c r="A12" s="18">
        <f t="shared" si="0"/>
        <v>46275</v>
      </c>
      <c r="B12" s="77"/>
      <c r="C12" s="77"/>
      <c r="D12" s="77"/>
      <c r="E12" s="77"/>
      <c r="F12" s="77"/>
      <c r="G12" s="77"/>
      <c r="H12" s="77"/>
      <c r="I12" s="77"/>
      <c r="J12" s="76"/>
      <c r="K12" s="76"/>
      <c r="L12" s="78"/>
    </row>
    <row r="13" spans="1:12" x14ac:dyDescent="0.25">
      <c r="A13" s="18">
        <f t="shared" si="0"/>
        <v>46276</v>
      </c>
      <c r="B13" s="77"/>
      <c r="C13" s="77"/>
      <c r="D13" s="77"/>
      <c r="E13" s="77"/>
      <c r="F13" s="77"/>
      <c r="G13" s="77"/>
      <c r="H13" s="77"/>
      <c r="I13" s="77"/>
      <c r="J13" s="76"/>
      <c r="K13" s="76"/>
      <c r="L13" s="78"/>
    </row>
    <row r="14" spans="1:12" x14ac:dyDescent="0.25">
      <c r="A14" s="18">
        <f t="shared" si="0"/>
        <v>46277</v>
      </c>
      <c r="B14" s="77"/>
      <c r="C14" s="77"/>
      <c r="D14" s="77"/>
      <c r="E14" s="77"/>
      <c r="F14" s="77"/>
      <c r="G14" s="77"/>
      <c r="H14" s="77"/>
      <c r="I14" s="77"/>
      <c r="J14" s="76"/>
      <c r="K14" s="76"/>
      <c r="L14" s="78"/>
    </row>
    <row r="15" spans="1:12" x14ac:dyDescent="0.25">
      <c r="A15" s="18">
        <f t="shared" si="0"/>
        <v>46278</v>
      </c>
      <c r="B15" s="77"/>
      <c r="C15" s="77"/>
      <c r="D15" s="77"/>
      <c r="E15" s="77"/>
      <c r="F15" s="77"/>
      <c r="G15" s="77"/>
      <c r="H15" s="77"/>
      <c r="I15" s="77"/>
      <c r="J15" s="76"/>
      <c r="K15" s="76"/>
      <c r="L15" s="78"/>
    </row>
    <row r="16" spans="1:12" x14ac:dyDescent="0.25">
      <c r="A16" s="18">
        <f t="shared" si="0"/>
        <v>46279</v>
      </c>
      <c r="B16" s="77"/>
      <c r="C16" s="77"/>
      <c r="D16" s="77"/>
      <c r="E16" s="77"/>
      <c r="F16" s="77"/>
      <c r="G16" s="77"/>
      <c r="H16" s="77"/>
      <c r="I16" s="77"/>
      <c r="J16" s="76"/>
      <c r="K16" s="76"/>
      <c r="L16" s="78"/>
    </row>
    <row r="17" spans="1:12" x14ac:dyDescent="0.25">
      <c r="A17" s="18">
        <f t="shared" si="0"/>
        <v>46280</v>
      </c>
      <c r="B17" s="77"/>
      <c r="C17" s="77"/>
      <c r="D17" s="77"/>
      <c r="E17" s="77"/>
      <c r="F17" s="77"/>
      <c r="G17" s="77"/>
      <c r="H17" s="77"/>
      <c r="I17" s="77"/>
      <c r="J17" s="76"/>
      <c r="K17" s="76"/>
      <c r="L17" s="78"/>
    </row>
    <row r="18" spans="1:12" x14ac:dyDescent="0.25">
      <c r="A18" s="18">
        <f t="shared" si="0"/>
        <v>46281</v>
      </c>
      <c r="B18" s="77"/>
      <c r="C18" s="77"/>
      <c r="D18" s="77"/>
      <c r="E18" s="77"/>
      <c r="F18" s="77"/>
      <c r="G18" s="77"/>
      <c r="H18" s="77"/>
      <c r="I18" s="77"/>
      <c r="J18" s="76"/>
      <c r="K18" s="76"/>
      <c r="L18" s="78"/>
    </row>
    <row r="19" spans="1:12" x14ac:dyDescent="0.25">
      <c r="A19" s="18">
        <f t="shared" si="0"/>
        <v>46282</v>
      </c>
      <c r="B19" s="77"/>
      <c r="C19" s="77"/>
      <c r="D19" s="77"/>
      <c r="E19" s="77"/>
      <c r="F19" s="77"/>
      <c r="G19" s="77"/>
      <c r="H19" s="77"/>
      <c r="I19" s="77"/>
      <c r="J19" s="76"/>
      <c r="K19" s="76"/>
      <c r="L19" s="78"/>
    </row>
    <row r="20" spans="1:12" x14ac:dyDescent="0.25">
      <c r="A20" s="18">
        <f t="shared" si="0"/>
        <v>46283</v>
      </c>
      <c r="B20" s="77"/>
      <c r="C20" s="77"/>
      <c r="D20" s="77"/>
      <c r="E20" s="77"/>
      <c r="F20" s="77"/>
      <c r="G20" s="77"/>
      <c r="H20" s="77"/>
      <c r="I20" s="77"/>
      <c r="J20" s="76"/>
      <c r="K20" s="76"/>
      <c r="L20" s="78"/>
    </row>
    <row r="21" spans="1:12" x14ac:dyDescent="0.25">
      <c r="A21" s="18">
        <f t="shared" si="0"/>
        <v>46284</v>
      </c>
      <c r="B21" s="77"/>
      <c r="C21" s="77"/>
      <c r="D21" s="77"/>
      <c r="E21" s="77"/>
      <c r="F21" s="77"/>
      <c r="G21" s="77"/>
      <c r="H21" s="77"/>
      <c r="I21" s="77"/>
      <c r="J21" s="76"/>
      <c r="K21" s="76"/>
      <c r="L21" s="78"/>
    </row>
    <row r="22" spans="1:12" x14ac:dyDescent="0.25">
      <c r="A22" s="18">
        <f t="shared" si="0"/>
        <v>46285</v>
      </c>
      <c r="B22" s="77"/>
      <c r="C22" s="77"/>
      <c r="D22" s="77"/>
      <c r="E22" s="77"/>
      <c r="F22" s="77"/>
      <c r="G22" s="77"/>
      <c r="H22" s="77"/>
      <c r="I22" s="77"/>
      <c r="J22" s="76"/>
      <c r="K22" s="76"/>
      <c r="L22" s="78"/>
    </row>
    <row r="23" spans="1:12" x14ac:dyDescent="0.25">
      <c r="A23" s="18">
        <f t="shared" si="0"/>
        <v>46286</v>
      </c>
      <c r="B23" s="77"/>
      <c r="C23" s="77"/>
      <c r="D23" s="77"/>
      <c r="E23" s="77"/>
      <c r="F23" s="77"/>
      <c r="G23" s="77"/>
      <c r="H23" s="77"/>
      <c r="I23" s="77"/>
      <c r="J23" s="76"/>
      <c r="K23" s="76"/>
      <c r="L23" s="78"/>
    </row>
    <row r="24" spans="1:12" x14ac:dyDescent="0.25">
      <c r="A24" s="18">
        <f t="shared" si="0"/>
        <v>46287</v>
      </c>
      <c r="B24" s="77"/>
      <c r="C24" s="77"/>
      <c r="D24" s="77"/>
      <c r="E24" s="77"/>
      <c r="F24" s="77"/>
      <c r="G24" s="77"/>
      <c r="H24" s="77"/>
      <c r="I24" s="77"/>
      <c r="J24" s="76"/>
      <c r="K24" s="76"/>
      <c r="L24" s="78"/>
    </row>
    <row r="25" spans="1:12" x14ac:dyDescent="0.25">
      <c r="A25" s="18">
        <f t="shared" si="0"/>
        <v>46288</v>
      </c>
      <c r="B25" s="77"/>
      <c r="C25" s="77"/>
      <c r="D25" s="77"/>
      <c r="E25" s="77"/>
      <c r="F25" s="77"/>
      <c r="G25" s="77"/>
      <c r="H25" s="77"/>
      <c r="I25" s="77"/>
      <c r="J25" s="76"/>
      <c r="K25" s="76"/>
      <c r="L25" s="78"/>
    </row>
    <row r="26" spans="1:12" x14ac:dyDescent="0.25">
      <c r="A26" s="18">
        <f t="shared" si="0"/>
        <v>46289</v>
      </c>
      <c r="B26" s="77"/>
      <c r="C26" s="77"/>
      <c r="D26" s="77"/>
      <c r="E26" s="77"/>
      <c r="F26" s="77"/>
      <c r="G26" s="77"/>
      <c r="H26" s="77"/>
      <c r="I26" s="77"/>
      <c r="J26" s="76"/>
      <c r="K26" s="76"/>
      <c r="L26" s="78"/>
    </row>
    <row r="27" spans="1:12" x14ac:dyDescent="0.25">
      <c r="A27" s="18">
        <f t="shared" si="0"/>
        <v>46290</v>
      </c>
      <c r="B27" s="77"/>
      <c r="C27" s="77"/>
      <c r="D27" s="77"/>
      <c r="E27" s="77"/>
      <c r="F27" s="77"/>
      <c r="G27" s="77"/>
      <c r="H27" s="77"/>
      <c r="I27" s="77"/>
      <c r="J27" s="76"/>
      <c r="K27" s="76"/>
      <c r="L27" s="78"/>
    </row>
    <row r="28" spans="1:12" x14ac:dyDescent="0.25">
      <c r="A28" s="18">
        <f t="shared" si="0"/>
        <v>46291</v>
      </c>
      <c r="B28" s="77"/>
      <c r="C28" s="77"/>
      <c r="D28" s="77"/>
      <c r="E28" s="77"/>
      <c r="F28" s="77"/>
      <c r="G28" s="77"/>
      <c r="H28" s="77"/>
      <c r="I28" s="77"/>
      <c r="J28" s="76"/>
      <c r="K28" s="76"/>
      <c r="L28" s="78"/>
    </row>
    <row r="29" spans="1:12" x14ac:dyDescent="0.25">
      <c r="A29" s="18">
        <f t="shared" si="0"/>
        <v>46292</v>
      </c>
      <c r="B29" s="77"/>
      <c r="C29" s="77"/>
      <c r="D29" s="77"/>
      <c r="E29" s="77"/>
      <c r="F29" s="77"/>
      <c r="G29" s="77"/>
      <c r="H29" s="77"/>
      <c r="I29" s="77"/>
      <c r="J29" s="76"/>
      <c r="K29" s="76"/>
    </row>
    <row r="30" spans="1:12" x14ac:dyDescent="0.25">
      <c r="A30" s="18">
        <f t="shared" si="0"/>
        <v>46293</v>
      </c>
      <c r="B30" s="77"/>
      <c r="C30" s="77"/>
      <c r="D30" s="77"/>
      <c r="E30" s="77"/>
      <c r="F30" s="77"/>
      <c r="G30" s="77"/>
      <c r="H30" s="77"/>
      <c r="I30" s="77"/>
      <c r="J30" s="76"/>
      <c r="K30" s="76"/>
    </row>
    <row r="31" spans="1:12" x14ac:dyDescent="0.25">
      <c r="A31" s="18">
        <f t="shared" si="0"/>
        <v>46294</v>
      </c>
      <c r="B31" s="77"/>
      <c r="C31" s="77"/>
      <c r="D31" s="77"/>
      <c r="E31" s="77"/>
      <c r="F31" s="77"/>
      <c r="G31" s="77"/>
      <c r="H31" s="77"/>
      <c r="I31" s="77"/>
      <c r="J31" s="76"/>
      <c r="K31" s="76"/>
    </row>
    <row r="32" spans="1:12" ht="15.75" thickBot="1" x14ac:dyDescent="0.3">
      <c r="A32" s="18">
        <f t="shared" si="0"/>
        <v>46295</v>
      </c>
      <c r="B32" s="77"/>
      <c r="C32" s="77"/>
      <c r="D32" s="77"/>
      <c r="E32" s="77"/>
      <c r="F32" s="77"/>
      <c r="G32" s="77"/>
      <c r="H32" s="77"/>
      <c r="I32" s="77"/>
    </row>
    <row r="33" spans="1:15" s="6" customFormat="1" ht="15.75" thickTop="1" x14ac:dyDescent="0.25">
      <c r="A33" s="10" t="s">
        <v>8</v>
      </c>
      <c r="B33" s="11">
        <f>SUM(B3:B32)</f>
        <v>0</v>
      </c>
      <c r="C33" s="11">
        <f t="shared" ref="C33:H33" si="1">SUM(C3:C32)</f>
        <v>0</v>
      </c>
      <c r="D33" s="11">
        <f t="shared" si="1"/>
        <v>0</v>
      </c>
      <c r="E33" s="11">
        <f t="shared" si="1"/>
        <v>0</v>
      </c>
      <c r="F33" s="12">
        <f t="shared" si="1"/>
        <v>0</v>
      </c>
      <c r="G33" s="12">
        <f t="shared" si="1"/>
        <v>0</v>
      </c>
      <c r="H33" s="11">
        <f t="shared" si="1"/>
        <v>0</v>
      </c>
      <c r="I33" s="12"/>
    </row>
    <row r="34" spans="1:15" s="6" customFormat="1" x14ac:dyDescent="0.25">
      <c r="A34" s="13" t="s">
        <v>9</v>
      </c>
      <c r="B34" s="14">
        <f>SUM(B33+'Aug 2026'!B35)</f>
        <v>17333</v>
      </c>
      <c r="C34" s="14">
        <f>SUM(C33+'Aug 2026'!C35)</f>
        <v>29689</v>
      </c>
      <c r="D34" s="14">
        <f>SUM(D33+'Aug 2026'!D35)</f>
        <v>8715</v>
      </c>
      <c r="E34" s="14">
        <f>SUM(E33+'Aug 2026'!E35)</f>
        <v>44430</v>
      </c>
      <c r="F34" s="15">
        <f>SUM(F33+'Aug 2026'!F35)</f>
        <v>11.120000000000003</v>
      </c>
      <c r="G34" s="15">
        <f>SUM(G33+'Aug 2026'!G35)</f>
        <v>2.5</v>
      </c>
      <c r="H34" s="14">
        <f>SUM(H33+'Aug 2026'!H35)</f>
        <v>33365</v>
      </c>
      <c r="I34" s="15"/>
    </row>
    <row r="36" spans="1:15" x14ac:dyDescent="0.25">
      <c r="A36" t="s">
        <v>10</v>
      </c>
      <c r="B36" s="17">
        <f>SUM(B3:B32)*1.9835</f>
        <v>0</v>
      </c>
      <c r="C36" s="17">
        <f>SUM(C3:C32)*1.9835</f>
        <v>0</v>
      </c>
      <c r="D36" s="17">
        <f>SUM(D3:D32)*1.9835</f>
        <v>0</v>
      </c>
      <c r="E36" s="17">
        <f>SUM(E3:E32)*1.9835</f>
        <v>0</v>
      </c>
      <c r="F36" s="17"/>
      <c r="G36" s="17"/>
      <c r="H36" s="17"/>
    </row>
    <row r="37" spans="1:15" x14ac:dyDescent="0.25">
      <c r="B37" s="17"/>
      <c r="C37" s="17"/>
      <c r="D37" s="17"/>
      <c r="E37" s="17"/>
      <c r="F37" s="17"/>
      <c r="G37" s="17"/>
      <c r="H37" s="17"/>
    </row>
    <row r="38" spans="1:15" x14ac:dyDescent="0.25">
      <c r="A38" t="s">
        <v>24</v>
      </c>
      <c r="B38" s="17">
        <f>SUM(B36+'Aug 2026'!B39)</f>
        <v>35425.31</v>
      </c>
      <c r="C38" s="17">
        <f>SUM(C36+'Aug 2026'!C39)</f>
        <v>70203.998999999996</v>
      </c>
      <c r="D38" s="17">
        <f>SUM(D36+'Aug 2026'!D39)</f>
        <v>17294.136499999997</v>
      </c>
      <c r="E38" s="17">
        <f>SUM(E36+'Aug 2026'!E39)</f>
        <v>103370.10249999998</v>
      </c>
      <c r="F38" s="17"/>
      <c r="G38" s="17"/>
      <c r="H38" s="17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8" sqref="C8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41.28515625" customWidth="1"/>
  </cols>
  <sheetData>
    <row r="1" spans="1:15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5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5" x14ac:dyDescent="0.25">
      <c r="A3" s="7">
        <v>46235</v>
      </c>
      <c r="B3" s="77">
        <v>0</v>
      </c>
      <c r="C3" s="77">
        <v>300</v>
      </c>
      <c r="D3" s="77">
        <v>0</v>
      </c>
      <c r="E3" s="77">
        <v>259</v>
      </c>
      <c r="F3" s="77">
        <v>0</v>
      </c>
      <c r="G3" s="77">
        <v>0</v>
      </c>
      <c r="H3" s="77">
        <v>0</v>
      </c>
      <c r="I3" s="77"/>
      <c r="J3" s="79"/>
      <c r="K3" s="78"/>
      <c r="L3" s="78"/>
      <c r="M3" s="78"/>
      <c r="N3" s="78"/>
      <c r="O3" s="78"/>
    </row>
    <row r="4" spans="1:15" x14ac:dyDescent="0.25">
      <c r="A4" s="7">
        <f>A3+1</f>
        <v>46236</v>
      </c>
      <c r="B4" s="77">
        <v>0</v>
      </c>
      <c r="C4" s="77">
        <v>300</v>
      </c>
      <c r="D4" s="77">
        <v>0</v>
      </c>
      <c r="E4" s="77">
        <v>282</v>
      </c>
      <c r="F4" s="77">
        <v>0</v>
      </c>
      <c r="G4" s="77">
        <v>0</v>
      </c>
      <c r="H4" s="77">
        <v>0</v>
      </c>
      <c r="I4" s="77"/>
      <c r="J4" s="79"/>
      <c r="K4" s="78"/>
      <c r="L4" s="78"/>
      <c r="M4" s="78"/>
      <c r="N4" s="78"/>
      <c r="O4" s="78"/>
    </row>
    <row r="5" spans="1:15" x14ac:dyDescent="0.25">
      <c r="A5" s="7">
        <f t="shared" ref="A5:A33" si="0">A4+1</f>
        <v>46237</v>
      </c>
      <c r="B5" s="77">
        <v>0</v>
      </c>
      <c r="C5" s="77">
        <v>300</v>
      </c>
      <c r="D5" s="77">
        <v>0</v>
      </c>
      <c r="E5" s="77">
        <v>274</v>
      </c>
      <c r="F5" s="77">
        <v>0</v>
      </c>
      <c r="G5" s="77">
        <v>0</v>
      </c>
      <c r="H5" s="77">
        <v>0</v>
      </c>
      <c r="I5" s="77"/>
      <c r="J5" s="79"/>
      <c r="K5" s="78"/>
      <c r="L5" s="78"/>
      <c r="M5" s="78"/>
      <c r="N5" s="78"/>
      <c r="O5" s="78"/>
    </row>
    <row r="6" spans="1:15" x14ac:dyDescent="0.25">
      <c r="A6" s="7">
        <f t="shared" si="0"/>
        <v>46238</v>
      </c>
      <c r="B6" s="77"/>
      <c r="C6" s="77">
        <v>300</v>
      </c>
      <c r="D6" s="77">
        <v>0</v>
      </c>
      <c r="E6" s="77">
        <v>280</v>
      </c>
      <c r="F6" s="77">
        <v>0</v>
      </c>
      <c r="G6" s="77">
        <v>0</v>
      </c>
      <c r="H6" s="77">
        <v>0</v>
      </c>
      <c r="I6" s="77"/>
      <c r="J6" s="79"/>
      <c r="K6" s="78"/>
      <c r="L6" s="78"/>
      <c r="M6" s="78"/>
      <c r="N6" s="78"/>
      <c r="O6" s="78"/>
    </row>
    <row r="7" spans="1:15" x14ac:dyDescent="0.25">
      <c r="A7" s="7">
        <f t="shared" si="0"/>
        <v>46239</v>
      </c>
      <c r="B7" s="77"/>
      <c r="C7" s="77">
        <v>300</v>
      </c>
      <c r="D7" s="77">
        <v>0</v>
      </c>
      <c r="E7" s="77">
        <v>298</v>
      </c>
      <c r="F7" s="77">
        <v>0</v>
      </c>
      <c r="G7" s="77">
        <v>0</v>
      </c>
      <c r="H7" s="77">
        <v>0</v>
      </c>
      <c r="I7" s="77"/>
      <c r="J7" s="79"/>
      <c r="K7" s="78"/>
      <c r="L7" s="78"/>
      <c r="M7" s="78"/>
      <c r="N7" s="78"/>
      <c r="O7" s="78"/>
    </row>
    <row r="8" spans="1:15" x14ac:dyDescent="0.25">
      <c r="A8" s="7">
        <f t="shared" si="0"/>
        <v>46240</v>
      </c>
      <c r="B8" s="77"/>
      <c r="C8" s="77"/>
      <c r="D8" s="77"/>
      <c r="E8" s="77"/>
      <c r="F8" s="77"/>
      <c r="G8" s="77"/>
      <c r="H8" s="77"/>
      <c r="I8" s="77"/>
      <c r="J8" s="79"/>
      <c r="K8" s="78"/>
      <c r="L8" s="78"/>
      <c r="M8" s="78"/>
      <c r="N8" s="78"/>
      <c r="O8" s="78"/>
    </row>
    <row r="9" spans="1:15" x14ac:dyDescent="0.25">
      <c r="A9" s="7">
        <f t="shared" si="0"/>
        <v>46241</v>
      </c>
      <c r="B9" s="77"/>
      <c r="C9" s="77"/>
      <c r="D9" s="77"/>
      <c r="E9" s="77"/>
      <c r="F9" s="77"/>
      <c r="G9" s="77"/>
      <c r="H9" s="77"/>
      <c r="I9" s="77"/>
      <c r="J9" s="79"/>
      <c r="K9" s="78"/>
      <c r="L9" s="78"/>
      <c r="M9" s="78"/>
      <c r="N9" s="78"/>
      <c r="O9" s="78"/>
    </row>
    <row r="10" spans="1:15" x14ac:dyDescent="0.25">
      <c r="A10" s="7">
        <f t="shared" si="0"/>
        <v>46242</v>
      </c>
      <c r="B10" s="77"/>
      <c r="C10" s="77"/>
      <c r="D10" s="77"/>
      <c r="E10" s="77"/>
      <c r="F10" s="77"/>
      <c r="G10" s="77"/>
      <c r="H10" s="77"/>
      <c r="I10" s="77"/>
      <c r="J10" s="79"/>
      <c r="K10" s="78"/>
      <c r="L10" s="78"/>
      <c r="M10" s="78"/>
      <c r="N10" s="78"/>
      <c r="O10" s="78"/>
    </row>
    <row r="11" spans="1:15" x14ac:dyDescent="0.25">
      <c r="A11" s="7">
        <f t="shared" si="0"/>
        <v>46243</v>
      </c>
      <c r="B11" s="77"/>
      <c r="C11" s="77"/>
      <c r="D11" s="77"/>
      <c r="E11" s="77"/>
      <c r="F11" s="77"/>
      <c r="G11" s="77"/>
      <c r="H11" s="77"/>
      <c r="I11" s="77"/>
      <c r="J11" s="79"/>
      <c r="K11" s="78"/>
      <c r="L11" s="78"/>
      <c r="M11" s="78"/>
      <c r="N11" s="78"/>
      <c r="O11" s="78"/>
    </row>
    <row r="12" spans="1:15" x14ac:dyDescent="0.25">
      <c r="A12" s="7">
        <f t="shared" si="0"/>
        <v>46244</v>
      </c>
      <c r="B12" s="77"/>
      <c r="C12" s="77"/>
      <c r="D12" s="77"/>
      <c r="E12" s="77"/>
      <c r="F12" s="77"/>
      <c r="G12" s="77"/>
      <c r="H12" s="77"/>
      <c r="I12" s="77"/>
      <c r="J12" s="76"/>
      <c r="K12" s="78"/>
      <c r="L12" s="78"/>
      <c r="M12" s="78"/>
      <c r="N12" s="78"/>
      <c r="O12" s="78"/>
    </row>
    <row r="13" spans="1:15" x14ac:dyDescent="0.25">
      <c r="A13" s="7">
        <f t="shared" si="0"/>
        <v>46245</v>
      </c>
      <c r="B13" s="77"/>
      <c r="C13" s="77"/>
      <c r="D13" s="77"/>
      <c r="E13" s="77"/>
      <c r="F13" s="77"/>
      <c r="G13" s="77"/>
      <c r="H13" s="77"/>
      <c r="I13" s="77"/>
      <c r="J13" s="76"/>
      <c r="K13" s="76"/>
      <c r="L13" s="78"/>
      <c r="M13" s="78"/>
      <c r="N13" s="78"/>
      <c r="O13" s="78"/>
    </row>
    <row r="14" spans="1:15" x14ac:dyDescent="0.25">
      <c r="A14" s="7">
        <f t="shared" si="0"/>
        <v>46246</v>
      </c>
      <c r="B14" s="77"/>
      <c r="C14" s="77"/>
      <c r="D14" s="77"/>
      <c r="E14" s="77"/>
      <c r="F14" s="77"/>
      <c r="G14" s="77"/>
      <c r="H14" s="77"/>
      <c r="I14" s="77"/>
      <c r="J14" s="76"/>
      <c r="K14" s="76"/>
      <c r="L14" s="78"/>
      <c r="M14" s="78"/>
      <c r="N14" s="78"/>
      <c r="O14" s="78"/>
    </row>
    <row r="15" spans="1:15" x14ac:dyDescent="0.25">
      <c r="A15" s="7">
        <f t="shared" si="0"/>
        <v>46247</v>
      </c>
      <c r="B15" s="77"/>
      <c r="C15" s="77"/>
      <c r="D15" s="77"/>
      <c r="E15" s="77"/>
      <c r="F15" s="77"/>
      <c r="G15" s="77"/>
      <c r="H15" s="77"/>
      <c r="I15" s="77"/>
      <c r="J15" s="235"/>
      <c r="K15" s="76"/>
      <c r="L15" s="78"/>
      <c r="M15" s="78"/>
      <c r="N15" s="78"/>
      <c r="O15" s="78"/>
    </row>
    <row r="16" spans="1:15" x14ac:dyDescent="0.25">
      <c r="A16" s="7">
        <f t="shared" si="0"/>
        <v>46248</v>
      </c>
      <c r="B16" s="77"/>
      <c r="C16" s="77"/>
      <c r="D16" s="77"/>
      <c r="E16" s="77"/>
      <c r="F16" s="77"/>
      <c r="G16" s="77"/>
      <c r="H16" s="77"/>
      <c r="I16" s="77"/>
      <c r="J16" s="76"/>
      <c r="K16" s="76"/>
      <c r="L16" s="78"/>
      <c r="M16" s="78"/>
      <c r="N16" s="78"/>
      <c r="O16" s="78"/>
    </row>
    <row r="17" spans="1:15" x14ac:dyDescent="0.25">
      <c r="A17" s="7">
        <f t="shared" si="0"/>
        <v>46249</v>
      </c>
      <c r="B17" s="77"/>
      <c r="C17" s="77"/>
      <c r="D17" s="77"/>
      <c r="E17" s="77"/>
      <c r="F17" s="77"/>
      <c r="G17" s="77"/>
      <c r="H17" s="77"/>
      <c r="I17" s="77"/>
      <c r="J17" s="76"/>
      <c r="K17" s="76"/>
      <c r="L17" s="78"/>
      <c r="M17" s="78"/>
      <c r="N17" s="78"/>
      <c r="O17" s="78"/>
    </row>
    <row r="18" spans="1:15" x14ac:dyDescent="0.25">
      <c r="A18" s="7">
        <f t="shared" si="0"/>
        <v>46250</v>
      </c>
      <c r="B18" s="77"/>
      <c r="C18" s="77"/>
      <c r="D18" s="77"/>
      <c r="E18" s="77"/>
      <c r="F18" s="77"/>
      <c r="G18" s="77"/>
      <c r="H18" s="77"/>
      <c r="I18" s="77"/>
      <c r="J18" s="76"/>
      <c r="K18" s="76"/>
      <c r="L18" s="78"/>
      <c r="M18" s="78"/>
      <c r="N18" s="78"/>
      <c r="O18" s="78"/>
    </row>
    <row r="19" spans="1:15" x14ac:dyDescent="0.25">
      <c r="A19" s="7">
        <f t="shared" si="0"/>
        <v>46251</v>
      </c>
      <c r="B19" s="77"/>
      <c r="C19" s="77"/>
      <c r="D19" s="77"/>
      <c r="E19" s="77"/>
      <c r="F19" s="77"/>
      <c r="G19" s="77"/>
      <c r="H19" s="77"/>
      <c r="I19" s="77"/>
      <c r="J19" s="76"/>
      <c r="K19" s="76"/>
      <c r="L19" s="78"/>
      <c r="M19" s="78"/>
      <c r="N19" s="78"/>
      <c r="O19" s="78"/>
    </row>
    <row r="20" spans="1:15" x14ac:dyDescent="0.25">
      <c r="A20" s="7">
        <f t="shared" si="0"/>
        <v>46252</v>
      </c>
      <c r="B20" s="77"/>
      <c r="C20" s="77"/>
      <c r="D20" s="77"/>
      <c r="E20" s="77"/>
      <c r="F20" s="77"/>
      <c r="G20" s="77"/>
      <c r="H20" s="77"/>
      <c r="I20" s="77"/>
      <c r="J20" s="76"/>
      <c r="K20" s="76"/>
      <c r="L20" s="78"/>
      <c r="M20" s="78"/>
      <c r="N20" s="78"/>
      <c r="O20" s="78"/>
    </row>
    <row r="21" spans="1:15" x14ac:dyDescent="0.25">
      <c r="A21" s="7">
        <f t="shared" si="0"/>
        <v>46253</v>
      </c>
      <c r="B21" s="77"/>
      <c r="C21" s="77"/>
      <c r="D21" s="77"/>
      <c r="E21" s="77"/>
      <c r="F21" s="77"/>
      <c r="G21" s="77"/>
      <c r="H21" s="77"/>
      <c r="I21" s="77"/>
      <c r="J21" s="76"/>
      <c r="K21" s="76"/>
      <c r="L21" s="78"/>
      <c r="M21" s="78"/>
      <c r="N21" s="78"/>
      <c r="O21" s="78"/>
    </row>
    <row r="22" spans="1:15" x14ac:dyDescent="0.25">
      <c r="A22" s="7">
        <f t="shared" si="0"/>
        <v>46254</v>
      </c>
      <c r="B22" s="77"/>
      <c r="C22" s="77"/>
      <c r="D22" s="77"/>
      <c r="E22" s="77"/>
      <c r="F22" s="77"/>
      <c r="G22" s="77"/>
      <c r="H22" s="77"/>
      <c r="I22" s="77"/>
      <c r="J22" s="76"/>
      <c r="K22" s="76"/>
      <c r="L22" s="78"/>
      <c r="M22" s="78"/>
      <c r="N22" s="78"/>
      <c r="O22" s="78"/>
    </row>
    <row r="23" spans="1:15" x14ac:dyDescent="0.25">
      <c r="A23" s="7">
        <f t="shared" si="0"/>
        <v>46255</v>
      </c>
      <c r="B23" s="77"/>
      <c r="C23" s="77"/>
      <c r="D23" s="77"/>
      <c r="E23" s="77"/>
      <c r="F23" s="77"/>
      <c r="G23" s="77"/>
      <c r="H23" s="77"/>
      <c r="I23" s="77"/>
      <c r="J23" s="76"/>
      <c r="K23" s="76"/>
      <c r="L23" s="78"/>
      <c r="M23" s="78"/>
      <c r="N23" s="78"/>
      <c r="O23" s="78"/>
    </row>
    <row r="24" spans="1:15" x14ac:dyDescent="0.25">
      <c r="A24" s="7">
        <f t="shared" si="0"/>
        <v>46256</v>
      </c>
      <c r="B24" s="77"/>
      <c r="C24" s="77"/>
      <c r="D24" s="77"/>
      <c r="E24" s="77"/>
      <c r="F24" s="77"/>
      <c r="G24" s="77"/>
      <c r="H24" s="77"/>
      <c r="I24" s="77"/>
      <c r="J24" s="76"/>
      <c r="K24" s="76"/>
      <c r="L24" s="78"/>
      <c r="M24" s="78"/>
      <c r="N24" s="78"/>
      <c r="O24" s="78"/>
    </row>
    <row r="25" spans="1:15" x14ac:dyDescent="0.25">
      <c r="A25" s="7">
        <f t="shared" si="0"/>
        <v>46257</v>
      </c>
      <c r="B25" s="77"/>
      <c r="C25" s="77"/>
      <c r="D25" s="77"/>
      <c r="E25" s="77"/>
      <c r="F25" s="77"/>
      <c r="G25" s="77"/>
      <c r="H25" s="77"/>
      <c r="I25" s="77"/>
      <c r="J25" s="76"/>
      <c r="K25" s="76"/>
      <c r="L25" s="78"/>
      <c r="M25" s="78"/>
      <c r="N25" s="78"/>
      <c r="O25" s="78"/>
    </row>
    <row r="26" spans="1:15" x14ac:dyDescent="0.25">
      <c r="A26" s="7">
        <f t="shared" si="0"/>
        <v>46258</v>
      </c>
      <c r="B26" s="77"/>
      <c r="C26" s="77"/>
      <c r="D26" s="77"/>
      <c r="E26" s="77"/>
      <c r="F26" s="77"/>
      <c r="G26" s="77"/>
      <c r="H26" s="77"/>
      <c r="I26" s="77"/>
      <c r="J26" s="76"/>
      <c r="K26" s="76"/>
      <c r="L26" s="78"/>
      <c r="M26" s="78"/>
      <c r="N26" s="78"/>
      <c r="O26" s="78"/>
    </row>
    <row r="27" spans="1:15" x14ac:dyDescent="0.25">
      <c r="A27" s="7">
        <f t="shared" si="0"/>
        <v>46259</v>
      </c>
      <c r="B27" s="77"/>
      <c r="C27" s="77"/>
      <c r="D27" s="77"/>
      <c r="E27" s="77"/>
      <c r="F27" s="77"/>
      <c r="G27" s="77"/>
      <c r="H27" s="77"/>
      <c r="I27" s="77"/>
      <c r="J27" s="76"/>
      <c r="K27" s="76"/>
      <c r="L27" s="78"/>
      <c r="M27" s="78"/>
      <c r="N27" s="78"/>
      <c r="O27" s="78"/>
    </row>
    <row r="28" spans="1:15" x14ac:dyDescent="0.25">
      <c r="A28" s="7">
        <f t="shared" si="0"/>
        <v>46260</v>
      </c>
      <c r="B28" s="77"/>
      <c r="C28" s="77"/>
      <c r="D28" s="77"/>
      <c r="E28" s="77"/>
      <c r="F28" s="77"/>
      <c r="G28" s="77"/>
      <c r="H28" s="77"/>
      <c r="I28" s="77"/>
      <c r="J28" s="76"/>
      <c r="K28" s="76"/>
      <c r="L28" s="78"/>
      <c r="M28" s="78"/>
      <c r="N28" s="78"/>
      <c r="O28" s="78"/>
    </row>
    <row r="29" spans="1:15" x14ac:dyDescent="0.25">
      <c r="A29" s="7">
        <f t="shared" si="0"/>
        <v>46261</v>
      </c>
      <c r="B29" s="77"/>
      <c r="C29" s="77"/>
      <c r="D29" s="77"/>
      <c r="E29" s="77"/>
      <c r="F29" s="77"/>
      <c r="G29" s="77"/>
      <c r="H29" s="77"/>
      <c r="I29" s="77"/>
      <c r="J29" s="76"/>
      <c r="K29" s="76"/>
      <c r="L29" s="78"/>
      <c r="M29" s="78"/>
      <c r="N29" s="78"/>
      <c r="O29" s="78"/>
    </row>
    <row r="30" spans="1:15" x14ac:dyDescent="0.25">
      <c r="A30" s="7">
        <f t="shared" si="0"/>
        <v>46262</v>
      </c>
      <c r="B30" s="77"/>
      <c r="C30" s="77"/>
      <c r="D30" s="77"/>
      <c r="E30" s="77"/>
      <c r="F30" s="77"/>
      <c r="G30" s="77"/>
      <c r="H30" s="77"/>
      <c r="I30" s="77"/>
      <c r="J30" s="76"/>
      <c r="K30" s="76"/>
      <c r="L30" s="78"/>
      <c r="M30" s="78"/>
      <c r="N30" s="78"/>
      <c r="O30" s="78"/>
    </row>
    <row r="31" spans="1:15" x14ac:dyDescent="0.25">
      <c r="A31" s="7">
        <f t="shared" si="0"/>
        <v>46263</v>
      </c>
      <c r="B31" s="77"/>
      <c r="C31" s="77"/>
      <c r="D31" s="77"/>
      <c r="E31" s="77"/>
      <c r="F31" s="77"/>
      <c r="G31" s="77"/>
      <c r="H31" s="77"/>
      <c r="I31" s="77"/>
      <c r="J31" s="76"/>
      <c r="K31" s="76"/>
      <c r="L31" s="78"/>
      <c r="M31" s="78"/>
      <c r="N31" s="78"/>
      <c r="O31" s="78"/>
    </row>
    <row r="32" spans="1:15" x14ac:dyDescent="0.25">
      <c r="A32" s="7">
        <f t="shared" si="0"/>
        <v>46264</v>
      </c>
      <c r="B32" s="77"/>
      <c r="C32" s="77"/>
      <c r="D32" s="77"/>
      <c r="E32" s="77"/>
      <c r="F32" s="77"/>
      <c r="G32" s="77"/>
      <c r="H32" s="77"/>
      <c r="I32" s="77"/>
      <c r="J32" s="76"/>
      <c r="K32" s="76"/>
      <c r="L32" s="78"/>
      <c r="M32" s="78"/>
      <c r="N32" s="78"/>
      <c r="O32" s="78"/>
    </row>
    <row r="33" spans="1:15" ht="15.75" thickBot="1" x14ac:dyDescent="0.3">
      <c r="A33" s="7">
        <f t="shared" si="0"/>
        <v>46265</v>
      </c>
      <c r="B33" s="77"/>
      <c r="C33" s="77"/>
      <c r="D33" s="77"/>
      <c r="E33" s="77"/>
      <c r="F33" s="77"/>
      <c r="G33" s="77"/>
      <c r="H33" s="77"/>
      <c r="I33" s="77"/>
      <c r="J33" s="76"/>
      <c r="K33" s="76"/>
      <c r="L33" s="78"/>
      <c r="M33" s="78"/>
      <c r="N33" s="78"/>
      <c r="O33" s="78"/>
    </row>
    <row r="34" spans="1:15" s="6" customFormat="1" ht="15.75" collapsed="1" thickTop="1" x14ac:dyDescent="0.25">
      <c r="A34" s="10" t="s">
        <v>8</v>
      </c>
      <c r="B34" s="11">
        <f>SUM(B3:B33)</f>
        <v>0</v>
      </c>
      <c r="C34" s="11">
        <f t="shared" ref="C34:H34" si="1">SUM(C3:C33)</f>
        <v>1500</v>
      </c>
      <c r="D34" s="11">
        <f t="shared" si="1"/>
        <v>0</v>
      </c>
      <c r="E34" s="11">
        <f t="shared" si="1"/>
        <v>1393</v>
      </c>
      <c r="F34" s="12">
        <f t="shared" si="1"/>
        <v>0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SUM(B34+'Jul 2026'!B35)</f>
        <v>17333</v>
      </c>
      <c r="C35" s="14">
        <f>SUM(C34+'Jul 2026'!C35)</f>
        <v>29689</v>
      </c>
      <c r="D35" s="14">
        <f>SUM(D34+'Jul 2026'!D35)</f>
        <v>8715</v>
      </c>
      <c r="E35" s="14">
        <f>SUM(E34+'Jul 2026'!E35)</f>
        <v>44430</v>
      </c>
      <c r="F35" s="15">
        <f>SUM(F34+'Jul 2026'!F35)</f>
        <v>11.120000000000003</v>
      </c>
      <c r="G35" s="15">
        <f>SUM(G34+'Jul 2026'!G35)</f>
        <v>2.5</v>
      </c>
      <c r="H35" s="14">
        <f>SUM(H34+'Jul 2026'!H35)</f>
        <v>33365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2975.25</v>
      </c>
      <c r="D37" s="17">
        <f>SUM(D3:D33)*1.9835</f>
        <v>0</v>
      </c>
      <c r="E37" s="17">
        <f>SUM(E3:E33)*1.9835</f>
        <v>2763.0155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SUM(B37+'Jul 2026'!B39)</f>
        <v>35425.31</v>
      </c>
      <c r="C39" s="17">
        <f>SUM(C37+'Jul 2026'!C39)</f>
        <v>70203.998999999996</v>
      </c>
      <c r="D39" s="17">
        <f>SUM(D37+'Jul 2026'!D39)</f>
        <v>17294.136499999997</v>
      </c>
      <c r="E39" s="17">
        <f>SUM(E37+'Jul 2026'!E39)</f>
        <v>103370.10249999998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58"/>
  <sheetViews>
    <sheetView zoomScale="80" zoomScaleNormal="80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B33" sqref="B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9.1406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46204</v>
      </c>
      <c r="B3" s="77">
        <v>0</v>
      </c>
      <c r="C3" s="77">
        <v>200</v>
      </c>
      <c r="D3" s="77">
        <v>0</v>
      </c>
      <c r="E3" s="77">
        <v>176</v>
      </c>
      <c r="F3" s="77">
        <v>0</v>
      </c>
      <c r="G3" s="77">
        <v>0</v>
      </c>
      <c r="H3" s="77">
        <v>0</v>
      </c>
      <c r="I3" s="77"/>
      <c r="J3" s="76"/>
    </row>
    <row r="4" spans="1:10" x14ac:dyDescent="0.25">
      <c r="A4" s="18">
        <f>A3+1</f>
        <v>46205</v>
      </c>
      <c r="B4" s="77">
        <v>0</v>
      </c>
      <c r="C4" s="77">
        <v>200</v>
      </c>
      <c r="D4" s="77">
        <v>0</v>
      </c>
      <c r="E4" s="77">
        <v>208</v>
      </c>
      <c r="F4" s="77">
        <v>0</v>
      </c>
      <c r="G4" s="77">
        <v>0</v>
      </c>
      <c r="H4" s="77">
        <v>0</v>
      </c>
      <c r="I4" s="77"/>
      <c r="J4" s="76"/>
    </row>
    <row r="5" spans="1:10" x14ac:dyDescent="0.25">
      <c r="A5" s="18">
        <f t="shared" ref="A5:A33" si="0">A4+1</f>
        <v>46206</v>
      </c>
      <c r="B5" s="77">
        <v>0</v>
      </c>
      <c r="C5" s="77">
        <v>200</v>
      </c>
      <c r="D5" s="77">
        <v>0</v>
      </c>
      <c r="E5" s="77">
        <v>210</v>
      </c>
      <c r="F5" s="77">
        <v>0</v>
      </c>
      <c r="G5" s="77">
        <v>0</v>
      </c>
      <c r="H5" s="77">
        <v>0</v>
      </c>
      <c r="I5" s="77"/>
      <c r="J5" s="76"/>
    </row>
    <row r="6" spans="1:10" x14ac:dyDescent="0.25">
      <c r="A6" s="18">
        <f t="shared" si="0"/>
        <v>46207</v>
      </c>
      <c r="B6" s="77">
        <v>0</v>
      </c>
      <c r="C6" s="77">
        <v>200</v>
      </c>
      <c r="D6" s="77">
        <v>0</v>
      </c>
      <c r="E6" s="77">
        <v>189</v>
      </c>
      <c r="F6" s="77">
        <v>0</v>
      </c>
      <c r="G6" s="77">
        <v>0</v>
      </c>
      <c r="H6" s="77">
        <v>0</v>
      </c>
      <c r="I6" s="77"/>
      <c r="J6" s="76"/>
    </row>
    <row r="7" spans="1:10" x14ac:dyDescent="0.25">
      <c r="A7" s="18">
        <f t="shared" si="0"/>
        <v>46208</v>
      </c>
      <c r="B7" s="77">
        <v>0</v>
      </c>
      <c r="C7" s="77">
        <v>200</v>
      </c>
      <c r="D7" s="77">
        <v>0</v>
      </c>
      <c r="E7" s="77">
        <v>210</v>
      </c>
      <c r="F7" s="77">
        <v>0</v>
      </c>
      <c r="G7" s="77">
        <v>0</v>
      </c>
      <c r="H7" s="77">
        <v>0</v>
      </c>
      <c r="I7" s="77"/>
      <c r="J7" s="76"/>
    </row>
    <row r="8" spans="1:10" x14ac:dyDescent="0.25">
      <c r="A8" s="18">
        <f t="shared" si="0"/>
        <v>46209</v>
      </c>
      <c r="B8" s="77">
        <v>0</v>
      </c>
      <c r="C8" s="77">
        <v>200</v>
      </c>
      <c r="D8" s="77">
        <v>0</v>
      </c>
      <c r="E8" s="77">
        <v>187</v>
      </c>
      <c r="F8" s="77">
        <v>0</v>
      </c>
      <c r="G8" s="77">
        <v>0</v>
      </c>
      <c r="H8" s="77">
        <v>0</v>
      </c>
      <c r="I8" s="77"/>
      <c r="J8" s="76"/>
    </row>
    <row r="9" spans="1:10" x14ac:dyDescent="0.25">
      <c r="A9" s="18">
        <f t="shared" si="0"/>
        <v>46210</v>
      </c>
      <c r="B9" s="77">
        <v>0</v>
      </c>
      <c r="C9" s="77">
        <v>200</v>
      </c>
      <c r="D9" s="77">
        <v>0</v>
      </c>
      <c r="E9" s="77">
        <v>178</v>
      </c>
      <c r="F9" s="77">
        <v>0</v>
      </c>
      <c r="G9" s="77">
        <v>0</v>
      </c>
      <c r="H9" s="77">
        <v>0</v>
      </c>
      <c r="I9" s="77"/>
      <c r="J9" s="76"/>
    </row>
    <row r="10" spans="1:10" x14ac:dyDescent="0.25">
      <c r="A10" s="18">
        <f t="shared" si="0"/>
        <v>46211</v>
      </c>
      <c r="B10" s="77">
        <v>0</v>
      </c>
      <c r="C10" s="77">
        <v>270</v>
      </c>
      <c r="D10" s="77">
        <v>0</v>
      </c>
      <c r="E10" s="77">
        <v>179</v>
      </c>
      <c r="F10" s="77">
        <v>0</v>
      </c>
      <c r="G10" s="77">
        <v>0</v>
      </c>
      <c r="H10" s="77">
        <v>0</v>
      </c>
      <c r="I10" s="77"/>
      <c r="J10" s="76" t="s">
        <v>105</v>
      </c>
    </row>
    <row r="11" spans="1:10" x14ac:dyDescent="0.25">
      <c r="A11" s="18">
        <f t="shared" si="0"/>
        <v>46212</v>
      </c>
      <c r="B11" s="77">
        <v>0</v>
      </c>
      <c r="C11" s="77">
        <v>231</v>
      </c>
      <c r="D11" s="77">
        <v>0</v>
      </c>
      <c r="E11" s="77">
        <v>180</v>
      </c>
      <c r="F11" s="77">
        <v>0</v>
      </c>
      <c r="G11" s="77">
        <v>0</v>
      </c>
      <c r="H11" s="77">
        <v>0</v>
      </c>
      <c r="I11" s="77"/>
      <c r="J11" s="76" t="s">
        <v>106</v>
      </c>
    </row>
    <row r="12" spans="1:10" x14ac:dyDescent="0.25">
      <c r="A12" s="18">
        <f t="shared" si="0"/>
        <v>46213</v>
      </c>
      <c r="B12" s="77">
        <v>0</v>
      </c>
      <c r="C12" s="77">
        <v>203</v>
      </c>
      <c r="D12" s="77">
        <v>0</v>
      </c>
      <c r="E12" s="77">
        <v>200</v>
      </c>
      <c r="F12" s="77">
        <v>0</v>
      </c>
      <c r="G12" s="77">
        <v>0</v>
      </c>
      <c r="H12" s="77">
        <v>0</v>
      </c>
      <c r="I12" s="77"/>
      <c r="J12" s="76"/>
    </row>
    <row r="13" spans="1:10" x14ac:dyDescent="0.25">
      <c r="A13" s="18">
        <f t="shared" si="0"/>
        <v>46214</v>
      </c>
      <c r="B13" s="77">
        <v>0</v>
      </c>
      <c r="C13" s="77">
        <v>230</v>
      </c>
      <c r="D13" s="77">
        <v>0</v>
      </c>
      <c r="E13" s="77">
        <v>212</v>
      </c>
      <c r="F13" s="77">
        <v>0</v>
      </c>
      <c r="G13" s="77">
        <v>0</v>
      </c>
      <c r="H13" s="77">
        <v>0</v>
      </c>
      <c r="I13" s="77"/>
      <c r="J13" s="76" t="s">
        <v>107</v>
      </c>
    </row>
    <row r="14" spans="1:10" x14ac:dyDescent="0.25">
      <c r="A14" s="18">
        <f t="shared" si="0"/>
        <v>46215</v>
      </c>
      <c r="B14" s="77">
        <v>0</v>
      </c>
      <c r="C14" s="77">
        <v>250</v>
      </c>
      <c r="D14" s="77">
        <v>0</v>
      </c>
      <c r="E14" s="77">
        <v>226</v>
      </c>
      <c r="F14" s="77">
        <v>0</v>
      </c>
      <c r="G14" s="77">
        <v>0</v>
      </c>
      <c r="H14" s="77">
        <v>0</v>
      </c>
      <c r="I14" s="77"/>
      <c r="J14" s="76"/>
    </row>
    <row r="15" spans="1:10" x14ac:dyDescent="0.25">
      <c r="A15" s="18">
        <f t="shared" si="0"/>
        <v>46216</v>
      </c>
      <c r="B15" s="77">
        <v>0</v>
      </c>
      <c r="C15" s="77">
        <v>281</v>
      </c>
      <c r="D15" s="77">
        <v>0</v>
      </c>
      <c r="E15" s="77">
        <v>230</v>
      </c>
      <c r="F15" s="77">
        <v>0</v>
      </c>
      <c r="G15" s="77">
        <v>0</v>
      </c>
      <c r="H15" s="77">
        <v>0</v>
      </c>
      <c r="I15" s="77"/>
      <c r="J15" s="76" t="s">
        <v>108</v>
      </c>
    </row>
    <row r="16" spans="1:10" x14ac:dyDescent="0.25">
      <c r="A16" s="18">
        <f t="shared" si="0"/>
        <v>46217</v>
      </c>
      <c r="B16" s="77">
        <v>0</v>
      </c>
      <c r="C16" s="77">
        <v>300</v>
      </c>
      <c r="D16" s="77">
        <v>0</v>
      </c>
      <c r="E16" s="77">
        <v>263</v>
      </c>
      <c r="F16" s="77">
        <v>0</v>
      </c>
      <c r="G16" s="77">
        <v>0</v>
      </c>
      <c r="H16" s="77">
        <v>0</v>
      </c>
      <c r="I16" s="77"/>
      <c r="J16" s="235"/>
    </row>
    <row r="17" spans="1:10" x14ac:dyDescent="0.25">
      <c r="A17" s="18">
        <f t="shared" si="0"/>
        <v>46218</v>
      </c>
      <c r="B17" s="77">
        <v>0</v>
      </c>
      <c r="C17" s="77">
        <v>300</v>
      </c>
      <c r="D17" s="77">
        <v>0</v>
      </c>
      <c r="E17" s="77">
        <v>277</v>
      </c>
      <c r="F17" s="77">
        <v>0</v>
      </c>
      <c r="G17" s="77">
        <v>0</v>
      </c>
      <c r="H17" s="77">
        <v>0</v>
      </c>
      <c r="I17" s="77"/>
      <c r="J17" s="76"/>
    </row>
    <row r="18" spans="1:10" x14ac:dyDescent="0.25">
      <c r="A18" s="18">
        <f t="shared" si="0"/>
        <v>46219</v>
      </c>
      <c r="B18" s="77">
        <v>0</v>
      </c>
      <c r="C18" s="77">
        <v>300</v>
      </c>
      <c r="D18" s="77">
        <v>0</v>
      </c>
      <c r="E18" s="77">
        <v>306</v>
      </c>
      <c r="F18" s="77">
        <v>0</v>
      </c>
      <c r="G18" s="77">
        <v>0</v>
      </c>
      <c r="H18" s="77">
        <v>0</v>
      </c>
      <c r="I18" s="77"/>
      <c r="J18" s="76"/>
    </row>
    <row r="19" spans="1:10" x14ac:dyDescent="0.25">
      <c r="A19" s="18">
        <f t="shared" si="0"/>
        <v>46220</v>
      </c>
      <c r="B19" s="77">
        <v>0</v>
      </c>
      <c r="C19" s="77">
        <v>349</v>
      </c>
      <c r="D19" s="77">
        <v>0</v>
      </c>
      <c r="E19" s="77">
        <v>336</v>
      </c>
      <c r="F19" s="77">
        <v>0</v>
      </c>
      <c r="G19" s="77">
        <v>0</v>
      </c>
      <c r="H19" s="77">
        <v>0</v>
      </c>
      <c r="I19" s="77"/>
      <c r="J19" s="76" t="s">
        <v>109</v>
      </c>
    </row>
    <row r="20" spans="1:10" x14ac:dyDescent="0.25">
      <c r="A20" s="18">
        <f t="shared" si="0"/>
        <v>46221</v>
      </c>
      <c r="B20" s="77">
        <v>0</v>
      </c>
      <c r="C20" s="77">
        <v>431</v>
      </c>
      <c r="D20" s="77">
        <v>0</v>
      </c>
      <c r="E20" s="77">
        <v>329</v>
      </c>
      <c r="F20" s="77">
        <v>0</v>
      </c>
      <c r="G20" s="77">
        <v>0</v>
      </c>
      <c r="H20" s="77">
        <v>0</v>
      </c>
      <c r="I20" s="77"/>
      <c r="J20" s="76" t="s">
        <v>110</v>
      </c>
    </row>
    <row r="21" spans="1:10" x14ac:dyDescent="0.25">
      <c r="A21" s="18">
        <f t="shared" si="0"/>
        <v>46222</v>
      </c>
      <c r="B21" s="77">
        <v>0</v>
      </c>
      <c r="C21" s="77">
        <v>333</v>
      </c>
      <c r="D21" s="77">
        <v>24</v>
      </c>
      <c r="E21" s="77">
        <v>340</v>
      </c>
      <c r="F21" s="77">
        <v>0</v>
      </c>
      <c r="G21" s="77">
        <v>0</v>
      </c>
      <c r="H21" s="77">
        <v>0</v>
      </c>
      <c r="I21" s="77"/>
      <c r="J21" s="76" t="s">
        <v>111</v>
      </c>
    </row>
    <row r="22" spans="1:10" x14ac:dyDescent="0.25">
      <c r="A22" s="18">
        <f t="shared" si="0"/>
        <v>46223</v>
      </c>
      <c r="B22" s="77">
        <v>0</v>
      </c>
      <c r="C22" s="77">
        <v>300</v>
      </c>
      <c r="D22" s="77">
        <v>25</v>
      </c>
      <c r="E22" s="77">
        <v>303</v>
      </c>
      <c r="F22" s="77">
        <v>0.02</v>
      </c>
      <c r="G22" s="77">
        <v>0</v>
      </c>
      <c r="H22" s="77">
        <v>0</v>
      </c>
      <c r="I22" s="77"/>
      <c r="J22" s="76"/>
    </row>
    <row r="23" spans="1:10" x14ac:dyDescent="0.25">
      <c r="A23" s="18">
        <f t="shared" si="0"/>
        <v>46224</v>
      </c>
      <c r="B23" s="77">
        <v>0</v>
      </c>
      <c r="C23" s="77">
        <v>300</v>
      </c>
      <c r="D23" s="77">
        <v>2</v>
      </c>
      <c r="E23" s="77">
        <v>294</v>
      </c>
      <c r="F23" s="77">
        <v>0</v>
      </c>
      <c r="G23" s="77">
        <v>0</v>
      </c>
      <c r="H23" s="77">
        <v>0</v>
      </c>
      <c r="I23" s="77"/>
      <c r="J23" s="76"/>
    </row>
    <row r="24" spans="1:10" x14ac:dyDescent="0.25">
      <c r="A24" s="18">
        <f t="shared" si="0"/>
        <v>46225</v>
      </c>
      <c r="B24" s="77">
        <v>0</v>
      </c>
      <c r="C24" s="77">
        <v>300</v>
      </c>
      <c r="D24" s="77">
        <v>4</v>
      </c>
      <c r="E24" s="77">
        <v>293</v>
      </c>
      <c r="F24" s="77">
        <v>0</v>
      </c>
      <c r="G24" s="77">
        <v>0</v>
      </c>
      <c r="H24" s="77">
        <v>0</v>
      </c>
      <c r="I24" s="77"/>
      <c r="J24" s="76"/>
    </row>
    <row r="25" spans="1:10" x14ac:dyDescent="0.25">
      <c r="A25" s="18">
        <f t="shared" si="0"/>
        <v>46226</v>
      </c>
      <c r="B25" s="77">
        <v>0</v>
      </c>
      <c r="C25" s="77">
        <v>300</v>
      </c>
      <c r="D25" s="77">
        <v>0</v>
      </c>
      <c r="E25" s="77">
        <v>297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18">
        <f t="shared" si="0"/>
        <v>46227</v>
      </c>
      <c r="B26" s="77">
        <v>0</v>
      </c>
      <c r="C26" s="77">
        <v>300</v>
      </c>
      <c r="D26" s="77">
        <v>0</v>
      </c>
      <c r="E26" s="77">
        <v>299</v>
      </c>
      <c r="F26" s="77">
        <v>0</v>
      </c>
      <c r="G26" s="77">
        <v>0</v>
      </c>
      <c r="H26" s="77">
        <v>0</v>
      </c>
      <c r="I26" s="77"/>
      <c r="J26" s="76"/>
    </row>
    <row r="27" spans="1:10" x14ac:dyDescent="0.25">
      <c r="A27" s="18">
        <f t="shared" si="0"/>
        <v>46228</v>
      </c>
      <c r="B27" s="77">
        <v>0</v>
      </c>
      <c r="C27" s="77">
        <v>280</v>
      </c>
      <c r="D27" s="77">
        <v>0</v>
      </c>
      <c r="E27" s="77">
        <v>289</v>
      </c>
      <c r="F27" s="77">
        <v>0</v>
      </c>
      <c r="G27" s="77">
        <v>0</v>
      </c>
      <c r="H27" s="77">
        <v>0</v>
      </c>
      <c r="I27" s="77"/>
      <c r="J27" s="76" t="s">
        <v>112</v>
      </c>
    </row>
    <row r="28" spans="1:10" x14ac:dyDescent="0.25">
      <c r="A28" s="18">
        <f t="shared" si="0"/>
        <v>46229</v>
      </c>
      <c r="B28" s="77">
        <v>0</v>
      </c>
      <c r="C28" s="77">
        <v>250</v>
      </c>
      <c r="D28" s="77">
        <v>0</v>
      </c>
      <c r="E28" s="77">
        <v>265</v>
      </c>
      <c r="F28" s="77">
        <v>0</v>
      </c>
      <c r="G28" s="77">
        <v>0</v>
      </c>
      <c r="H28" s="77">
        <v>0</v>
      </c>
      <c r="I28" s="77"/>
      <c r="J28" s="76"/>
    </row>
    <row r="29" spans="1:10" x14ac:dyDescent="0.25">
      <c r="A29" s="18">
        <f t="shared" si="0"/>
        <v>46230</v>
      </c>
      <c r="B29" s="77">
        <v>0</v>
      </c>
      <c r="C29" s="77">
        <v>281</v>
      </c>
      <c r="D29" s="77">
        <v>0</v>
      </c>
      <c r="E29" s="77">
        <v>300</v>
      </c>
      <c r="F29" s="77">
        <v>0</v>
      </c>
      <c r="G29" s="77">
        <v>0</v>
      </c>
      <c r="H29" s="77">
        <v>0</v>
      </c>
      <c r="I29" s="77"/>
      <c r="J29" s="76" t="s">
        <v>113</v>
      </c>
    </row>
    <row r="30" spans="1:10" x14ac:dyDescent="0.25">
      <c r="A30" s="18">
        <f t="shared" si="0"/>
        <v>46231</v>
      </c>
      <c r="B30" s="77">
        <v>0</v>
      </c>
      <c r="C30" s="77">
        <v>300</v>
      </c>
      <c r="D30" s="77">
        <v>0</v>
      </c>
      <c r="E30" s="77">
        <v>317</v>
      </c>
      <c r="F30" s="77">
        <v>0</v>
      </c>
      <c r="G30" s="77">
        <v>0</v>
      </c>
      <c r="H30" s="77">
        <v>0</v>
      </c>
      <c r="I30" s="77"/>
      <c r="J30" s="76"/>
    </row>
    <row r="31" spans="1:10" x14ac:dyDescent="0.25">
      <c r="A31" s="18">
        <f t="shared" si="0"/>
        <v>46232</v>
      </c>
      <c r="B31" s="77">
        <v>0</v>
      </c>
      <c r="C31" s="77">
        <v>300</v>
      </c>
      <c r="D31" s="77">
        <v>0</v>
      </c>
      <c r="E31" s="77">
        <v>291</v>
      </c>
      <c r="F31" s="77">
        <v>0</v>
      </c>
      <c r="G31" s="77">
        <v>0</v>
      </c>
      <c r="H31" s="77">
        <v>0</v>
      </c>
      <c r="I31" s="77"/>
      <c r="J31" s="76"/>
    </row>
    <row r="32" spans="1:10" x14ac:dyDescent="0.25">
      <c r="A32" s="18">
        <f t="shared" si="0"/>
        <v>46233</v>
      </c>
      <c r="B32" s="77">
        <v>0</v>
      </c>
      <c r="C32" s="77">
        <v>300</v>
      </c>
      <c r="D32" s="77">
        <v>0</v>
      </c>
      <c r="E32" s="77">
        <v>269</v>
      </c>
      <c r="F32" s="77">
        <v>0</v>
      </c>
      <c r="G32" s="77">
        <v>0</v>
      </c>
      <c r="H32" s="77">
        <v>0</v>
      </c>
      <c r="I32" s="77"/>
      <c r="J32" s="76"/>
    </row>
    <row r="33" spans="1:15" ht="15.75" thickBot="1" x14ac:dyDescent="0.3">
      <c r="A33" s="18">
        <f t="shared" si="0"/>
        <v>46234</v>
      </c>
      <c r="B33" s="77">
        <v>0</v>
      </c>
      <c r="C33" s="77">
        <v>300</v>
      </c>
      <c r="D33" s="77">
        <v>0</v>
      </c>
      <c r="E33" s="77">
        <v>237</v>
      </c>
      <c r="F33" s="77">
        <v>0</v>
      </c>
      <c r="G33" s="77">
        <v>0</v>
      </c>
      <c r="H33" s="77">
        <v>0</v>
      </c>
      <c r="I33" s="77"/>
      <c r="J33" s="76"/>
    </row>
    <row r="34" spans="1:15" s="6" customFormat="1" ht="15.75" thickTop="1" x14ac:dyDescent="0.25">
      <c r="A34" s="10" t="s">
        <v>8</v>
      </c>
      <c r="B34" s="11">
        <f>SUM(B3:B33)</f>
        <v>0</v>
      </c>
      <c r="C34" s="11">
        <f t="shared" ref="C34:H34" si="1">SUM(C3:C33)</f>
        <v>8389</v>
      </c>
      <c r="D34" s="11">
        <f t="shared" si="1"/>
        <v>55</v>
      </c>
      <c r="E34" s="11">
        <f t="shared" si="1"/>
        <v>7890</v>
      </c>
      <c r="F34" s="12">
        <f t="shared" si="1"/>
        <v>0.02</v>
      </c>
      <c r="G34" s="12">
        <f t="shared" si="1"/>
        <v>0</v>
      </c>
      <c r="H34" s="11">
        <f t="shared" si="1"/>
        <v>0</v>
      </c>
      <c r="I34" s="12"/>
    </row>
    <row r="35" spans="1:15" s="6" customFormat="1" x14ac:dyDescent="0.25">
      <c r="A35" s="13" t="s">
        <v>9</v>
      </c>
      <c r="B35" s="14">
        <f>SUM(B34+'Jun 2026'!B34)</f>
        <v>17333</v>
      </c>
      <c r="C35" s="14">
        <f>SUM(C34+'Jun 2026'!C34)</f>
        <v>28189</v>
      </c>
      <c r="D35" s="14">
        <f>SUM(D34+'Jun 2026'!D34)</f>
        <v>8715</v>
      </c>
      <c r="E35" s="14">
        <f>SUM(E34+'Jun 2026'!E34)</f>
        <v>43037</v>
      </c>
      <c r="F35" s="15">
        <f>SUM(F34+'Jun 2026'!F34)</f>
        <v>11.120000000000003</v>
      </c>
      <c r="G35" s="15">
        <f>SUM(G34+'Jun 2026'!G34)</f>
        <v>2.5</v>
      </c>
      <c r="H35" s="14">
        <f>SUM(H34+'Jun 2026'!H34)</f>
        <v>33365</v>
      </c>
      <c r="I35" s="15"/>
    </row>
    <row r="37" spans="1:15" x14ac:dyDescent="0.25">
      <c r="A37" t="s">
        <v>10</v>
      </c>
      <c r="B37" s="17">
        <f>SUM(B3:B33)*1.9835</f>
        <v>0</v>
      </c>
      <c r="C37" s="17">
        <f>SUM(C3:C33)*1.9835</f>
        <v>16639.5815</v>
      </c>
      <c r="D37" s="17">
        <f>SUM(D3:D33)*1.9835</f>
        <v>109.0925</v>
      </c>
      <c r="E37" s="17">
        <f>SUM(E3:E33)*1.9835</f>
        <v>15649.815000000001</v>
      </c>
      <c r="F37" s="17"/>
      <c r="G37" s="17"/>
      <c r="H37" s="17"/>
    </row>
    <row r="38" spans="1:15" x14ac:dyDescent="0.25">
      <c r="B38" s="17"/>
      <c r="C38" s="17"/>
      <c r="D38" s="17"/>
      <c r="E38" s="17"/>
      <c r="F38" s="17"/>
      <c r="G38" s="17"/>
      <c r="H38" s="17"/>
    </row>
    <row r="39" spans="1:15" x14ac:dyDescent="0.25">
      <c r="A39" t="s">
        <v>24</v>
      </c>
      <c r="B39" s="17">
        <f>SUM(B37+'Jun 2026'!B38)</f>
        <v>35425.31</v>
      </c>
      <c r="C39" s="17">
        <f>SUM(C37+'Jun 2026'!C38)</f>
        <v>67228.748999999996</v>
      </c>
      <c r="D39" s="17">
        <f>SUM(D37+'Jun 2026'!D38)</f>
        <v>17294.136499999997</v>
      </c>
      <c r="E39" s="17">
        <f>SUM(E37+'Jun 2026'!E38)</f>
        <v>100607.08699999998</v>
      </c>
      <c r="F39" s="17"/>
      <c r="G39" s="17"/>
      <c r="H39" s="17"/>
    </row>
    <row r="41" spans="1:15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1"/>
      <c r="O41" s="20"/>
    </row>
    <row r="42" spans="1:15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1"/>
      <c r="O42" s="20"/>
    </row>
    <row r="43" spans="1:15" ht="13.9" customHeight="1" thickBot="1" x14ac:dyDescent="0.3">
      <c r="A43" s="242" t="s">
        <v>23</v>
      </c>
      <c r="B43" s="242"/>
      <c r="C43" s="242"/>
      <c r="D43" s="242"/>
      <c r="E43" s="242"/>
      <c r="F43" s="242"/>
      <c r="G43" s="242"/>
      <c r="H43" s="242"/>
      <c r="I43" s="242"/>
      <c r="J43" s="243"/>
      <c r="K43" s="22"/>
      <c r="L43" s="22"/>
      <c r="M43" s="22"/>
      <c r="N43" s="23"/>
      <c r="O43" s="22"/>
    </row>
    <row r="44" spans="1:15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3"/>
    </row>
    <row r="50" spans="1:15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3"/>
      <c r="O50" s="22"/>
    </row>
    <row r="51" spans="1:15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3"/>
      <c r="O51" s="22"/>
    </row>
    <row r="52" spans="1:15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</row>
    <row r="53" spans="1:15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</row>
    <row r="54" spans="1:15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5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5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84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7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3" sqref="J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32.140625" bestFit="1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8">
        <v>46174</v>
      </c>
      <c r="B3" s="77">
        <v>101</v>
      </c>
      <c r="C3" s="77">
        <v>0</v>
      </c>
      <c r="D3" s="77">
        <v>21</v>
      </c>
      <c r="E3" s="77">
        <v>172</v>
      </c>
      <c r="F3" s="77">
        <v>0</v>
      </c>
      <c r="G3" s="77">
        <v>0</v>
      </c>
      <c r="H3" s="77">
        <v>0</v>
      </c>
      <c r="I3" s="77"/>
      <c r="J3" s="76"/>
    </row>
    <row r="4" spans="1:10" x14ac:dyDescent="0.25">
      <c r="A4" s="18">
        <f>A3+1</f>
        <v>46175</v>
      </c>
      <c r="B4" s="77">
        <v>6</v>
      </c>
      <c r="C4" s="77">
        <v>0</v>
      </c>
      <c r="D4" s="77">
        <v>23</v>
      </c>
      <c r="E4" s="77">
        <v>145</v>
      </c>
      <c r="F4" s="77">
        <v>0</v>
      </c>
      <c r="G4" s="77">
        <v>0</v>
      </c>
      <c r="H4" s="77">
        <v>0</v>
      </c>
      <c r="I4" s="77"/>
      <c r="J4" s="76"/>
    </row>
    <row r="5" spans="1:10" x14ac:dyDescent="0.25">
      <c r="A5" s="18">
        <f t="shared" ref="A5:A32" si="0">A4+1</f>
        <v>46176</v>
      </c>
      <c r="B5" s="77">
        <v>0</v>
      </c>
      <c r="C5" s="77">
        <v>0</v>
      </c>
      <c r="D5" s="77">
        <v>23</v>
      </c>
      <c r="E5" s="77">
        <v>183</v>
      </c>
      <c r="F5" s="77">
        <v>0</v>
      </c>
      <c r="G5" s="77">
        <v>0</v>
      </c>
      <c r="H5" s="77">
        <v>0</v>
      </c>
      <c r="I5" s="77"/>
      <c r="J5" s="76"/>
    </row>
    <row r="6" spans="1:10" x14ac:dyDescent="0.25">
      <c r="A6" s="18">
        <f t="shared" si="0"/>
        <v>46177</v>
      </c>
      <c r="B6" s="77">
        <v>0</v>
      </c>
      <c r="C6" s="77">
        <v>0</v>
      </c>
      <c r="D6" s="77">
        <v>0</v>
      </c>
      <c r="E6" s="77">
        <v>188</v>
      </c>
      <c r="F6" s="77">
        <v>0</v>
      </c>
      <c r="G6" s="77">
        <v>0</v>
      </c>
      <c r="H6" s="77">
        <v>0</v>
      </c>
      <c r="I6" s="77"/>
      <c r="J6" s="76"/>
    </row>
    <row r="7" spans="1:10" x14ac:dyDescent="0.25">
      <c r="A7" s="18">
        <f t="shared" si="0"/>
        <v>46178</v>
      </c>
      <c r="B7" s="77">
        <v>0</v>
      </c>
      <c r="C7" s="77">
        <v>2</v>
      </c>
      <c r="D7" s="77">
        <v>0</v>
      </c>
      <c r="E7" s="77">
        <v>191</v>
      </c>
      <c r="F7" s="77">
        <v>0</v>
      </c>
      <c r="G7" s="77">
        <v>0</v>
      </c>
      <c r="H7" s="77">
        <v>0</v>
      </c>
      <c r="I7" s="77"/>
      <c r="J7" s="76" t="s">
        <v>91</v>
      </c>
    </row>
    <row r="8" spans="1:10" x14ac:dyDescent="0.25">
      <c r="A8" s="18">
        <f t="shared" si="0"/>
        <v>46179</v>
      </c>
      <c r="B8" s="77">
        <v>0</v>
      </c>
      <c r="C8" s="77">
        <v>50</v>
      </c>
      <c r="D8" s="77">
        <v>0</v>
      </c>
      <c r="E8" s="77">
        <v>198</v>
      </c>
      <c r="F8" s="77">
        <v>0</v>
      </c>
      <c r="G8" s="77">
        <v>0</v>
      </c>
      <c r="H8" s="77">
        <v>0</v>
      </c>
      <c r="I8" s="77"/>
      <c r="J8" s="76"/>
    </row>
    <row r="9" spans="1:10" x14ac:dyDescent="0.25">
      <c r="A9" s="18">
        <f t="shared" si="0"/>
        <v>46180</v>
      </c>
      <c r="B9" s="77">
        <v>0</v>
      </c>
      <c r="C9" s="77">
        <v>78</v>
      </c>
      <c r="D9" s="77">
        <v>0</v>
      </c>
      <c r="E9" s="77">
        <v>181</v>
      </c>
      <c r="F9" s="77">
        <v>0</v>
      </c>
      <c r="G9" s="77">
        <v>0</v>
      </c>
      <c r="H9" s="77">
        <v>0</v>
      </c>
      <c r="I9" s="77"/>
      <c r="J9" s="76" t="s">
        <v>92</v>
      </c>
    </row>
    <row r="10" spans="1:10" x14ac:dyDescent="0.25">
      <c r="A10" s="18">
        <f t="shared" si="0"/>
        <v>46181</v>
      </c>
      <c r="B10" s="77">
        <v>0</v>
      </c>
      <c r="C10" s="77">
        <v>117</v>
      </c>
      <c r="D10" s="77">
        <v>0</v>
      </c>
      <c r="E10" s="77">
        <v>193</v>
      </c>
      <c r="F10" s="77">
        <v>0</v>
      </c>
      <c r="G10" s="77">
        <v>0</v>
      </c>
      <c r="H10" s="77">
        <v>0</v>
      </c>
      <c r="I10" s="77"/>
      <c r="J10" s="76" t="s">
        <v>93</v>
      </c>
    </row>
    <row r="11" spans="1:10" x14ac:dyDescent="0.25">
      <c r="A11" s="18">
        <f t="shared" si="0"/>
        <v>46182</v>
      </c>
      <c r="B11" s="77">
        <v>0</v>
      </c>
      <c r="C11" s="77">
        <v>188</v>
      </c>
      <c r="D11" s="77">
        <v>0</v>
      </c>
      <c r="E11" s="77">
        <v>237</v>
      </c>
      <c r="F11" s="77">
        <v>0</v>
      </c>
      <c r="G11" s="77">
        <v>0</v>
      </c>
      <c r="H11" s="77">
        <v>0</v>
      </c>
      <c r="I11" s="77"/>
      <c r="J11" s="76" t="s">
        <v>94</v>
      </c>
    </row>
    <row r="12" spans="1:10" x14ac:dyDescent="0.25">
      <c r="A12" s="18">
        <f t="shared" si="0"/>
        <v>46183</v>
      </c>
      <c r="B12" s="77">
        <v>0</v>
      </c>
      <c r="C12" s="77">
        <v>244</v>
      </c>
      <c r="D12" s="77">
        <v>0</v>
      </c>
      <c r="E12" s="77">
        <v>270</v>
      </c>
      <c r="F12" s="77">
        <v>0</v>
      </c>
      <c r="G12" s="77">
        <v>0</v>
      </c>
      <c r="H12" s="77">
        <v>0</v>
      </c>
      <c r="I12" s="77"/>
      <c r="J12" s="76" t="s">
        <v>95</v>
      </c>
    </row>
    <row r="13" spans="1:10" x14ac:dyDescent="0.25">
      <c r="A13" s="18">
        <f t="shared" si="0"/>
        <v>46184</v>
      </c>
      <c r="B13" s="77">
        <v>0</v>
      </c>
      <c r="C13" s="77">
        <v>251</v>
      </c>
      <c r="D13" s="77">
        <v>0</v>
      </c>
      <c r="E13" s="77">
        <v>263</v>
      </c>
      <c r="F13" s="77">
        <v>0</v>
      </c>
      <c r="G13" s="77">
        <v>0</v>
      </c>
      <c r="H13" s="77">
        <v>0</v>
      </c>
      <c r="I13" s="77"/>
      <c r="J13" s="76" t="s">
        <v>96</v>
      </c>
    </row>
    <row r="14" spans="1:10" x14ac:dyDescent="0.25">
      <c r="A14" s="18">
        <f t="shared" si="0"/>
        <v>46185</v>
      </c>
      <c r="B14" s="77">
        <v>0</v>
      </c>
      <c r="C14" s="77">
        <v>328</v>
      </c>
      <c r="D14" s="77">
        <v>0</v>
      </c>
      <c r="E14" s="77">
        <v>317</v>
      </c>
      <c r="F14" s="77">
        <v>0</v>
      </c>
      <c r="G14" s="77">
        <v>0</v>
      </c>
      <c r="H14" s="77">
        <v>0</v>
      </c>
      <c r="I14" s="77"/>
      <c r="J14" s="76" t="s">
        <v>97</v>
      </c>
    </row>
    <row r="15" spans="1:10" x14ac:dyDescent="0.25">
      <c r="A15" s="18">
        <f t="shared" si="0"/>
        <v>46186</v>
      </c>
      <c r="B15" s="77">
        <v>0</v>
      </c>
      <c r="C15" s="77">
        <v>350</v>
      </c>
      <c r="D15" s="77">
        <v>0</v>
      </c>
      <c r="E15" s="77">
        <v>313</v>
      </c>
      <c r="F15" s="77">
        <v>0</v>
      </c>
      <c r="G15" s="77">
        <v>0</v>
      </c>
      <c r="H15" s="77">
        <v>0</v>
      </c>
      <c r="I15" s="77"/>
      <c r="J15" s="76"/>
    </row>
    <row r="16" spans="1:10" x14ac:dyDescent="0.25">
      <c r="A16" s="18">
        <f t="shared" si="0"/>
        <v>46187</v>
      </c>
      <c r="B16" s="77">
        <v>0</v>
      </c>
      <c r="C16" s="77">
        <v>321</v>
      </c>
      <c r="D16" s="77">
        <v>0</v>
      </c>
      <c r="E16" s="77">
        <v>286</v>
      </c>
      <c r="F16" s="77">
        <v>0</v>
      </c>
      <c r="G16" s="77">
        <v>0</v>
      </c>
      <c r="H16" s="77">
        <v>0</v>
      </c>
      <c r="I16" s="77"/>
      <c r="J16" s="235" t="s">
        <v>98</v>
      </c>
    </row>
    <row r="17" spans="1:10" x14ac:dyDescent="0.25">
      <c r="A17" s="18">
        <f t="shared" si="0"/>
        <v>46188</v>
      </c>
      <c r="B17" s="77">
        <v>0</v>
      </c>
      <c r="C17" s="77">
        <v>300</v>
      </c>
      <c r="D17" s="77">
        <v>0</v>
      </c>
      <c r="E17" s="77">
        <v>320</v>
      </c>
      <c r="F17" s="77">
        <v>0</v>
      </c>
      <c r="G17" s="77">
        <v>0</v>
      </c>
      <c r="H17" s="77">
        <v>0</v>
      </c>
      <c r="I17" s="77"/>
      <c r="J17" s="76"/>
    </row>
    <row r="18" spans="1:10" x14ac:dyDescent="0.25">
      <c r="A18" s="18">
        <f t="shared" si="0"/>
        <v>46189</v>
      </c>
      <c r="B18" s="236">
        <v>0</v>
      </c>
      <c r="C18" s="77">
        <v>300</v>
      </c>
      <c r="D18" s="77">
        <v>0</v>
      </c>
      <c r="E18" s="77">
        <v>348</v>
      </c>
      <c r="F18" s="77">
        <v>0</v>
      </c>
      <c r="G18" s="77">
        <v>0</v>
      </c>
      <c r="H18" s="77">
        <v>0</v>
      </c>
      <c r="I18" s="77"/>
      <c r="J18" s="76"/>
    </row>
    <row r="19" spans="1:10" x14ac:dyDescent="0.25">
      <c r="A19" s="18">
        <f t="shared" si="0"/>
        <v>46190</v>
      </c>
      <c r="B19" s="77">
        <v>0</v>
      </c>
      <c r="C19" s="77">
        <v>367</v>
      </c>
      <c r="D19" s="77">
        <v>0</v>
      </c>
      <c r="E19" s="77">
        <v>313</v>
      </c>
      <c r="F19" s="77">
        <v>0</v>
      </c>
      <c r="G19" s="77">
        <v>0</v>
      </c>
      <c r="H19" s="77">
        <v>0</v>
      </c>
      <c r="I19" s="77"/>
      <c r="J19" s="76" t="s">
        <v>99</v>
      </c>
    </row>
    <row r="20" spans="1:10" x14ac:dyDescent="0.25">
      <c r="A20" s="18">
        <f t="shared" si="0"/>
        <v>46191</v>
      </c>
      <c r="B20" s="77">
        <v>0</v>
      </c>
      <c r="C20" s="77">
        <v>335</v>
      </c>
      <c r="D20" s="77">
        <v>0</v>
      </c>
      <c r="E20" s="77">
        <v>296</v>
      </c>
      <c r="F20" s="77">
        <v>0</v>
      </c>
      <c r="G20" s="77">
        <v>0</v>
      </c>
      <c r="H20" s="77">
        <v>0</v>
      </c>
      <c r="I20" s="77"/>
      <c r="J20" s="76" t="s">
        <v>100</v>
      </c>
    </row>
    <row r="21" spans="1:10" x14ac:dyDescent="0.25">
      <c r="A21" s="18">
        <f t="shared" si="0"/>
        <v>46192</v>
      </c>
      <c r="B21" s="77">
        <v>0</v>
      </c>
      <c r="C21" s="77">
        <v>267</v>
      </c>
      <c r="D21" s="77">
        <v>0</v>
      </c>
      <c r="E21" s="77">
        <v>275</v>
      </c>
      <c r="F21" s="77">
        <v>0.01</v>
      </c>
      <c r="G21" s="77">
        <v>0</v>
      </c>
      <c r="H21" s="77">
        <v>0</v>
      </c>
      <c r="I21" s="77"/>
      <c r="J21" s="76" t="s">
        <v>101</v>
      </c>
    </row>
    <row r="22" spans="1:10" x14ac:dyDescent="0.25">
      <c r="A22" s="18">
        <f t="shared" si="0"/>
        <v>46193</v>
      </c>
      <c r="B22" s="77">
        <v>0</v>
      </c>
      <c r="C22" s="77">
        <v>281</v>
      </c>
      <c r="D22" s="77">
        <v>0</v>
      </c>
      <c r="E22" s="77">
        <v>261</v>
      </c>
      <c r="F22" s="77">
        <v>0</v>
      </c>
      <c r="G22" s="77">
        <v>0</v>
      </c>
      <c r="H22" s="77">
        <v>0</v>
      </c>
      <c r="I22" s="77"/>
      <c r="J22" s="76" t="s">
        <v>102</v>
      </c>
    </row>
    <row r="23" spans="1:10" x14ac:dyDescent="0.25">
      <c r="A23" s="18">
        <f t="shared" si="0"/>
        <v>46194</v>
      </c>
      <c r="B23" s="77">
        <v>0</v>
      </c>
      <c r="C23" s="77">
        <v>250</v>
      </c>
      <c r="D23" s="77">
        <v>0</v>
      </c>
      <c r="E23" s="77">
        <v>235</v>
      </c>
      <c r="F23" s="77">
        <v>0</v>
      </c>
      <c r="G23" s="77">
        <v>0</v>
      </c>
      <c r="H23" s="77">
        <v>0</v>
      </c>
      <c r="I23" s="77"/>
      <c r="J23" s="76"/>
    </row>
    <row r="24" spans="1:10" x14ac:dyDescent="0.25">
      <c r="A24" s="18">
        <f t="shared" si="0"/>
        <v>46195</v>
      </c>
      <c r="B24" s="77">
        <v>0</v>
      </c>
      <c r="C24" s="77">
        <v>255</v>
      </c>
      <c r="D24" s="77">
        <v>0</v>
      </c>
      <c r="E24" s="77">
        <v>231</v>
      </c>
      <c r="F24" s="77">
        <v>0</v>
      </c>
      <c r="G24" s="77">
        <v>0</v>
      </c>
      <c r="H24" s="77">
        <v>0</v>
      </c>
      <c r="I24" s="77"/>
      <c r="J24" s="76" t="s">
        <v>103</v>
      </c>
    </row>
    <row r="25" spans="1:10" x14ac:dyDescent="0.25">
      <c r="A25" s="18">
        <f t="shared" si="0"/>
        <v>46196</v>
      </c>
      <c r="B25" s="77">
        <v>0</v>
      </c>
      <c r="C25" s="77">
        <v>300</v>
      </c>
      <c r="D25" s="77">
        <v>0</v>
      </c>
      <c r="E25" s="77">
        <v>236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18">
        <f t="shared" si="0"/>
        <v>46197</v>
      </c>
      <c r="B26" s="77">
        <v>0</v>
      </c>
      <c r="C26" s="77">
        <v>300</v>
      </c>
      <c r="D26" s="77">
        <v>0</v>
      </c>
      <c r="E26" s="77">
        <v>212</v>
      </c>
      <c r="F26" s="77">
        <v>0</v>
      </c>
      <c r="G26" s="77">
        <v>0</v>
      </c>
      <c r="H26" s="77">
        <v>0</v>
      </c>
      <c r="I26" s="77"/>
      <c r="J26" s="76"/>
    </row>
    <row r="27" spans="1:10" x14ac:dyDescent="0.25">
      <c r="A27" s="18">
        <f t="shared" si="0"/>
        <v>46198</v>
      </c>
      <c r="B27" s="77">
        <v>0</v>
      </c>
      <c r="C27" s="77">
        <v>269</v>
      </c>
      <c r="D27" s="77">
        <v>0</v>
      </c>
      <c r="E27" s="77">
        <v>195</v>
      </c>
      <c r="F27" s="77">
        <v>0</v>
      </c>
      <c r="G27" s="77">
        <v>0</v>
      </c>
      <c r="H27" s="77">
        <v>0</v>
      </c>
      <c r="I27" s="77"/>
      <c r="J27" s="76"/>
    </row>
    <row r="28" spans="1:10" x14ac:dyDescent="0.25">
      <c r="A28" s="18">
        <f t="shared" si="0"/>
        <v>46199</v>
      </c>
      <c r="B28" s="77">
        <v>0</v>
      </c>
      <c r="C28" s="77">
        <v>234</v>
      </c>
      <c r="D28" s="77">
        <v>0</v>
      </c>
      <c r="E28" s="77">
        <v>214</v>
      </c>
      <c r="F28" s="77">
        <v>0.12</v>
      </c>
      <c r="G28" s="77">
        <v>0</v>
      </c>
      <c r="H28" s="77">
        <v>0</v>
      </c>
      <c r="I28" s="77"/>
      <c r="J28" s="76" t="s">
        <v>104</v>
      </c>
    </row>
    <row r="29" spans="1:10" x14ac:dyDescent="0.25">
      <c r="A29" s="18">
        <f t="shared" si="0"/>
        <v>46200</v>
      </c>
      <c r="B29" s="77">
        <v>0</v>
      </c>
      <c r="C29" s="77">
        <v>200</v>
      </c>
      <c r="D29" s="77">
        <v>0</v>
      </c>
      <c r="E29" s="77">
        <v>213</v>
      </c>
      <c r="F29" s="77">
        <v>0</v>
      </c>
      <c r="G29" s="77">
        <v>0</v>
      </c>
      <c r="H29" s="77">
        <v>0</v>
      </c>
      <c r="I29" s="77"/>
      <c r="J29" s="76"/>
    </row>
    <row r="30" spans="1:10" x14ac:dyDescent="0.25">
      <c r="A30" s="18">
        <f t="shared" si="0"/>
        <v>46201</v>
      </c>
      <c r="B30" s="77">
        <v>0</v>
      </c>
      <c r="C30" s="77">
        <v>200</v>
      </c>
      <c r="D30" s="77">
        <v>0</v>
      </c>
      <c r="E30" s="77">
        <v>221</v>
      </c>
      <c r="F30" s="77">
        <v>0</v>
      </c>
      <c r="G30" s="77">
        <v>0</v>
      </c>
      <c r="H30" s="77">
        <v>0</v>
      </c>
      <c r="I30" s="77"/>
      <c r="J30" s="76"/>
    </row>
    <row r="31" spans="1:10" x14ac:dyDescent="0.25">
      <c r="A31" s="18">
        <f t="shared" si="0"/>
        <v>46202</v>
      </c>
      <c r="B31" s="77">
        <v>0</v>
      </c>
      <c r="C31" s="77">
        <v>200</v>
      </c>
      <c r="D31" s="77">
        <v>0</v>
      </c>
      <c r="E31" s="77">
        <v>216</v>
      </c>
      <c r="F31" s="77">
        <v>0</v>
      </c>
      <c r="G31" s="77">
        <v>0</v>
      </c>
      <c r="H31" s="77">
        <v>0</v>
      </c>
      <c r="I31" s="77"/>
      <c r="J31" s="76"/>
    </row>
    <row r="32" spans="1:10" ht="15.75" thickBot="1" x14ac:dyDescent="0.3">
      <c r="A32" s="18">
        <f t="shared" si="0"/>
        <v>46203</v>
      </c>
      <c r="B32" s="77">
        <v>0</v>
      </c>
      <c r="C32" s="77">
        <v>200</v>
      </c>
      <c r="D32" s="77">
        <v>0</v>
      </c>
      <c r="E32" s="77">
        <v>179</v>
      </c>
      <c r="F32" s="77">
        <v>0</v>
      </c>
      <c r="G32" s="77">
        <v>0</v>
      </c>
      <c r="H32" s="77">
        <v>0</v>
      </c>
      <c r="I32" s="77"/>
      <c r="J32" s="76"/>
    </row>
    <row r="33" spans="1:15" s="6" customFormat="1" ht="15.75" thickTop="1" x14ac:dyDescent="0.25">
      <c r="A33" s="10" t="s">
        <v>8</v>
      </c>
      <c r="B33" s="11">
        <f>SUM(B3:B32)</f>
        <v>107</v>
      </c>
      <c r="C33" s="11">
        <f t="shared" ref="C33:H33" si="1">SUM(C3:C32)</f>
        <v>6187</v>
      </c>
      <c r="D33" s="11">
        <f t="shared" si="1"/>
        <v>67</v>
      </c>
      <c r="E33" s="11">
        <f t="shared" si="1"/>
        <v>7102</v>
      </c>
      <c r="F33" s="12">
        <f t="shared" si="1"/>
        <v>0.13</v>
      </c>
      <c r="G33" s="12">
        <f t="shared" si="1"/>
        <v>0</v>
      </c>
      <c r="H33" s="11">
        <f t="shared" si="1"/>
        <v>0</v>
      </c>
      <c r="I33" s="12"/>
    </row>
    <row r="34" spans="1:15" s="6" customFormat="1" x14ac:dyDescent="0.25">
      <c r="A34" s="13" t="s">
        <v>9</v>
      </c>
      <c r="B34" s="14">
        <f>SUM(B33+'May 2026'!B35)</f>
        <v>17333</v>
      </c>
      <c r="C34" s="14">
        <f>SUM(C33+'May 2026'!C35)</f>
        <v>19800</v>
      </c>
      <c r="D34" s="14">
        <f>SUM(D33+'May 2026'!D35)</f>
        <v>8660</v>
      </c>
      <c r="E34" s="14">
        <f>SUM(E33+'May 2026'!E35)</f>
        <v>35147</v>
      </c>
      <c r="F34" s="15">
        <f>SUM(F33+'May 2026'!F35)</f>
        <v>11.100000000000003</v>
      </c>
      <c r="G34" s="15">
        <f>SUM(G33+'May 2026'!G35)</f>
        <v>2.5</v>
      </c>
      <c r="H34" s="14">
        <f>SUM(H33+'May 2026'!H35)</f>
        <v>33365</v>
      </c>
      <c r="I34" s="15"/>
    </row>
    <row r="36" spans="1:15" x14ac:dyDescent="0.25">
      <c r="A36" t="s">
        <v>10</v>
      </c>
      <c r="B36" s="17">
        <f>SUM(B3:B32)*1.9835</f>
        <v>212.2345</v>
      </c>
      <c r="C36" s="17">
        <f>SUM(C3:C32)*1.9835</f>
        <v>12271.914500000001</v>
      </c>
      <c r="D36" s="17">
        <f>SUM(D3:D32)*1.9835</f>
        <v>132.89449999999999</v>
      </c>
      <c r="E36" s="17">
        <f>SUM(E3:E32)*1.9835</f>
        <v>14086.817000000001</v>
      </c>
      <c r="F36" s="17"/>
      <c r="G36" s="17"/>
      <c r="H36" s="17"/>
      <c r="J36" s="16"/>
    </row>
    <row r="38" spans="1:15" x14ac:dyDescent="0.25">
      <c r="A38" t="s">
        <v>24</v>
      </c>
      <c r="B38" s="17">
        <f>SUM(B36+'May 2026'!B39)</f>
        <v>35425.31</v>
      </c>
      <c r="C38" s="17">
        <f>SUM(C36+'May 2026'!C39)</f>
        <v>50589.167499999996</v>
      </c>
      <c r="D38" s="17">
        <f>SUM(D36+'May 2026'!D39)</f>
        <v>17185.043999999998</v>
      </c>
      <c r="E38" s="17">
        <f>SUM(E36+'May 2026'!E39)</f>
        <v>84957.271999999983</v>
      </c>
      <c r="F38" s="17"/>
      <c r="G38" s="17"/>
      <c r="H38" s="17"/>
      <c r="J38" s="16"/>
    </row>
    <row r="40" spans="1:15" ht="17.45" customHeight="1" x14ac:dyDescent="0.25">
      <c r="A40" s="238"/>
      <c r="B40" s="238"/>
      <c r="C40" s="238"/>
      <c r="D40" s="238"/>
      <c r="E40" s="238"/>
      <c r="F40" s="238"/>
      <c r="G40" s="239"/>
      <c r="H40" s="240" t="s">
        <v>12</v>
      </c>
      <c r="I40" s="241"/>
      <c r="J40" s="20"/>
      <c r="K40" s="20"/>
      <c r="L40" s="20"/>
      <c r="M40" s="20"/>
      <c r="N40" s="21"/>
      <c r="O40" s="20"/>
    </row>
    <row r="41" spans="1:15" ht="16.899999999999999" customHeight="1" x14ac:dyDescent="0.25">
      <c r="A41" s="19"/>
      <c r="B41" s="19"/>
      <c r="C41" s="19"/>
      <c r="D41" s="19"/>
      <c r="E41" s="19"/>
      <c r="F41" s="19"/>
      <c r="G41" s="19"/>
      <c r="H41" s="240"/>
      <c r="I41" s="241"/>
      <c r="J41" s="20"/>
      <c r="K41" s="20"/>
      <c r="L41" s="20"/>
      <c r="M41" s="20"/>
      <c r="N41" s="21"/>
      <c r="O41" s="20"/>
    </row>
    <row r="42" spans="1:15" ht="13.9" customHeight="1" thickBot="1" x14ac:dyDescent="0.3">
      <c r="A42" s="242" t="s">
        <v>23</v>
      </c>
      <c r="B42" s="242"/>
      <c r="C42" s="242"/>
      <c r="D42" s="242"/>
      <c r="E42" s="242"/>
      <c r="F42" s="242"/>
      <c r="G42" s="242"/>
      <c r="H42" s="242"/>
      <c r="I42" s="242"/>
      <c r="J42" s="243"/>
      <c r="K42" s="22"/>
      <c r="L42" s="22"/>
      <c r="M42" s="22"/>
      <c r="N42" s="23"/>
      <c r="O42" s="22"/>
    </row>
    <row r="43" spans="1:15" ht="15.6" customHeight="1" x14ac:dyDescent="0.25">
      <c r="A43" s="31" t="s">
        <v>17</v>
      </c>
      <c r="B43" s="81"/>
      <c r="C43" s="25"/>
      <c r="D43" s="26"/>
      <c r="E43" s="26"/>
      <c r="F43" s="27"/>
      <c r="G43" s="28"/>
      <c r="H43" s="29"/>
      <c r="I43" s="30"/>
      <c r="J43" s="22"/>
      <c r="K43" s="22"/>
      <c r="L43" s="22"/>
      <c r="M43" s="22"/>
      <c r="N43" s="23"/>
    </row>
    <row r="44" spans="1:15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3"/>
    </row>
    <row r="45" spans="1:15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3"/>
    </row>
    <row r="46" spans="1:15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3"/>
    </row>
    <row r="47" spans="1:15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3"/>
    </row>
    <row r="48" spans="1:15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3"/>
    </row>
    <row r="49" spans="1:15" ht="13.15" customHeight="1" x14ac:dyDescent="0.25">
      <c r="A49" s="33"/>
      <c r="B49" s="33"/>
      <c r="C49" s="34"/>
      <c r="D49" s="34"/>
      <c r="E49" s="34"/>
      <c r="F49" s="34"/>
      <c r="G49" s="34"/>
      <c r="H49" s="35"/>
      <c r="I49" s="22"/>
      <c r="J49" s="22"/>
      <c r="K49" s="22"/>
      <c r="L49" s="22"/>
      <c r="M49" s="22"/>
      <c r="N49" s="23"/>
      <c r="O49" s="22"/>
    </row>
    <row r="50" spans="1:15" ht="15.75" thickBot="1" x14ac:dyDescent="0.3">
      <c r="A50" s="36" t="s">
        <v>18</v>
      </c>
      <c r="B50" s="36"/>
      <c r="C50" s="36"/>
      <c r="D50" s="36"/>
      <c r="E50" s="36"/>
      <c r="F50" s="37"/>
      <c r="G50" s="38"/>
      <c r="H50" s="35"/>
      <c r="I50" s="22"/>
      <c r="J50" s="22"/>
      <c r="K50" s="22"/>
      <c r="L50" s="22"/>
      <c r="M50" s="22"/>
      <c r="N50" s="23"/>
      <c r="O50" s="22"/>
    </row>
    <row r="51" spans="1:15" ht="26.25" x14ac:dyDescent="0.25">
      <c r="A51" s="39" t="s">
        <v>19</v>
      </c>
      <c r="B51" s="83"/>
      <c r="C51" s="40" t="s">
        <v>13</v>
      </c>
      <c r="D51" s="41" t="s">
        <v>14</v>
      </c>
      <c r="E51" s="41" t="s">
        <v>15</v>
      </c>
      <c r="F51" s="42" t="s">
        <v>16</v>
      </c>
      <c r="G51" s="43" t="s">
        <v>20</v>
      </c>
      <c r="H51" s="44"/>
      <c r="I51" s="45"/>
      <c r="J51" s="46"/>
    </row>
    <row r="52" spans="1:15" ht="15.75" x14ac:dyDescent="0.25">
      <c r="A52" s="47"/>
      <c r="B52" s="84"/>
      <c r="C52" s="48"/>
      <c r="D52" s="49"/>
      <c r="E52" s="50"/>
      <c r="F52" s="51"/>
      <c r="G52" s="52">
        <f>SUM(D52/24*E52)</f>
        <v>0</v>
      </c>
      <c r="H52" s="53"/>
      <c r="I52" s="54"/>
      <c r="J52" s="55"/>
    </row>
    <row r="53" spans="1:15" x14ac:dyDescent="0.25">
      <c r="A53" s="56"/>
      <c r="B53" s="85"/>
      <c r="C53" s="57"/>
      <c r="D53" s="58"/>
      <c r="E53" s="50"/>
      <c r="F53" s="59"/>
      <c r="G53" s="60">
        <f>SUM(D53/24*E53)</f>
        <v>0</v>
      </c>
      <c r="H53" s="53"/>
      <c r="I53" s="54"/>
    </row>
    <row r="54" spans="1:15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5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5" ht="15.75" thickBot="1" x14ac:dyDescent="0.3">
      <c r="A56" s="62"/>
      <c r="B56" s="86"/>
      <c r="C56" s="63"/>
      <c r="D56" s="64"/>
      <c r="E56" s="65"/>
      <c r="F56" s="64"/>
      <c r="G56" s="66">
        <f>SUM(D56/24*E56)</f>
        <v>0</v>
      </c>
      <c r="H56" s="53"/>
      <c r="I56" s="54"/>
    </row>
    <row r="57" spans="1:15" s="72" customFormat="1" ht="30" customHeight="1" x14ac:dyDescent="0.25">
      <c r="A57" s="244" t="s">
        <v>21</v>
      </c>
      <c r="B57" s="245"/>
      <c r="C57" s="245"/>
      <c r="D57" s="246"/>
      <c r="E57" s="67">
        <f>SUM(E52:E56)</f>
        <v>0</v>
      </c>
      <c r="F57" s="68" t="s">
        <v>22</v>
      </c>
      <c r="G57" s="69">
        <f>SUM(G52:G56)</f>
        <v>0</v>
      </c>
      <c r="H57" s="70"/>
      <c r="I57" s="71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3" sqref="B33"/>
    </sheetView>
  </sheetViews>
  <sheetFormatPr defaultColWidth="8.85546875" defaultRowHeight="15" x14ac:dyDescent="0.25"/>
  <cols>
    <col min="1" max="1" width="14.7109375" style="167" customWidth="1"/>
    <col min="2" max="2" width="13.5703125" style="167" customWidth="1"/>
    <col min="3" max="9" width="11.7109375" style="167" customWidth="1"/>
    <col min="10" max="10" width="39.42578125" style="167" customWidth="1"/>
    <col min="11" max="16384" width="8.85546875" style="167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6">
        <v>46143</v>
      </c>
      <c r="B3" s="77">
        <v>0</v>
      </c>
      <c r="C3" s="77">
        <v>368</v>
      </c>
      <c r="D3" s="77">
        <v>21</v>
      </c>
      <c r="E3" s="77">
        <v>503</v>
      </c>
      <c r="F3" s="77">
        <v>0</v>
      </c>
      <c r="G3" s="77">
        <v>0</v>
      </c>
      <c r="H3" s="77">
        <v>0</v>
      </c>
      <c r="I3" s="77"/>
      <c r="J3" s="79" t="s">
        <v>68</v>
      </c>
    </row>
    <row r="4" spans="1:10" x14ac:dyDescent="0.25">
      <c r="A4" s="166">
        <f>A3+1</f>
        <v>46144</v>
      </c>
      <c r="B4" s="77">
        <v>0</v>
      </c>
      <c r="C4" s="77">
        <v>328</v>
      </c>
      <c r="D4" s="77">
        <v>18</v>
      </c>
      <c r="E4" s="77">
        <v>474</v>
      </c>
      <c r="F4" s="77">
        <v>0</v>
      </c>
      <c r="G4" s="77">
        <v>0</v>
      </c>
      <c r="H4" s="77">
        <v>0</v>
      </c>
      <c r="I4" s="77"/>
      <c r="J4" s="79" t="s">
        <v>69</v>
      </c>
    </row>
    <row r="5" spans="1:10" x14ac:dyDescent="0.25">
      <c r="A5" s="166">
        <f t="shared" ref="A5:A33" si="0">A4+1</f>
        <v>46145</v>
      </c>
      <c r="B5" s="77">
        <v>0</v>
      </c>
      <c r="C5" s="77">
        <v>222</v>
      </c>
      <c r="D5" s="77">
        <v>38</v>
      </c>
      <c r="E5" s="77">
        <v>420</v>
      </c>
      <c r="F5" s="77">
        <v>0.02</v>
      </c>
      <c r="G5" s="77">
        <v>0</v>
      </c>
      <c r="H5" s="77">
        <v>0</v>
      </c>
      <c r="I5" s="77"/>
      <c r="J5" s="79" t="s">
        <v>70</v>
      </c>
    </row>
    <row r="6" spans="1:10" x14ac:dyDescent="0.25">
      <c r="A6" s="166">
        <f t="shared" si="0"/>
        <v>46146</v>
      </c>
      <c r="B6" s="77">
        <v>5</v>
      </c>
      <c r="C6" s="77">
        <v>200</v>
      </c>
      <c r="D6" s="77">
        <v>2</v>
      </c>
      <c r="E6" s="77">
        <v>409</v>
      </c>
      <c r="F6" s="77">
        <v>0</v>
      </c>
      <c r="G6" s="77">
        <v>0</v>
      </c>
      <c r="H6" s="77">
        <v>0</v>
      </c>
      <c r="I6" s="77"/>
      <c r="J6" s="79"/>
    </row>
    <row r="7" spans="1:10" x14ac:dyDescent="0.25">
      <c r="A7" s="166">
        <f t="shared" si="0"/>
        <v>46147</v>
      </c>
      <c r="B7" s="77">
        <v>10</v>
      </c>
      <c r="C7" s="77">
        <v>253</v>
      </c>
      <c r="D7" s="77">
        <v>0</v>
      </c>
      <c r="E7" s="77">
        <v>379</v>
      </c>
      <c r="F7" s="77">
        <v>0</v>
      </c>
      <c r="G7" s="77">
        <v>0</v>
      </c>
      <c r="H7" s="77">
        <v>0</v>
      </c>
      <c r="I7" s="77"/>
      <c r="J7" s="79" t="s">
        <v>71</v>
      </c>
    </row>
    <row r="8" spans="1:10" x14ac:dyDescent="0.25">
      <c r="A8" s="166">
        <f t="shared" si="0"/>
        <v>46148</v>
      </c>
      <c r="B8" s="77">
        <v>8</v>
      </c>
      <c r="C8" s="77">
        <v>300</v>
      </c>
      <c r="D8" s="77">
        <v>0</v>
      </c>
      <c r="E8" s="77">
        <v>391</v>
      </c>
      <c r="F8" s="77">
        <v>0</v>
      </c>
      <c r="G8" s="77">
        <v>0</v>
      </c>
      <c r="H8" s="77">
        <v>0</v>
      </c>
      <c r="I8" s="77"/>
      <c r="J8" s="79"/>
    </row>
    <row r="9" spans="1:10" x14ac:dyDescent="0.25">
      <c r="A9" s="166">
        <f t="shared" si="0"/>
        <v>46149</v>
      </c>
      <c r="B9" s="77">
        <v>6</v>
      </c>
      <c r="C9" s="77">
        <v>300</v>
      </c>
      <c r="D9" s="77">
        <v>0</v>
      </c>
      <c r="E9" s="77">
        <v>386</v>
      </c>
      <c r="F9" s="77">
        <v>0</v>
      </c>
      <c r="G9" s="77">
        <v>0</v>
      </c>
      <c r="H9" s="77">
        <v>0</v>
      </c>
      <c r="I9" s="77"/>
      <c r="J9" s="79"/>
    </row>
    <row r="10" spans="1:10" x14ac:dyDescent="0.25">
      <c r="A10" s="166">
        <f t="shared" si="0"/>
        <v>46150</v>
      </c>
      <c r="B10" s="77">
        <v>7</v>
      </c>
      <c r="C10" s="77">
        <v>284</v>
      </c>
      <c r="D10" s="77">
        <v>0</v>
      </c>
      <c r="E10" s="77">
        <v>370</v>
      </c>
      <c r="F10" s="77">
        <v>0</v>
      </c>
      <c r="G10" s="77">
        <v>0</v>
      </c>
      <c r="H10" s="77">
        <v>0</v>
      </c>
      <c r="I10" s="77"/>
      <c r="J10" s="79" t="s">
        <v>72</v>
      </c>
    </row>
    <row r="11" spans="1:10" x14ac:dyDescent="0.25">
      <c r="A11" s="166">
        <f t="shared" si="0"/>
        <v>46151</v>
      </c>
      <c r="B11" s="77">
        <v>6</v>
      </c>
      <c r="C11" s="77">
        <v>250</v>
      </c>
      <c r="D11" s="77">
        <v>0</v>
      </c>
      <c r="E11" s="77">
        <v>347</v>
      </c>
      <c r="F11" s="77">
        <v>0</v>
      </c>
      <c r="G11" s="77">
        <v>0</v>
      </c>
      <c r="H11" s="77">
        <v>0</v>
      </c>
      <c r="I11" s="77"/>
      <c r="J11" s="79"/>
    </row>
    <row r="12" spans="1:10" x14ac:dyDescent="0.25">
      <c r="A12" s="166">
        <f t="shared" si="0"/>
        <v>46152</v>
      </c>
      <c r="B12" s="77">
        <v>4</v>
      </c>
      <c r="C12" s="77">
        <v>213</v>
      </c>
      <c r="D12" s="77">
        <v>2</v>
      </c>
      <c r="E12" s="77">
        <v>311</v>
      </c>
      <c r="F12" s="77">
        <v>0</v>
      </c>
      <c r="G12" s="77">
        <v>0</v>
      </c>
      <c r="H12" s="77">
        <v>0</v>
      </c>
      <c r="I12" s="77"/>
      <c r="J12" s="79" t="s">
        <v>73</v>
      </c>
    </row>
    <row r="13" spans="1:10" x14ac:dyDescent="0.25">
      <c r="A13" s="166">
        <f t="shared" si="0"/>
        <v>46153</v>
      </c>
      <c r="B13" s="77">
        <v>7</v>
      </c>
      <c r="C13" s="77">
        <v>163</v>
      </c>
      <c r="D13" s="77">
        <v>1</v>
      </c>
      <c r="E13" s="77">
        <v>306</v>
      </c>
      <c r="F13" s="77">
        <v>0</v>
      </c>
      <c r="G13" s="77">
        <v>0</v>
      </c>
      <c r="H13" s="77">
        <v>0</v>
      </c>
      <c r="I13" s="77"/>
      <c r="J13" s="79" t="s">
        <v>74</v>
      </c>
    </row>
    <row r="14" spans="1:10" x14ac:dyDescent="0.25">
      <c r="A14" s="166">
        <f t="shared" si="0"/>
        <v>46154</v>
      </c>
      <c r="B14" s="77">
        <v>0</v>
      </c>
      <c r="C14" s="77">
        <v>231</v>
      </c>
      <c r="D14" s="77">
        <v>0</v>
      </c>
      <c r="E14" s="77">
        <v>334</v>
      </c>
      <c r="F14" s="77">
        <v>0</v>
      </c>
      <c r="G14" s="77">
        <v>0</v>
      </c>
      <c r="H14" s="77">
        <v>0</v>
      </c>
      <c r="I14" s="77"/>
      <c r="J14" s="79" t="s">
        <v>75</v>
      </c>
    </row>
    <row r="15" spans="1:10" x14ac:dyDescent="0.25">
      <c r="A15" s="166">
        <f t="shared" si="0"/>
        <v>46155</v>
      </c>
      <c r="B15" s="77">
        <v>6</v>
      </c>
      <c r="C15" s="77">
        <v>300</v>
      </c>
      <c r="D15" s="77">
        <v>0</v>
      </c>
      <c r="E15" s="77">
        <v>360</v>
      </c>
      <c r="F15" s="77">
        <v>0</v>
      </c>
      <c r="G15" s="77">
        <v>0</v>
      </c>
      <c r="H15" s="77">
        <v>0</v>
      </c>
      <c r="I15" s="77"/>
      <c r="J15" s="79"/>
    </row>
    <row r="16" spans="1:10" x14ac:dyDescent="0.25">
      <c r="A16" s="166">
        <f t="shared" si="0"/>
        <v>46156</v>
      </c>
      <c r="B16" s="77">
        <v>6</v>
      </c>
      <c r="C16" s="77">
        <v>280</v>
      </c>
      <c r="D16" s="77">
        <v>0</v>
      </c>
      <c r="E16" s="77">
        <v>375</v>
      </c>
      <c r="F16" s="77">
        <v>0</v>
      </c>
      <c r="G16" s="77">
        <v>0</v>
      </c>
      <c r="H16" s="77">
        <v>0</v>
      </c>
      <c r="I16" s="77"/>
      <c r="J16" s="79" t="s">
        <v>76</v>
      </c>
    </row>
    <row r="17" spans="1:10" x14ac:dyDescent="0.25">
      <c r="A17" s="166">
        <f t="shared" si="0"/>
        <v>46157</v>
      </c>
      <c r="B17" s="77">
        <v>6</v>
      </c>
      <c r="C17" s="77">
        <v>250</v>
      </c>
      <c r="D17" s="77">
        <v>0</v>
      </c>
      <c r="E17" s="77">
        <v>360</v>
      </c>
      <c r="F17" s="77">
        <v>0</v>
      </c>
      <c r="G17" s="77">
        <v>0</v>
      </c>
      <c r="H17" s="77">
        <v>0</v>
      </c>
      <c r="I17" s="77"/>
      <c r="J17" s="79"/>
    </row>
    <row r="18" spans="1:10" x14ac:dyDescent="0.25">
      <c r="A18" s="166">
        <f t="shared" si="0"/>
        <v>46158</v>
      </c>
      <c r="B18" s="77">
        <v>4</v>
      </c>
      <c r="C18" s="77">
        <v>279</v>
      </c>
      <c r="D18" s="77">
        <v>0</v>
      </c>
      <c r="E18" s="77">
        <v>353</v>
      </c>
      <c r="F18" s="77">
        <v>0</v>
      </c>
      <c r="G18" s="77">
        <v>0</v>
      </c>
      <c r="H18" s="77">
        <v>0</v>
      </c>
      <c r="I18" s="77"/>
      <c r="J18" s="79" t="s">
        <v>77</v>
      </c>
    </row>
    <row r="19" spans="1:10" x14ac:dyDescent="0.25">
      <c r="A19" s="166">
        <f t="shared" si="0"/>
        <v>46159</v>
      </c>
      <c r="B19" s="77">
        <v>1</v>
      </c>
      <c r="C19" s="77">
        <v>242</v>
      </c>
      <c r="D19" s="77">
        <v>2</v>
      </c>
      <c r="E19" s="77">
        <v>325</v>
      </c>
      <c r="F19" s="77">
        <v>0</v>
      </c>
      <c r="G19" s="77">
        <v>0</v>
      </c>
      <c r="H19" s="77">
        <v>0</v>
      </c>
      <c r="I19" s="77"/>
      <c r="J19" s="79" t="s">
        <v>78</v>
      </c>
    </row>
    <row r="20" spans="1:10" x14ac:dyDescent="0.25">
      <c r="A20" s="166">
        <f t="shared" si="0"/>
        <v>46160</v>
      </c>
      <c r="B20" s="77">
        <v>2</v>
      </c>
      <c r="C20" s="77">
        <v>169</v>
      </c>
      <c r="D20" s="77">
        <v>14</v>
      </c>
      <c r="E20" s="77">
        <v>334</v>
      </c>
      <c r="F20" s="77">
        <v>0</v>
      </c>
      <c r="G20" s="77">
        <v>0</v>
      </c>
      <c r="H20" s="77">
        <v>0</v>
      </c>
      <c r="I20" s="77"/>
      <c r="J20" s="76" t="s">
        <v>79</v>
      </c>
    </row>
    <row r="21" spans="1:10" x14ac:dyDescent="0.25">
      <c r="A21" s="166">
        <f t="shared" si="0"/>
        <v>46161</v>
      </c>
      <c r="B21" s="77">
        <v>6</v>
      </c>
      <c r="C21" s="77">
        <v>169</v>
      </c>
      <c r="D21" s="77">
        <v>0</v>
      </c>
      <c r="E21" s="77">
        <v>354</v>
      </c>
      <c r="F21" s="77">
        <v>0</v>
      </c>
      <c r="G21" s="77">
        <v>0</v>
      </c>
      <c r="H21" s="77">
        <v>0</v>
      </c>
      <c r="I21" s="77"/>
      <c r="J21" s="76" t="s">
        <v>80</v>
      </c>
    </row>
    <row r="22" spans="1:10" x14ac:dyDescent="0.25">
      <c r="A22" s="166">
        <f t="shared" si="0"/>
        <v>46162</v>
      </c>
      <c r="B22" s="77">
        <v>0</v>
      </c>
      <c r="C22" s="77">
        <v>204</v>
      </c>
      <c r="D22" s="77">
        <v>0</v>
      </c>
      <c r="E22" s="77">
        <v>338</v>
      </c>
      <c r="F22" s="77">
        <v>0</v>
      </c>
      <c r="G22" s="77">
        <v>0</v>
      </c>
      <c r="H22" s="77">
        <v>0</v>
      </c>
      <c r="I22" s="77"/>
      <c r="J22" s="76" t="s">
        <v>81</v>
      </c>
    </row>
    <row r="23" spans="1:10" x14ac:dyDescent="0.25">
      <c r="A23" s="166">
        <f t="shared" si="0"/>
        <v>46163</v>
      </c>
      <c r="B23" s="77">
        <v>0</v>
      </c>
      <c r="C23" s="77">
        <v>233</v>
      </c>
      <c r="D23" s="77">
        <v>0</v>
      </c>
      <c r="E23" s="77">
        <v>335</v>
      </c>
      <c r="F23" s="77">
        <v>0</v>
      </c>
      <c r="G23" s="77">
        <v>0</v>
      </c>
      <c r="H23" s="77">
        <v>0</v>
      </c>
      <c r="I23" s="77"/>
      <c r="J23" s="76" t="s">
        <v>82</v>
      </c>
    </row>
    <row r="24" spans="1:10" x14ac:dyDescent="0.25">
      <c r="A24" s="166">
        <f t="shared" si="0"/>
        <v>46164</v>
      </c>
      <c r="B24" s="77">
        <v>0</v>
      </c>
      <c r="C24" s="77">
        <v>200</v>
      </c>
      <c r="D24" s="77">
        <v>24</v>
      </c>
      <c r="E24" s="77">
        <v>353</v>
      </c>
      <c r="F24" s="77">
        <v>0</v>
      </c>
      <c r="G24" s="77">
        <v>0</v>
      </c>
      <c r="H24" s="77">
        <v>0</v>
      </c>
      <c r="I24" s="77"/>
      <c r="J24" s="76" t="s">
        <v>83</v>
      </c>
    </row>
    <row r="25" spans="1:10" x14ac:dyDescent="0.25">
      <c r="A25" s="166">
        <f t="shared" si="0"/>
        <v>46165</v>
      </c>
      <c r="B25" s="77">
        <v>0</v>
      </c>
      <c r="C25" s="77">
        <v>166</v>
      </c>
      <c r="D25" s="77">
        <v>27</v>
      </c>
      <c r="E25" s="77">
        <v>342</v>
      </c>
      <c r="F25" s="77">
        <v>0</v>
      </c>
      <c r="G25" s="77">
        <v>0</v>
      </c>
      <c r="H25" s="77">
        <v>0</v>
      </c>
      <c r="I25" s="77"/>
      <c r="J25" s="76" t="s">
        <v>84</v>
      </c>
    </row>
    <row r="26" spans="1:10" x14ac:dyDescent="0.25">
      <c r="A26" s="166">
        <f t="shared" si="0"/>
        <v>46166</v>
      </c>
      <c r="B26" s="77">
        <v>0</v>
      </c>
      <c r="C26" s="77">
        <v>142</v>
      </c>
      <c r="D26" s="77">
        <v>18</v>
      </c>
      <c r="E26" s="77">
        <v>340</v>
      </c>
      <c r="F26" s="77">
        <v>0.08</v>
      </c>
      <c r="G26" s="77">
        <v>0</v>
      </c>
      <c r="H26" s="77">
        <v>0</v>
      </c>
      <c r="I26" s="77"/>
      <c r="J26" s="76" t="s">
        <v>85</v>
      </c>
    </row>
    <row r="27" spans="1:10" x14ac:dyDescent="0.25">
      <c r="A27" s="166">
        <f t="shared" si="0"/>
        <v>46167</v>
      </c>
      <c r="B27" s="77">
        <v>0</v>
      </c>
      <c r="C27" s="77">
        <v>109</v>
      </c>
      <c r="D27" s="77">
        <v>10</v>
      </c>
      <c r="E27" s="77">
        <v>319</v>
      </c>
      <c r="F27" s="77">
        <v>0</v>
      </c>
      <c r="G27" s="77">
        <v>0</v>
      </c>
      <c r="H27" s="77">
        <v>0</v>
      </c>
      <c r="I27" s="77"/>
      <c r="J27" s="76" t="s">
        <v>86</v>
      </c>
    </row>
    <row r="28" spans="1:10" x14ac:dyDescent="0.25">
      <c r="A28" s="166">
        <f t="shared" si="0"/>
        <v>46168</v>
      </c>
      <c r="B28" s="77">
        <v>0</v>
      </c>
      <c r="C28" s="77">
        <v>182</v>
      </c>
      <c r="D28" s="77">
        <v>0</v>
      </c>
      <c r="E28" s="77">
        <v>317</v>
      </c>
      <c r="F28" s="77">
        <v>0.04</v>
      </c>
      <c r="G28" s="77">
        <v>0</v>
      </c>
      <c r="H28" s="77">
        <v>0</v>
      </c>
      <c r="I28" s="77"/>
      <c r="J28" s="76" t="s">
        <v>87</v>
      </c>
    </row>
    <row r="29" spans="1:10" x14ac:dyDescent="0.25">
      <c r="A29" s="166">
        <f t="shared" si="0"/>
        <v>46169</v>
      </c>
      <c r="B29" s="77">
        <v>0</v>
      </c>
      <c r="C29" s="77">
        <v>218</v>
      </c>
      <c r="D29" s="77">
        <v>0</v>
      </c>
      <c r="E29" s="77">
        <v>305</v>
      </c>
      <c r="F29" s="77">
        <v>0.24</v>
      </c>
      <c r="G29" s="77">
        <v>0</v>
      </c>
      <c r="H29" s="77">
        <v>0</v>
      </c>
      <c r="I29" s="77"/>
      <c r="J29" s="76" t="s">
        <v>88</v>
      </c>
    </row>
    <row r="30" spans="1:10" x14ac:dyDescent="0.25">
      <c r="A30" s="166">
        <f t="shared" si="0"/>
        <v>46170</v>
      </c>
      <c r="B30" s="77">
        <v>0</v>
      </c>
      <c r="C30" s="77">
        <v>85</v>
      </c>
      <c r="D30" s="77">
        <v>0</v>
      </c>
      <c r="E30" s="77">
        <v>284</v>
      </c>
      <c r="F30" s="77">
        <v>1.55</v>
      </c>
      <c r="G30" s="77">
        <v>0</v>
      </c>
      <c r="H30" s="77">
        <v>0</v>
      </c>
      <c r="I30" s="77"/>
      <c r="J30" s="76" t="s">
        <v>89</v>
      </c>
    </row>
    <row r="31" spans="1:10" x14ac:dyDescent="0.25">
      <c r="A31" s="166">
        <f t="shared" si="0"/>
        <v>46171</v>
      </c>
      <c r="B31" s="77">
        <v>161</v>
      </c>
      <c r="C31" s="77">
        <v>20</v>
      </c>
      <c r="D31" s="77">
        <v>56</v>
      </c>
      <c r="E31" s="77">
        <v>253</v>
      </c>
      <c r="F31" s="77">
        <v>1.18</v>
      </c>
      <c r="G31" s="77">
        <v>0</v>
      </c>
      <c r="H31" s="77">
        <v>0</v>
      </c>
      <c r="I31" s="77"/>
      <c r="J31" s="76" t="s">
        <v>90</v>
      </c>
    </row>
    <row r="32" spans="1:10" x14ac:dyDescent="0.25">
      <c r="A32" s="166">
        <f t="shared" si="0"/>
        <v>46172</v>
      </c>
      <c r="B32" s="77">
        <v>263</v>
      </c>
      <c r="C32" s="77">
        <v>0</v>
      </c>
      <c r="D32" s="77">
        <v>94</v>
      </c>
      <c r="E32" s="77">
        <v>246</v>
      </c>
      <c r="F32" s="77">
        <v>0</v>
      </c>
      <c r="G32" s="77">
        <v>0</v>
      </c>
      <c r="H32" s="77">
        <v>0</v>
      </c>
      <c r="I32" s="77"/>
      <c r="J32" s="76"/>
    </row>
    <row r="33" spans="1:16" ht="15.75" thickBot="1" x14ac:dyDescent="0.3">
      <c r="A33" s="166">
        <f t="shared" si="0"/>
        <v>46173</v>
      </c>
      <c r="B33" s="77">
        <v>281</v>
      </c>
      <c r="C33" s="77">
        <v>0</v>
      </c>
      <c r="D33" s="77">
        <v>68</v>
      </c>
      <c r="E33" s="77">
        <v>209</v>
      </c>
      <c r="F33" s="77">
        <v>0</v>
      </c>
      <c r="G33" s="77">
        <v>0</v>
      </c>
      <c r="H33" s="77">
        <v>0</v>
      </c>
      <c r="I33" s="77"/>
      <c r="J33" s="76"/>
    </row>
    <row r="34" spans="1:16" s="93" customFormat="1" ht="15.75" thickTop="1" x14ac:dyDescent="0.25">
      <c r="A34" s="103" t="s">
        <v>8</v>
      </c>
      <c r="B34" s="168">
        <f>SUM(B3:B33)</f>
        <v>789</v>
      </c>
      <c r="C34" s="168">
        <f t="shared" ref="C34:H34" si="1">SUM(C3:C33)</f>
        <v>6360</v>
      </c>
      <c r="D34" s="168">
        <f t="shared" si="1"/>
        <v>395</v>
      </c>
      <c r="E34" s="168">
        <f t="shared" si="1"/>
        <v>10732</v>
      </c>
      <c r="F34" s="169">
        <f t="shared" si="1"/>
        <v>3.1100000000000003</v>
      </c>
      <c r="G34" s="169">
        <f t="shared" si="1"/>
        <v>0</v>
      </c>
      <c r="H34" s="168">
        <f t="shared" si="1"/>
        <v>0</v>
      </c>
      <c r="I34" s="169"/>
    </row>
    <row r="35" spans="1:16" s="93" customFormat="1" x14ac:dyDescent="0.25">
      <c r="A35" s="105" t="s">
        <v>9</v>
      </c>
      <c r="B35" s="106">
        <f>SUM(B34+'Apr 2026'!B34)</f>
        <v>17226</v>
      </c>
      <c r="C35" s="106">
        <f>SUM(C34+'Apr 2026'!C34)</f>
        <v>13613</v>
      </c>
      <c r="D35" s="106">
        <f>SUM(D34+'Apr 2026'!D34)</f>
        <v>8593</v>
      </c>
      <c r="E35" s="106">
        <f>SUM(E34+'Apr 2026'!E34)</f>
        <v>28045</v>
      </c>
      <c r="F35" s="107">
        <f>SUM(F34+'Apr 2026'!F34)</f>
        <v>10.970000000000002</v>
      </c>
      <c r="G35" s="107">
        <f>SUM(G34+'Apr 2026'!G34)</f>
        <v>2.5</v>
      </c>
      <c r="H35" s="106">
        <f>SUM(H34+'Apr 2026'!H34)</f>
        <v>33365</v>
      </c>
      <c r="I35" s="107"/>
    </row>
    <row r="37" spans="1:16" x14ac:dyDescent="0.25">
      <c r="A37" s="167" t="s">
        <v>10</v>
      </c>
      <c r="B37" s="172">
        <f>SUM(B3:B33)*1.9835</f>
        <v>1564.9815000000001</v>
      </c>
      <c r="C37" s="172">
        <f>SUM(C3:C33)*1.9835</f>
        <v>12615.06</v>
      </c>
      <c r="D37" s="172">
        <f>SUM(D3:D33)*1.9835</f>
        <v>783.48250000000007</v>
      </c>
      <c r="E37" s="172">
        <f>SUM(E3:E33)*1.9835</f>
        <v>21286.921999999999</v>
      </c>
      <c r="F37" s="172"/>
      <c r="G37" s="172"/>
      <c r="H37" s="172"/>
      <c r="J37" s="173"/>
    </row>
    <row r="39" spans="1:16" x14ac:dyDescent="0.25">
      <c r="A39" s="167" t="s">
        <v>24</v>
      </c>
      <c r="B39" s="172">
        <f>SUM(B37+'Apr 2026'!B38)</f>
        <v>35213.075499999999</v>
      </c>
      <c r="C39" s="172">
        <f>SUM(C37+'Apr 2026'!C38)</f>
        <v>38317.252999999997</v>
      </c>
      <c r="D39" s="172">
        <f>SUM(D37+'Apr 2026'!D38)</f>
        <v>17052.1495</v>
      </c>
      <c r="E39" s="172">
        <f>SUM(E37+'Apr 2026'!E38)</f>
        <v>70870.454999999987</v>
      </c>
      <c r="F39" s="172"/>
      <c r="G39" s="172"/>
      <c r="H39" s="172"/>
      <c r="J39" s="173"/>
    </row>
    <row r="40" spans="1:16" x14ac:dyDescent="0.25">
      <c r="J40" s="177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7"/>
      <c r="K41" s="175"/>
      <c r="L41" s="175"/>
      <c r="M41" s="175"/>
      <c r="N41" s="175"/>
      <c r="O41" s="176"/>
      <c r="P41" s="175"/>
    </row>
    <row r="42" spans="1:16" ht="16.899999999999999" customHeight="1" x14ac:dyDescent="0.25">
      <c r="A42" s="174"/>
      <c r="B42" s="174"/>
      <c r="C42" s="174"/>
      <c r="D42" s="174"/>
      <c r="E42" s="174"/>
      <c r="F42" s="174"/>
      <c r="G42" s="174"/>
      <c r="H42" s="249"/>
      <c r="I42" s="250"/>
      <c r="J42" s="177"/>
      <c r="K42" s="175"/>
      <c r="L42" s="175"/>
      <c r="M42" s="175"/>
      <c r="N42" s="175"/>
      <c r="O42" s="176"/>
      <c r="P42" s="175"/>
    </row>
    <row r="43" spans="1:16" ht="13.9" customHeight="1" thickBot="1" x14ac:dyDescent="0.3">
      <c r="A43" s="251" t="s">
        <v>23</v>
      </c>
      <c r="B43" s="251"/>
      <c r="C43" s="251"/>
      <c r="D43" s="251"/>
      <c r="E43" s="251"/>
      <c r="F43" s="251"/>
      <c r="G43" s="251"/>
      <c r="H43" s="251"/>
      <c r="I43" s="251"/>
      <c r="J43" s="252"/>
      <c r="K43" s="252"/>
      <c r="L43" s="177"/>
      <c r="M43" s="177"/>
      <c r="N43" s="177"/>
      <c r="O43" s="178"/>
      <c r="P43" s="177"/>
    </row>
    <row r="44" spans="1:16" ht="15.6" customHeight="1" x14ac:dyDescent="0.25">
      <c r="A44" s="179" t="s">
        <v>17</v>
      </c>
      <c r="B44" s="180"/>
      <c r="C44" s="181"/>
      <c r="D44" s="182"/>
      <c r="E44" s="182"/>
      <c r="F44" s="183"/>
      <c r="G44" s="184"/>
      <c r="H44" s="185"/>
      <c r="I44" s="186"/>
      <c r="J44" s="177"/>
      <c r="K44" s="177"/>
      <c r="L44" s="177"/>
      <c r="M44" s="177"/>
      <c r="N44" s="177"/>
      <c r="O44" s="178"/>
    </row>
    <row r="45" spans="1:16" x14ac:dyDescent="0.25">
      <c r="A45" s="187"/>
      <c r="B45" s="188"/>
      <c r="C45" s="181"/>
      <c r="D45" s="182"/>
      <c r="E45" s="182"/>
      <c r="F45" s="189"/>
      <c r="G45" s="184">
        <f>SUM(24-E45)</f>
        <v>24</v>
      </c>
      <c r="H45" s="185">
        <f>SUM(D45+F45)</f>
        <v>0</v>
      </c>
      <c r="I45" s="186">
        <f>SUM(D45/24*E45+H45/24*G45)</f>
        <v>0</v>
      </c>
      <c r="J45" s="177"/>
      <c r="K45" s="177"/>
      <c r="L45" s="177"/>
      <c r="M45" s="177"/>
      <c r="N45" s="177"/>
      <c r="O45" s="178"/>
    </row>
    <row r="46" spans="1:16" x14ac:dyDescent="0.25">
      <c r="A46" s="187"/>
      <c r="B46" s="188"/>
      <c r="C46" s="181"/>
      <c r="D46" s="182"/>
      <c r="E46" s="182"/>
      <c r="F46" s="189"/>
      <c r="G46" s="184">
        <f>SUM(24-E46)</f>
        <v>24</v>
      </c>
      <c r="H46" s="185">
        <f>SUM(D46+F46)</f>
        <v>0</v>
      </c>
      <c r="I46" s="186">
        <f>SUM(D46/24*E46+H46/24*G46)</f>
        <v>0</v>
      </c>
      <c r="J46" s="177"/>
      <c r="K46" s="177"/>
      <c r="L46" s="177"/>
      <c r="M46" s="177"/>
      <c r="N46" s="177"/>
      <c r="O46" s="178"/>
    </row>
    <row r="47" spans="1:16" x14ac:dyDescent="0.25">
      <c r="A47" s="187"/>
      <c r="B47" s="188"/>
      <c r="C47" s="181"/>
      <c r="D47" s="182"/>
      <c r="E47" s="182"/>
      <c r="F47" s="189"/>
      <c r="G47" s="184">
        <f>SUM(24-E47)</f>
        <v>24</v>
      </c>
      <c r="H47" s="185">
        <f>SUM(D47+F47)</f>
        <v>0</v>
      </c>
      <c r="I47" s="186">
        <f>SUM(D47/24*E47+H47/24*G47)</f>
        <v>0</v>
      </c>
      <c r="J47" s="204"/>
      <c r="K47" s="177"/>
      <c r="L47" s="177"/>
      <c r="M47" s="177"/>
      <c r="N47" s="177"/>
      <c r="O47" s="178"/>
    </row>
    <row r="48" spans="1:16" x14ac:dyDescent="0.25">
      <c r="A48" s="187"/>
      <c r="B48" s="188"/>
      <c r="C48" s="181"/>
      <c r="D48" s="182"/>
      <c r="E48" s="182"/>
      <c r="F48" s="189"/>
      <c r="G48" s="184">
        <f>SUM(24-E48)</f>
        <v>24</v>
      </c>
      <c r="H48" s="185">
        <f>SUM(D48+F48)</f>
        <v>0</v>
      </c>
      <c r="I48" s="186">
        <f>SUM(D48/24*E48+H48/24*G48)</f>
        <v>0</v>
      </c>
      <c r="J48" s="214"/>
      <c r="K48" s="177"/>
      <c r="L48" s="177"/>
      <c r="M48" s="177"/>
      <c r="N48" s="177"/>
      <c r="O48" s="178"/>
    </row>
    <row r="49" spans="1:16" x14ac:dyDescent="0.25">
      <c r="A49" s="187"/>
      <c r="B49" s="188"/>
      <c r="C49" s="181"/>
      <c r="D49" s="182"/>
      <c r="E49" s="182"/>
      <c r="F49" s="189"/>
      <c r="G49" s="184">
        <f>SUM(24-E49)</f>
        <v>24</v>
      </c>
      <c r="H49" s="185">
        <f>SUM(D49+F49)</f>
        <v>0</v>
      </c>
      <c r="I49" s="186">
        <f>SUM(D49/24*E49+H49/24*G49)</f>
        <v>0</v>
      </c>
      <c r="K49" s="177"/>
      <c r="L49" s="177"/>
      <c r="M49" s="177"/>
      <c r="N49" s="177"/>
      <c r="O49" s="178"/>
    </row>
    <row r="50" spans="1:16" ht="13.15" customHeight="1" x14ac:dyDescent="0.25">
      <c r="A50" s="190"/>
      <c r="B50" s="190"/>
      <c r="C50" s="191"/>
      <c r="D50" s="191"/>
      <c r="E50" s="191"/>
      <c r="F50" s="191"/>
      <c r="G50" s="191"/>
      <c r="H50" s="192"/>
      <c r="I50" s="177"/>
      <c r="K50" s="177"/>
      <c r="L50" s="177"/>
      <c r="M50" s="177"/>
      <c r="N50" s="177"/>
      <c r="O50" s="178"/>
      <c r="P50" s="177"/>
    </row>
    <row r="51" spans="1:16" ht="15.75" thickBot="1" x14ac:dyDescent="0.3">
      <c r="A51" s="193" t="s">
        <v>18</v>
      </c>
      <c r="B51" s="193"/>
      <c r="C51" s="193"/>
      <c r="D51" s="193"/>
      <c r="E51" s="193"/>
      <c r="F51" s="194"/>
      <c r="G51" s="195"/>
      <c r="H51" s="192"/>
      <c r="I51" s="177"/>
      <c r="K51" s="177"/>
      <c r="L51" s="177"/>
      <c r="M51" s="177"/>
      <c r="N51" s="177"/>
      <c r="O51" s="178"/>
      <c r="P51" s="177"/>
    </row>
    <row r="52" spans="1:16" ht="26.25" x14ac:dyDescent="0.25">
      <c r="A52" s="196" t="s">
        <v>19</v>
      </c>
      <c r="B52" s="197"/>
      <c r="C52" s="198" t="s">
        <v>13</v>
      </c>
      <c r="D52" s="199" t="s">
        <v>14</v>
      </c>
      <c r="E52" s="199" t="s">
        <v>15</v>
      </c>
      <c r="F52" s="200" t="s">
        <v>16</v>
      </c>
      <c r="G52" s="201" t="s">
        <v>20</v>
      </c>
      <c r="H52" s="202"/>
      <c r="I52" s="203"/>
      <c r="K52" s="204"/>
    </row>
    <row r="53" spans="1:16" x14ac:dyDescent="0.25">
      <c r="A53" s="205"/>
      <c r="B53" s="206"/>
      <c r="C53" s="207"/>
      <c r="D53" s="208"/>
      <c r="E53" s="209"/>
      <c r="F53" s="210"/>
      <c r="G53" s="211">
        <f>SUM(D53/24*E53)</f>
        <v>0</v>
      </c>
      <c r="H53" s="212"/>
      <c r="I53" s="213"/>
      <c r="J53" s="233"/>
      <c r="K53" s="214"/>
    </row>
    <row r="54" spans="1:16" x14ac:dyDescent="0.25">
      <c r="A54" s="215"/>
      <c r="B54" s="216"/>
      <c r="C54" s="217"/>
      <c r="D54" s="218"/>
      <c r="E54" s="209"/>
      <c r="F54" s="219"/>
      <c r="G54" s="220">
        <f>SUM(D54/24*E54)</f>
        <v>0</v>
      </c>
      <c r="H54" s="212"/>
      <c r="I54" s="213"/>
    </row>
    <row r="55" spans="1:16" x14ac:dyDescent="0.25">
      <c r="A55" s="215"/>
      <c r="B55" s="216"/>
      <c r="C55" s="217"/>
      <c r="D55" s="218"/>
      <c r="E55" s="209"/>
      <c r="F55" s="221"/>
      <c r="G55" s="220">
        <f>SUM(D55/24*E55)</f>
        <v>0</v>
      </c>
      <c r="H55" s="212"/>
      <c r="I55" s="213"/>
    </row>
    <row r="56" spans="1:16" x14ac:dyDescent="0.25">
      <c r="A56" s="215"/>
      <c r="B56" s="216"/>
      <c r="C56" s="217"/>
      <c r="D56" s="218"/>
      <c r="E56" s="209"/>
      <c r="F56" s="221"/>
      <c r="G56" s="220">
        <f>SUM(D56/24*E56)</f>
        <v>0</v>
      </c>
      <c r="H56" s="212"/>
      <c r="I56" s="213"/>
    </row>
    <row r="57" spans="1:16" ht="15.75" thickBot="1" x14ac:dyDescent="0.3">
      <c r="A57" s="222"/>
      <c r="B57" s="223"/>
      <c r="C57" s="224"/>
      <c r="D57" s="225"/>
      <c r="E57" s="226"/>
      <c r="F57" s="225"/>
      <c r="G57" s="227">
        <f>SUM(D57/24*E57)</f>
        <v>0</v>
      </c>
      <c r="H57" s="212"/>
      <c r="I57" s="213"/>
    </row>
    <row r="58" spans="1:16" s="233" customFormat="1" ht="30" customHeight="1" x14ac:dyDescent="0.25">
      <c r="A58" s="253" t="s">
        <v>21</v>
      </c>
      <c r="B58" s="254"/>
      <c r="C58" s="254"/>
      <c r="D58" s="255"/>
      <c r="E58" s="228">
        <f>SUM(E53:E57)</f>
        <v>0</v>
      </c>
      <c r="F58" s="229" t="s">
        <v>22</v>
      </c>
      <c r="G58" s="230">
        <f>SUM(G53:G57)</f>
        <v>0</v>
      </c>
      <c r="H58" s="231"/>
      <c r="I58" s="232"/>
      <c r="J58" s="167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3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P57"/>
  <sheetViews>
    <sheetView zoomScale="80" zoomScaleNormal="80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B32" sqref="B32"/>
    </sheetView>
  </sheetViews>
  <sheetFormatPr defaultColWidth="8.85546875" defaultRowHeight="15" x14ac:dyDescent="0.25"/>
  <cols>
    <col min="1" max="1" width="14.7109375" style="167" customWidth="1"/>
    <col min="2" max="2" width="13.5703125" style="167" customWidth="1"/>
    <col min="3" max="9" width="11.7109375" style="167" customWidth="1"/>
    <col min="10" max="10" width="27.42578125" style="167" customWidth="1"/>
    <col min="11" max="16384" width="8.85546875" style="167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6">
        <v>46113</v>
      </c>
      <c r="B3" s="77">
        <v>31</v>
      </c>
      <c r="C3" s="77">
        <v>75</v>
      </c>
      <c r="D3" s="77">
        <v>0</v>
      </c>
      <c r="E3" s="77">
        <v>104</v>
      </c>
      <c r="F3" s="77">
        <v>0.02</v>
      </c>
      <c r="G3" s="77">
        <v>0</v>
      </c>
      <c r="H3" s="77">
        <v>0</v>
      </c>
      <c r="I3" s="77"/>
      <c r="J3" s="79"/>
    </row>
    <row r="4" spans="1:10" x14ac:dyDescent="0.25">
      <c r="A4" s="166">
        <f>A3+1</f>
        <v>46114</v>
      </c>
      <c r="B4" s="77">
        <v>32</v>
      </c>
      <c r="C4" s="77">
        <v>75</v>
      </c>
      <c r="D4" s="77">
        <v>0</v>
      </c>
      <c r="E4" s="77">
        <v>106</v>
      </c>
      <c r="F4" s="77">
        <v>0.15</v>
      </c>
      <c r="G4" s="77">
        <v>0</v>
      </c>
      <c r="H4" s="77">
        <v>0</v>
      </c>
      <c r="I4" s="77"/>
      <c r="J4" s="79"/>
    </row>
    <row r="5" spans="1:10" x14ac:dyDescent="0.25">
      <c r="A5" s="166">
        <f t="shared" ref="A5:A32" si="0">A4+1</f>
        <v>46115</v>
      </c>
      <c r="B5" s="77">
        <v>31</v>
      </c>
      <c r="C5" s="77">
        <v>75</v>
      </c>
      <c r="D5" s="77">
        <v>0</v>
      </c>
      <c r="E5" s="77">
        <v>103</v>
      </c>
      <c r="F5" s="77">
        <v>0</v>
      </c>
      <c r="G5" s="77">
        <v>0</v>
      </c>
      <c r="H5" s="77">
        <v>0</v>
      </c>
      <c r="I5" s="77"/>
      <c r="J5" s="79"/>
    </row>
    <row r="6" spans="1:10" x14ac:dyDescent="0.25">
      <c r="A6" s="166">
        <f t="shared" si="0"/>
        <v>46116</v>
      </c>
      <c r="B6" s="77">
        <v>31</v>
      </c>
      <c r="C6" s="77">
        <v>75</v>
      </c>
      <c r="D6" s="77">
        <v>0</v>
      </c>
      <c r="E6" s="77">
        <v>104</v>
      </c>
      <c r="F6" s="77">
        <v>0</v>
      </c>
      <c r="G6" s="77">
        <v>0</v>
      </c>
      <c r="H6" s="77">
        <v>0</v>
      </c>
      <c r="I6" s="87"/>
      <c r="J6" s="79"/>
    </row>
    <row r="7" spans="1:10" x14ac:dyDescent="0.25">
      <c r="A7" s="166">
        <f t="shared" si="0"/>
        <v>46117</v>
      </c>
      <c r="B7" s="77">
        <v>30</v>
      </c>
      <c r="C7" s="77">
        <v>78</v>
      </c>
      <c r="D7" s="77">
        <v>0</v>
      </c>
      <c r="E7" s="77">
        <v>110</v>
      </c>
      <c r="F7" s="77">
        <v>0</v>
      </c>
      <c r="G7" s="77">
        <v>0</v>
      </c>
      <c r="H7" s="77">
        <v>0</v>
      </c>
      <c r="I7" s="77"/>
      <c r="J7" s="79" t="s">
        <v>54</v>
      </c>
    </row>
    <row r="8" spans="1:10" x14ac:dyDescent="0.25">
      <c r="A8" s="166">
        <f t="shared" si="0"/>
        <v>46118</v>
      </c>
      <c r="B8" s="77">
        <v>33</v>
      </c>
      <c r="C8" s="77">
        <v>106</v>
      </c>
      <c r="D8" s="77">
        <v>0</v>
      </c>
      <c r="E8" s="77">
        <v>110</v>
      </c>
      <c r="F8" s="77">
        <v>0</v>
      </c>
      <c r="G8" s="77">
        <v>0</v>
      </c>
      <c r="H8" s="77">
        <v>0</v>
      </c>
      <c r="I8" s="77"/>
      <c r="J8" s="79" t="s">
        <v>55</v>
      </c>
    </row>
    <row r="9" spans="1:10" x14ac:dyDescent="0.25">
      <c r="A9" s="166">
        <f t="shared" si="0"/>
        <v>46119</v>
      </c>
      <c r="B9" s="77">
        <v>33</v>
      </c>
      <c r="C9" s="77">
        <v>125</v>
      </c>
      <c r="D9" s="77">
        <v>2</v>
      </c>
      <c r="E9" s="77">
        <v>183</v>
      </c>
      <c r="F9" s="77">
        <v>0</v>
      </c>
      <c r="G9" s="77">
        <v>0</v>
      </c>
      <c r="H9" s="77">
        <v>0</v>
      </c>
      <c r="I9" s="77"/>
      <c r="J9" s="79"/>
    </row>
    <row r="10" spans="1:10" ht="30" x14ac:dyDescent="0.25">
      <c r="A10" s="166">
        <f t="shared" si="0"/>
        <v>46120</v>
      </c>
      <c r="B10" s="77">
        <v>34</v>
      </c>
      <c r="C10" s="77">
        <v>170</v>
      </c>
      <c r="D10" s="77">
        <v>0</v>
      </c>
      <c r="E10" s="77">
        <v>235</v>
      </c>
      <c r="F10" s="77">
        <v>0</v>
      </c>
      <c r="G10" s="77">
        <v>0</v>
      </c>
      <c r="H10" s="77">
        <v>0</v>
      </c>
      <c r="I10" s="77"/>
      <c r="J10" s="79" t="s">
        <v>56</v>
      </c>
    </row>
    <row r="11" spans="1:10" x14ac:dyDescent="0.25">
      <c r="A11" s="166">
        <f t="shared" si="0"/>
        <v>46121</v>
      </c>
      <c r="B11" s="77">
        <v>33</v>
      </c>
      <c r="C11" s="77">
        <v>224</v>
      </c>
      <c r="D11" s="77">
        <v>0</v>
      </c>
      <c r="E11" s="77">
        <v>268</v>
      </c>
      <c r="F11" s="77">
        <v>0</v>
      </c>
      <c r="G11" s="77">
        <v>0</v>
      </c>
      <c r="H11" s="77">
        <v>0</v>
      </c>
      <c r="I11" s="77"/>
      <c r="J11" s="79" t="s">
        <v>57</v>
      </c>
    </row>
    <row r="12" spans="1:10" x14ac:dyDescent="0.25">
      <c r="A12" s="166">
        <f t="shared" si="0"/>
        <v>46122</v>
      </c>
      <c r="B12" s="77">
        <v>35</v>
      </c>
      <c r="C12" s="77">
        <v>250</v>
      </c>
      <c r="D12" s="77">
        <v>0</v>
      </c>
      <c r="E12" s="77">
        <v>240</v>
      </c>
      <c r="F12" s="77">
        <v>0.17</v>
      </c>
      <c r="G12" s="77">
        <v>0</v>
      </c>
      <c r="H12" s="77">
        <v>0</v>
      </c>
      <c r="I12" s="77"/>
      <c r="J12" s="79"/>
    </row>
    <row r="13" spans="1:10" x14ac:dyDescent="0.25">
      <c r="A13" s="166">
        <f t="shared" si="0"/>
        <v>46123</v>
      </c>
      <c r="B13" s="77">
        <v>36</v>
      </c>
      <c r="C13" s="77">
        <v>229</v>
      </c>
      <c r="D13" s="77">
        <v>0</v>
      </c>
      <c r="E13" s="77">
        <v>239</v>
      </c>
      <c r="F13" s="77">
        <v>0.02</v>
      </c>
      <c r="G13" s="77">
        <v>0</v>
      </c>
      <c r="H13" s="77">
        <v>0</v>
      </c>
      <c r="I13" s="77"/>
      <c r="J13" s="79" t="s">
        <v>58</v>
      </c>
    </row>
    <row r="14" spans="1:10" x14ac:dyDescent="0.25">
      <c r="A14" s="166">
        <f t="shared" si="0"/>
        <v>46124</v>
      </c>
      <c r="B14" s="77">
        <v>33</v>
      </c>
      <c r="C14" s="77">
        <v>200</v>
      </c>
      <c r="D14" s="77">
        <v>0</v>
      </c>
      <c r="E14" s="77">
        <v>226</v>
      </c>
      <c r="F14" s="77">
        <v>0.01</v>
      </c>
      <c r="G14" s="77">
        <v>0</v>
      </c>
      <c r="H14" s="77">
        <v>0</v>
      </c>
      <c r="I14" s="77"/>
      <c r="J14" s="79"/>
    </row>
    <row r="15" spans="1:10" x14ac:dyDescent="0.25">
      <c r="A15" s="166">
        <f t="shared" si="0"/>
        <v>46125</v>
      </c>
      <c r="B15" s="77">
        <v>32</v>
      </c>
      <c r="C15" s="77">
        <v>200</v>
      </c>
      <c r="D15" s="77">
        <v>0</v>
      </c>
      <c r="E15" s="77">
        <v>227</v>
      </c>
      <c r="F15" s="77">
        <v>0</v>
      </c>
      <c r="G15" s="77">
        <v>0</v>
      </c>
      <c r="H15" s="77">
        <v>0</v>
      </c>
      <c r="I15" s="77"/>
      <c r="J15" s="79"/>
    </row>
    <row r="16" spans="1:10" x14ac:dyDescent="0.25">
      <c r="A16" s="166">
        <f t="shared" si="0"/>
        <v>46126</v>
      </c>
      <c r="B16" s="77">
        <v>43</v>
      </c>
      <c r="C16" s="77">
        <v>200</v>
      </c>
      <c r="D16" s="77">
        <v>0</v>
      </c>
      <c r="E16" s="77">
        <v>241</v>
      </c>
      <c r="F16" s="77">
        <v>0</v>
      </c>
      <c r="G16" s="77">
        <v>0</v>
      </c>
      <c r="H16" s="77">
        <v>0</v>
      </c>
      <c r="I16" s="77"/>
      <c r="J16" s="79"/>
    </row>
    <row r="17" spans="1:10" x14ac:dyDescent="0.25">
      <c r="A17" s="166">
        <f t="shared" si="0"/>
        <v>46127</v>
      </c>
      <c r="B17" s="77">
        <v>5</v>
      </c>
      <c r="C17" s="77">
        <v>178</v>
      </c>
      <c r="D17" s="77">
        <v>0</v>
      </c>
      <c r="E17" s="77">
        <v>225</v>
      </c>
      <c r="F17" s="77">
        <v>0.13</v>
      </c>
      <c r="G17" s="77">
        <v>0</v>
      </c>
      <c r="H17" s="77">
        <v>0</v>
      </c>
      <c r="I17" s="77"/>
      <c r="J17" s="79" t="s">
        <v>59</v>
      </c>
    </row>
    <row r="18" spans="1:10" x14ac:dyDescent="0.25">
      <c r="A18" s="166">
        <f t="shared" si="0"/>
        <v>46128</v>
      </c>
      <c r="B18" s="77">
        <v>4</v>
      </c>
      <c r="C18" s="77">
        <v>127</v>
      </c>
      <c r="D18" s="77">
        <v>0</v>
      </c>
      <c r="E18" s="77">
        <v>212</v>
      </c>
      <c r="F18" s="77">
        <v>0.01</v>
      </c>
      <c r="G18" s="77">
        <v>0</v>
      </c>
      <c r="H18" s="77">
        <v>0</v>
      </c>
      <c r="I18" s="77"/>
      <c r="J18" s="79" t="s">
        <v>60</v>
      </c>
    </row>
    <row r="19" spans="1:10" x14ac:dyDescent="0.25">
      <c r="A19" s="166">
        <f t="shared" si="0"/>
        <v>46129</v>
      </c>
      <c r="B19" s="77">
        <v>8</v>
      </c>
      <c r="C19" s="77">
        <v>100</v>
      </c>
      <c r="D19" s="77">
        <v>0</v>
      </c>
      <c r="E19" s="77">
        <v>226</v>
      </c>
      <c r="F19" s="77">
        <v>0</v>
      </c>
      <c r="G19" s="77">
        <v>0</v>
      </c>
      <c r="H19" s="77">
        <v>0</v>
      </c>
      <c r="I19" s="77"/>
      <c r="J19" s="79"/>
    </row>
    <row r="20" spans="1:10" x14ac:dyDescent="0.25">
      <c r="A20" s="166">
        <f t="shared" si="0"/>
        <v>46130</v>
      </c>
      <c r="B20" s="77">
        <v>5</v>
      </c>
      <c r="C20" s="77">
        <v>100</v>
      </c>
      <c r="D20" s="77">
        <v>0</v>
      </c>
      <c r="E20" s="77">
        <v>243</v>
      </c>
      <c r="F20" s="77">
        <v>0</v>
      </c>
      <c r="G20" s="77">
        <v>0</v>
      </c>
      <c r="H20" s="77">
        <v>0</v>
      </c>
      <c r="I20" s="77"/>
      <c r="J20" s="79"/>
    </row>
    <row r="21" spans="1:10" ht="30" x14ac:dyDescent="0.25">
      <c r="A21" s="166">
        <f t="shared" si="0"/>
        <v>46131</v>
      </c>
      <c r="B21" s="77">
        <v>2</v>
      </c>
      <c r="C21" s="77">
        <v>145</v>
      </c>
      <c r="D21" s="77">
        <v>0</v>
      </c>
      <c r="E21" s="77">
        <v>262</v>
      </c>
      <c r="F21" s="77">
        <v>0</v>
      </c>
      <c r="G21" s="77">
        <v>0</v>
      </c>
      <c r="H21" s="77">
        <v>0</v>
      </c>
      <c r="I21" s="77"/>
      <c r="J21" s="79" t="s">
        <v>61</v>
      </c>
    </row>
    <row r="22" spans="1:10" x14ac:dyDescent="0.25">
      <c r="A22" s="166">
        <f t="shared" si="0"/>
        <v>46132</v>
      </c>
      <c r="B22" s="77">
        <v>3</v>
      </c>
      <c r="C22" s="77">
        <v>219</v>
      </c>
      <c r="D22" s="77">
        <v>0</v>
      </c>
      <c r="E22" s="77">
        <v>283</v>
      </c>
      <c r="F22" s="77">
        <v>0.05</v>
      </c>
      <c r="G22" s="77">
        <v>0</v>
      </c>
      <c r="H22" s="77">
        <v>0</v>
      </c>
      <c r="I22" s="77"/>
      <c r="J22" s="79" t="s">
        <v>62</v>
      </c>
    </row>
    <row r="23" spans="1:10" x14ac:dyDescent="0.25">
      <c r="A23" s="166">
        <f t="shared" si="0"/>
        <v>46133</v>
      </c>
      <c r="B23" s="77">
        <v>2</v>
      </c>
      <c r="C23" s="77">
        <v>250</v>
      </c>
      <c r="D23" s="77">
        <v>0</v>
      </c>
      <c r="E23" s="77">
        <v>294</v>
      </c>
      <c r="F23" s="77">
        <v>0.02</v>
      </c>
      <c r="G23" s="77">
        <v>0</v>
      </c>
      <c r="H23" s="77">
        <v>0</v>
      </c>
      <c r="I23" s="77"/>
      <c r="J23" s="79"/>
    </row>
    <row r="24" spans="1:10" x14ac:dyDescent="0.25">
      <c r="A24" s="166">
        <f t="shared" si="0"/>
        <v>46134</v>
      </c>
      <c r="B24" s="77">
        <v>3</v>
      </c>
      <c r="C24" s="77">
        <v>217</v>
      </c>
      <c r="D24" s="77">
        <v>0</v>
      </c>
      <c r="E24" s="77">
        <v>300</v>
      </c>
      <c r="F24" s="77">
        <v>0</v>
      </c>
      <c r="G24" s="77">
        <v>0</v>
      </c>
      <c r="H24" s="77">
        <v>0</v>
      </c>
      <c r="I24" s="77"/>
      <c r="J24" s="79" t="s">
        <v>63</v>
      </c>
    </row>
    <row r="25" spans="1:10" x14ac:dyDescent="0.25">
      <c r="A25" s="166">
        <f t="shared" si="0"/>
        <v>46135</v>
      </c>
      <c r="B25" s="77">
        <v>7</v>
      </c>
      <c r="C25" s="77">
        <v>200</v>
      </c>
      <c r="D25" s="77">
        <v>0</v>
      </c>
      <c r="E25" s="77">
        <v>320</v>
      </c>
      <c r="F25" s="77">
        <v>0</v>
      </c>
      <c r="G25" s="77">
        <v>0</v>
      </c>
      <c r="H25" s="77">
        <v>0</v>
      </c>
      <c r="I25" s="77"/>
      <c r="J25" s="79"/>
    </row>
    <row r="26" spans="1:10" x14ac:dyDescent="0.25">
      <c r="A26" s="166">
        <f t="shared" si="0"/>
        <v>46136</v>
      </c>
      <c r="B26" s="77">
        <v>3</v>
      </c>
      <c r="C26" s="77">
        <v>208</v>
      </c>
      <c r="D26" s="77">
        <v>0</v>
      </c>
      <c r="E26" s="77">
        <v>337</v>
      </c>
      <c r="F26" s="77">
        <v>0</v>
      </c>
      <c r="G26" s="77">
        <v>0</v>
      </c>
      <c r="H26" s="77">
        <v>0</v>
      </c>
      <c r="I26" s="77"/>
      <c r="J26" s="237" t="s">
        <v>64</v>
      </c>
    </row>
    <row r="27" spans="1:10" x14ac:dyDescent="0.25">
      <c r="A27" s="166">
        <f t="shared" si="0"/>
        <v>46137</v>
      </c>
      <c r="B27" s="77">
        <v>4</v>
      </c>
      <c r="C27" s="77">
        <v>225</v>
      </c>
      <c r="D27" s="77">
        <v>0</v>
      </c>
      <c r="E27" s="77">
        <v>343</v>
      </c>
      <c r="F27" s="77">
        <v>0</v>
      </c>
      <c r="G27" s="77">
        <v>0</v>
      </c>
      <c r="H27" s="77">
        <v>0</v>
      </c>
      <c r="I27" s="77"/>
      <c r="J27" s="79"/>
    </row>
    <row r="28" spans="1:10" x14ac:dyDescent="0.25">
      <c r="A28" s="166">
        <f t="shared" si="0"/>
        <v>46138</v>
      </c>
      <c r="B28" s="77">
        <v>4</v>
      </c>
      <c r="C28" s="77">
        <v>234</v>
      </c>
      <c r="D28" s="77">
        <v>0</v>
      </c>
      <c r="E28" s="77">
        <v>325</v>
      </c>
      <c r="F28" s="77">
        <v>0</v>
      </c>
      <c r="G28" s="77">
        <v>0</v>
      </c>
      <c r="H28" s="77">
        <v>0</v>
      </c>
      <c r="I28" s="77"/>
      <c r="J28" s="79" t="s">
        <v>65</v>
      </c>
    </row>
    <row r="29" spans="1:10" x14ac:dyDescent="0.25">
      <c r="A29" s="166">
        <f t="shared" si="0"/>
        <v>46139</v>
      </c>
      <c r="B29" s="77">
        <v>4</v>
      </c>
      <c r="C29" s="77">
        <v>267</v>
      </c>
      <c r="D29" s="77">
        <v>2</v>
      </c>
      <c r="E29" s="77">
        <v>364</v>
      </c>
      <c r="F29" s="77">
        <v>0</v>
      </c>
      <c r="G29" s="77">
        <v>0</v>
      </c>
      <c r="H29" s="77">
        <v>0</v>
      </c>
      <c r="I29" s="77"/>
      <c r="J29" s="79" t="s">
        <v>66</v>
      </c>
    </row>
    <row r="30" spans="1:10" ht="30" x14ac:dyDescent="0.25">
      <c r="A30" s="166">
        <f t="shared" si="0"/>
        <v>46140</v>
      </c>
      <c r="B30" s="77">
        <v>6</v>
      </c>
      <c r="C30" s="77">
        <v>353</v>
      </c>
      <c r="D30" s="77">
        <v>0</v>
      </c>
      <c r="E30" s="77">
        <v>445</v>
      </c>
      <c r="F30" s="77">
        <v>0</v>
      </c>
      <c r="G30" s="77">
        <v>0</v>
      </c>
      <c r="H30" s="77">
        <v>0</v>
      </c>
      <c r="I30" s="77"/>
      <c r="J30" s="79" t="s">
        <v>67</v>
      </c>
    </row>
    <row r="31" spans="1:10" x14ac:dyDescent="0.25">
      <c r="A31" s="166">
        <f t="shared" si="0"/>
        <v>46141</v>
      </c>
      <c r="B31" s="77">
        <v>0</v>
      </c>
      <c r="C31" s="77">
        <v>400</v>
      </c>
      <c r="D31" s="77">
        <v>0</v>
      </c>
      <c r="E31" s="77">
        <v>498</v>
      </c>
      <c r="F31" s="77">
        <v>0</v>
      </c>
      <c r="G31" s="77">
        <v>0</v>
      </c>
      <c r="H31" s="77">
        <v>0</v>
      </c>
      <c r="I31" s="77"/>
      <c r="J31" s="79"/>
    </row>
    <row r="32" spans="1:10" ht="15.75" thickBot="1" x14ac:dyDescent="0.3">
      <c r="A32" s="166">
        <f t="shared" si="0"/>
        <v>46142</v>
      </c>
      <c r="B32" s="77">
        <v>0</v>
      </c>
      <c r="C32" s="77">
        <v>400</v>
      </c>
      <c r="D32" s="77">
        <v>0</v>
      </c>
      <c r="E32" s="77">
        <v>512</v>
      </c>
      <c r="F32" s="77">
        <v>0</v>
      </c>
      <c r="G32" s="77">
        <v>0</v>
      </c>
      <c r="H32" s="77">
        <v>0</v>
      </c>
      <c r="I32" s="77"/>
      <c r="J32" s="79"/>
    </row>
    <row r="33" spans="1:16" s="93" customFormat="1" ht="15.75" thickTop="1" x14ac:dyDescent="0.25">
      <c r="A33" s="103" t="s">
        <v>8</v>
      </c>
      <c r="B33" s="168">
        <f>SUM(B3:B32)</f>
        <v>527</v>
      </c>
      <c r="C33" s="168">
        <f t="shared" ref="C33:H33" si="1">SUM(C3:C32)</f>
        <v>5705</v>
      </c>
      <c r="D33" s="168">
        <f t="shared" si="1"/>
        <v>4</v>
      </c>
      <c r="E33" s="168">
        <f t="shared" si="1"/>
        <v>7685</v>
      </c>
      <c r="F33" s="169">
        <f t="shared" si="1"/>
        <v>0.58000000000000007</v>
      </c>
      <c r="G33" s="169">
        <f t="shared" si="1"/>
        <v>0</v>
      </c>
      <c r="H33" s="168">
        <f t="shared" si="1"/>
        <v>0</v>
      </c>
      <c r="I33" s="169"/>
      <c r="J33" s="167"/>
    </row>
    <row r="34" spans="1:16" s="93" customFormat="1" x14ac:dyDescent="0.25">
      <c r="A34" s="105" t="s">
        <v>9</v>
      </c>
      <c r="B34" s="106">
        <f>SUM(B33+'Mar 2026'!B35)</f>
        <v>16437</v>
      </c>
      <c r="C34" s="106">
        <f>SUM(C33+'Mar 2026'!C35)</f>
        <v>7253</v>
      </c>
      <c r="D34" s="106">
        <f>SUM(D33+'Mar 2026'!D35)</f>
        <v>8198</v>
      </c>
      <c r="E34" s="106">
        <f>SUM(E33+'Mar 2026'!E35)</f>
        <v>17313</v>
      </c>
      <c r="F34" s="107">
        <f>SUM(F33+'Mar 2026'!F35)</f>
        <v>7.8600000000000012</v>
      </c>
      <c r="G34" s="107">
        <f>SUM(G33+'Mar 2026'!G35)</f>
        <v>2.5</v>
      </c>
      <c r="H34" s="106">
        <f>SUM(H33+'Mar 2026'!H35)</f>
        <v>33365</v>
      </c>
      <c r="I34" s="107"/>
    </row>
    <row r="35" spans="1:16" x14ac:dyDescent="0.25">
      <c r="J35" s="93"/>
    </row>
    <row r="36" spans="1:16" x14ac:dyDescent="0.25">
      <c r="A36" s="167" t="s">
        <v>10</v>
      </c>
      <c r="B36" s="172">
        <f>SUM(B3:B33)*1.9835</f>
        <v>2090.6089999999999</v>
      </c>
      <c r="C36" s="172">
        <f>SUM(C3:C33)*1.9835</f>
        <v>22631.735000000001</v>
      </c>
      <c r="D36" s="172">
        <f>SUM(D3:D33)*1.9835</f>
        <v>15.868</v>
      </c>
      <c r="E36" s="172">
        <f>SUM(E3:E33)*1.9835</f>
        <v>30486.395</v>
      </c>
      <c r="F36" s="172"/>
      <c r="G36" s="172"/>
      <c r="H36" s="172"/>
      <c r="J36" s="173"/>
    </row>
    <row r="38" spans="1:16" x14ac:dyDescent="0.25">
      <c r="A38" s="167" t="s">
        <v>24</v>
      </c>
      <c r="B38" s="172">
        <f>SUM(B36+'Mar 2026'!B39)</f>
        <v>33648.093999999997</v>
      </c>
      <c r="C38" s="172">
        <f>SUM(C36+'Mar 2026'!C39)</f>
        <v>25702.192999999999</v>
      </c>
      <c r="D38" s="172">
        <f>SUM(D36+'Mar 2026'!D39)</f>
        <v>16268.667000000001</v>
      </c>
      <c r="E38" s="172">
        <f>SUM(E36+'Mar 2026'!E39)</f>
        <v>49583.532999999996</v>
      </c>
      <c r="F38" s="172"/>
      <c r="G38" s="172"/>
      <c r="H38" s="172"/>
      <c r="J38" s="173"/>
    </row>
    <row r="39" spans="1:16" x14ac:dyDescent="0.25">
      <c r="C39" s="172"/>
      <c r="D39" s="172"/>
      <c r="E39" s="172"/>
      <c r="F39" s="172"/>
      <c r="G39" s="172"/>
      <c r="H39" s="172"/>
      <c r="J39" s="173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5"/>
      <c r="K40" s="175"/>
      <c r="L40" s="175"/>
      <c r="M40" s="175"/>
      <c r="N40" s="175"/>
      <c r="O40" s="176"/>
      <c r="P40" s="175"/>
    </row>
    <row r="41" spans="1:16" ht="16.899999999999999" customHeight="1" x14ac:dyDescent="0.25">
      <c r="A41" s="174"/>
      <c r="B41" s="174"/>
      <c r="C41" s="174"/>
      <c r="D41" s="174"/>
      <c r="E41" s="174"/>
      <c r="F41" s="174"/>
      <c r="G41" s="174"/>
      <c r="H41" s="249"/>
      <c r="I41" s="250"/>
      <c r="J41" s="175"/>
      <c r="K41" s="175"/>
      <c r="L41" s="175"/>
      <c r="M41" s="175"/>
      <c r="N41" s="175"/>
      <c r="O41" s="176"/>
      <c r="P41" s="175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7"/>
      <c r="M42" s="177"/>
      <c r="N42" s="177"/>
      <c r="O42" s="178"/>
      <c r="P42" s="177"/>
    </row>
    <row r="43" spans="1:16" ht="15.6" customHeight="1" x14ac:dyDescent="0.25">
      <c r="A43" s="179" t="s">
        <v>17</v>
      </c>
      <c r="B43" s="180"/>
      <c r="C43" s="181"/>
      <c r="D43" s="182"/>
      <c r="E43" s="182"/>
      <c r="F43" s="183"/>
      <c r="G43" s="184"/>
      <c r="H43" s="185"/>
      <c r="I43" s="186"/>
      <c r="J43" s="177"/>
      <c r="K43" s="177"/>
      <c r="L43" s="177"/>
      <c r="M43" s="177"/>
      <c r="N43" s="177"/>
      <c r="O43" s="178"/>
    </row>
    <row r="44" spans="1:16" x14ac:dyDescent="0.25">
      <c r="A44" s="187"/>
      <c r="B44" s="188"/>
      <c r="C44" s="181"/>
      <c r="D44" s="182"/>
      <c r="E44" s="182"/>
      <c r="F44" s="189"/>
      <c r="G44" s="184">
        <f>SUM(24-E44)</f>
        <v>24</v>
      </c>
      <c r="H44" s="185">
        <f>SUM(D44+F44)</f>
        <v>0</v>
      </c>
      <c r="I44" s="186">
        <f>SUM(D44/24*E44+H44/24*G44)</f>
        <v>0</v>
      </c>
      <c r="J44" s="177"/>
      <c r="K44" s="177"/>
      <c r="L44" s="177"/>
      <c r="M44" s="177"/>
      <c r="N44" s="177"/>
      <c r="O44" s="178"/>
    </row>
    <row r="45" spans="1:16" x14ac:dyDescent="0.25">
      <c r="A45" s="187"/>
      <c r="B45" s="188"/>
      <c r="C45" s="181"/>
      <c r="D45" s="182"/>
      <c r="E45" s="182"/>
      <c r="F45" s="189"/>
      <c r="G45" s="184">
        <f>SUM(24-E45)</f>
        <v>24</v>
      </c>
      <c r="H45" s="185">
        <f>SUM(D45+F45)</f>
        <v>0</v>
      </c>
      <c r="I45" s="186">
        <f>SUM(D45/24*E45+H45/24*G45)</f>
        <v>0</v>
      </c>
      <c r="J45" s="177"/>
      <c r="K45" s="177"/>
      <c r="L45" s="177"/>
      <c r="M45" s="177"/>
      <c r="N45" s="177"/>
      <c r="O45" s="178"/>
    </row>
    <row r="46" spans="1:16" x14ac:dyDescent="0.25">
      <c r="A46" s="187"/>
      <c r="B46" s="188"/>
      <c r="C46" s="181"/>
      <c r="D46" s="182"/>
      <c r="E46" s="182"/>
      <c r="F46" s="189"/>
      <c r="G46" s="184">
        <f>SUM(24-E46)</f>
        <v>24</v>
      </c>
      <c r="H46" s="185">
        <f>SUM(D46+F46)</f>
        <v>0</v>
      </c>
      <c r="I46" s="186">
        <f>SUM(D46/24*E46+H46/24*G46)</f>
        <v>0</v>
      </c>
      <c r="J46" s="177"/>
      <c r="K46" s="177"/>
      <c r="L46" s="177"/>
      <c r="M46" s="177"/>
      <c r="N46" s="177"/>
      <c r="O46" s="178"/>
    </row>
    <row r="47" spans="1:16" x14ac:dyDescent="0.25">
      <c r="A47" s="187"/>
      <c r="B47" s="188"/>
      <c r="C47" s="181"/>
      <c r="D47" s="182"/>
      <c r="E47" s="182"/>
      <c r="F47" s="189"/>
      <c r="G47" s="184">
        <f>SUM(24-E47)</f>
        <v>24</v>
      </c>
      <c r="H47" s="185">
        <f>SUM(D47+F47)</f>
        <v>0</v>
      </c>
      <c r="I47" s="186">
        <f>SUM(D47/24*E47+H47/24*G47)</f>
        <v>0</v>
      </c>
      <c r="J47" s="177"/>
      <c r="K47" s="177"/>
      <c r="L47" s="177"/>
      <c r="M47" s="177"/>
      <c r="N47" s="177"/>
      <c r="O47" s="178"/>
    </row>
    <row r="48" spans="1:16" x14ac:dyDescent="0.25">
      <c r="A48" s="187"/>
      <c r="B48" s="188"/>
      <c r="C48" s="181"/>
      <c r="D48" s="182"/>
      <c r="E48" s="182"/>
      <c r="F48" s="189"/>
      <c r="G48" s="184">
        <f>SUM(24-E48)</f>
        <v>24</v>
      </c>
      <c r="H48" s="185">
        <f>SUM(D48+F48)</f>
        <v>0</v>
      </c>
      <c r="I48" s="186">
        <f>SUM(D48/24*E48+H48/24*G48)</f>
        <v>0</v>
      </c>
      <c r="J48" s="177"/>
      <c r="K48" s="177"/>
      <c r="L48" s="177"/>
      <c r="M48" s="177"/>
      <c r="N48" s="177"/>
      <c r="O48" s="178"/>
    </row>
    <row r="49" spans="1:16" ht="13.15" customHeight="1" x14ac:dyDescent="0.25">
      <c r="A49" s="190"/>
      <c r="B49" s="190"/>
      <c r="C49" s="191"/>
      <c r="D49" s="191"/>
      <c r="E49" s="191"/>
      <c r="F49" s="191"/>
      <c r="G49" s="191"/>
      <c r="H49" s="192"/>
      <c r="I49" s="177"/>
      <c r="J49" s="177"/>
      <c r="K49" s="177"/>
      <c r="L49" s="177"/>
      <c r="M49" s="177"/>
      <c r="N49" s="177"/>
      <c r="O49" s="178"/>
      <c r="P49" s="177"/>
    </row>
    <row r="50" spans="1:16" ht="15.75" thickBot="1" x14ac:dyDescent="0.3">
      <c r="A50" s="193" t="s">
        <v>18</v>
      </c>
      <c r="B50" s="193"/>
      <c r="C50" s="193"/>
      <c r="D50" s="193"/>
      <c r="E50" s="193"/>
      <c r="F50" s="194"/>
      <c r="G50" s="195"/>
      <c r="H50" s="192"/>
      <c r="I50" s="177"/>
      <c r="J50" s="177"/>
      <c r="K50" s="177"/>
      <c r="L50" s="177"/>
      <c r="M50" s="177"/>
      <c r="N50" s="177"/>
      <c r="O50" s="178"/>
      <c r="P50" s="177"/>
    </row>
    <row r="51" spans="1:16" ht="26.25" x14ac:dyDescent="0.25">
      <c r="A51" s="196" t="s">
        <v>19</v>
      </c>
      <c r="B51" s="197"/>
      <c r="C51" s="198" t="s">
        <v>13</v>
      </c>
      <c r="D51" s="199" t="s">
        <v>14</v>
      </c>
      <c r="E51" s="199" t="s">
        <v>15</v>
      </c>
      <c r="F51" s="200" t="s">
        <v>16</v>
      </c>
      <c r="G51" s="201" t="s">
        <v>20</v>
      </c>
      <c r="H51" s="202"/>
      <c r="I51" s="203"/>
      <c r="J51" s="204"/>
      <c r="K51" s="204"/>
    </row>
    <row r="52" spans="1:16" x14ac:dyDescent="0.25">
      <c r="A52" s="205"/>
      <c r="B52" s="206"/>
      <c r="C52" s="207"/>
      <c r="D52" s="208"/>
      <c r="E52" s="209"/>
      <c r="F52" s="210"/>
      <c r="G52" s="211">
        <f>SUM(D52/24*E52)</f>
        <v>0</v>
      </c>
      <c r="H52" s="212"/>
      <c r="I52" s="213"/>
      <c r="J52" s="214"/>
      <c r="K52" s="214"/>
    </row>
    <row r="53" spans="1:16" x14ac:dyDescent="0.25">
      <c r="A53" s="215"/>
      <c r="B53" s="216"/>
      <c r="C53" s="217"/>
      <c r="D53" s="218"/>
      <c r="E53" s="209"/>
      <c r="F53" s="219"/>
      <c r="G53" s="220">
        <f>SUM(D53/24*E53)</f>
        <v>0</v>
      </c>
      <c r="H53" s="212"/>
      <c r="I53" s="213"/>
    </row>
    <row r="54" spans="1:16" x14ac:dyDescent="0.25">
      <c r="A54" s="215"/>
      <c r="B54" s="216"/>
      <c r="C54" s="217"/>
      <c r="D54" s="218"/>
      <c r="E54" s="209"/>
      <c r="F54" s="221"/>
      <c r="G54" s="220">
        <f>SUM(D54/24*E54)</f>
        <v>0</v>
      </c>
      <c r="H54" s="212"/>
      <c r="I54" s="213"/>
    </row>
    <row r="55" spans="1:16" x14ac:dyDescent="0.25">
      <c r="A55" s="215"/>
      <c r="B55" s="216"/>
      <c r="C55" s="217"/>
      <c r="D55" s="218"/>
      <c r="E55" s="209"/>
      <c r="F55" s="221"/>
      <c r="G55" s="220">
        <f>SUM(D55/24*E55)</f>
        <v>0</v>
      </c>
      <c r="H55" s="212"/>
      <c r="I55" s="213"/>
    </row>
    <row r="56" spans="1:16" ht="15.75" thickBot="1" x14ac:dyDescent="0.3">
      <c r="A56" s="222"/>
      <c r="B56" s="223"/>
      <c r="C56" s="224"/>
      <c r="D56" s="225"/>
      <c r="E56" s="226"/>
      <c r="F56" s="225"/>
      <c r="G56" s="227">
        <f>SUM(D56/24*E56)</f>
        <v>0</v>
      </c>
      <c r="H56" s="212"/>
      <c r="I56" s="213"/>
    </row>
    <row r="57" spans="1:16" s="233" customFormat="1" ht="30" customHeight="1" x14ac:dyDescent="0.25">
      <c r="A57" s="253" t="s">
        <v>21</v>
      </c>
      <c r="B57" s="254"/>
      <c r="C57" s="254"/>
      <c r="D57" s="255"/>
      <c r="E57" s="228">
        <f>SUM(E52:E56)</f>
        <v>0</v>
      </c>
      <c r="F57" s="229" t="s">
        <v>22</v>
      </c>
      <c r="G57" s="230">
        <f>SUM(G52:G56)</f>
        <v>0</v>
      </c>
      <c r="H57" s="231"/>
      <c r="I57" s="232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3" sqref="B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46082</v>
      </c>
      <c r="B3" s="77">
        <v>256</v>
      </c>
      <c r="C3" s="77">
        <v>0</v>
      </c>
      <c r="D3" s="77">
        <v>0</v>
      </c>
      <c r="E3" s="77">
        <v>38</v>
      </c>
      <c r="F3" s="77">
        <v>0</v>
      </c>
      <c r="G3" s="77">
        <v>0</v>
      </c>
      <c r="H3" s="77">
        <v>0</v>
      </c>
      <c r="I3" s="77"/>
      <c r="J3" s="76"/>
    </row>
    <row r="4" spans="1:10" x14ac:dyDescent="0.25">
      <c r="A4" s="7">
        <f>A3+1</f>
        <v>46083</v>
      </c>
      <c r="B4" s="77">
        <v>220</v>
      </c>
      <c r="C4" s="77">
        <v>0</v>
      </c>
      <c r="D4" s="77">
        <v>0</v>
      </c>
      <c r="E4" s="77">
        <v>38</v>
      </c>
      <c r="F4" s="77">
        <v>0.1</v>
      </c>
      <c r="G4" s="77">
        <v>0</v>
      </c>
      <c r="H4" s="77">
        <v>0</v>
      </c>
      <c r="I4" s="77"/>
      <c r="J4" s="76"/>
    </row>
    <row r="5" spans="1:10" x14ac:dyDescent="0.25">
      <c r="A5" s="7">
        <f>A4+1</f>
        <v>46084</v>
      </c>
      <c r="B5" s="77">
        <v>178</v>
      </c>
      <c r="C5" s="77">
        <v>0</v>
      </c>
      <c r="D5" s="77">
        <v>0</v>
      </c>
      <c r="E5" s="77">
        <v>38</v>
      </c>
      <c r="F5" s="77">
        <v>0</v>
      </c>
      <c r="G5" s="77">
        <v>0</v>
      </c>
      <c r="H5" s="77">
        <v>0</v>
      </c>
      <c r="I5" s="77"/>
      <c r="J5" s="76"/>
    </row>
    <row r="6" spans="1:10" x14ac:dyDescent="0.25">
      <c r="A6" s="7">
        <f>A5+1</f>
        <v>46085</v>
      </c>
      <c r="B6" s="77">
        <v>148</v>
      </c>
      <c r="C6" s="77">
        <v>0</v>
      </c>
      <c r="D6" s="77">
        <v>0</v>
      </c>
      <c r="E6" s="77">
        <v>38</v>
      </c>
      <c r="F6" s="77">
        <v>0.08</v>
      </c>
      <c r="G6" s="77">
        <v>0</v>
      </c>
      <c r="H6" s="77">
        <v>0</v>
      </c>
      <c r="I6" s="77"/>
      <c r="J6" s="76"/>
    </row>
    <row r="7" spans="1:10" x14ac:dyDescent="0.25">
      <c r="A7" s="7">
        <f t="shared" ref="A7:A33" si="0">A6+1</f>
        <v>46086</v>
      </c>
      <c r="B7" s="77">
        <v>160</v>
      </c>
      <c r="C7" s="77">
        <v>0</v>
      </c>
      <c r="D7" s="77">
        <v>0</v>
      </c>
      <c r="E7" s="77">
        <v>38</v>
      </c>
      <c r="F7" s="77">
        <v>7.0000000000000007E-2</v>
      </c>
      <c r="G7" s="77">
        <v>0</v>
      </c>
      <c r="H7" s="77">
        <v>0</v>
      </c>
      <c r="I7" s="77"/>
      <c r="J7" s="76"/>
    </row>
    <row r="8" spans="1:10" x14ac:dyDescent="0.25">
      <c r="A8" s="7">
        <f t="shared" si="0"/>
        <v>46087</v>
      </c>
      <c r="B8" s="77">
        <v>158</v>
      </c>
      <c r="C8" s="77">
        <v>0</v>
      </c>
      <c r="D8" s="77">
        <v>0</v>
      </c>
      <c r="E8" s="77">
        <v>38</v>
      </c>
      <c r="F8" s="77">
        <v>0.01</v>
      </c>
      <c r="G8" s="77">
        <v>0</v>
      </c>
      <c r="H8" s="77">
        <v>0</v>
      </c>
      <c r="I8" s="77"/>
      <c r="J8" s="76"/>
    </row>
    <row r="9" spans="1:10" x14ac:dyDescent="0.25">
      <c r="A9" s="7">
        <f t="shared" si="0"/>
        <v>46088</v>
      </c>
      <c r="B9" s="77">
        <v>148</v>
      </c>
      <c r="C9" s="77">
        <v>0</v>
      </c>
      <c r="D9" s="77">
        <v>0</v>
      </c>
      <c r="E9" s="77">
        <v>37</v>
      </c>
      <c r="F9" s="77">
        <v>0</v>
      </c>
      <c r="G9" s="77">
        <v>0</v>
      </c>
      <c r="H9" s="77">
        <v>0</v>
      </c>
      <c r="I9" s="77"/>
      <c r="J9" s="76"/>
    </row>
    <row r="10" spans="1:10" x14ac:dyDescent="0.25">
      <c r="A10" s="7">
        <f t="shared" si="0"/>
        <v>46089</v>
      </c>
      <c r="B10" s="77">
        <v>137</v>
      </c>
      <c r="C10" s="77">
        <v>0</v>
      </c>
      <c r="D10" s="77">
        <v>0</v>
      </c>
      <c r="E10" s="77">
        <v>37</v>
      </c>
      <c r="F10" s="77">
        <v>0</v>
      </c>
      <c r="G10" s="77">
        <v>0</v>
      </c>
      <c r="H10" s="77">
        <v>0</v>
      </c>
      <c r="I10" s="77"/>
      <c r="J10" s="76"/>
    </row>
    <row r="11" spans="1:10" x14ac:dyDescent="0.25">
      <c r="A11" s="7">
        <f t="shared" si="0"/>
        <v>46090</v>
      </c>
      <c r="B11" s="77">
        <v>128</v>
      </c>
      <c r="C11" s="77">
        <v>0</v>
      </c>
      <c r="D11" s="77">
        <v>0</v>
      </c>
      <c r="E11" s="77">
        <v>37</v>
      </c>
      <c r="F11" s="77" t="s">
        <v>30</v>
      </c>
      <c r="G11" s="77">
        <v>0</v>
      </c>
      <c r="H11" s="77">
        <v>0</v>
      </c>
      <c r="I11" s="77"/>
      <c r="J11" s="76"/>
    </row>
    <row r="12" spans="1:10" x14ac:dyDescent="0.25">
      <c r="A12" s="7">
        <f t="shared" si="0"/>
        <v>46091</v>
      </c>
      <c r="B12" s="77">
        <v>123</v>
      </c>
      <c r="C12" s="77">
        <v>0</v>
      </c>
      <c r="D12" s="77">
        <v>0</v>
      </c>
      <c r="E12" s="77">
        <v>37</v>
      </c>
      <c r="F12" s="77">
        <v>0</v>
      </c>
      <c r="G12" s="77">
        <v>0</v>
      </c>
      <c r="H12" s="77">
        <v>0</v>
      </c>
      <c r="I12" s="77"/>
      <c r="J12" s="76"/>
    </row>
    <row r="13" spans="1:10" x14ac:dyDescent="0.25">
      <c r="A13" s="7">
        <f t="shared" si="0"/>
        <v>46092</v>
      </c>
      <c r="B13" s="77">
        <v>113</v>
      </c>
      <c r="C13" s="77">
        <v>0</v>
      </c>
      <c r="D13" s="77">
        <v>0</v>
      </c>
      <c r="E13" s="77">
        <v>37</v>
      </c>
      <c r="F13" s="77">
        <v>0</v>
      </c>
      <c r="G13" s="77">
        <v>0</v>
      </c>
      <c r="H13" s="77">
        <v>0</v>
      </c>
      <c r="I13" s="77"/>
      <c r="J13" s="76"/>
    </row>
    <row r="14" spans="1:10" x14ac:dyDescent="0.25">
      <c r="A14" s="7">
        <f t="shared" si="0"/>
        <v>46093</v>
      </c>
      <c r="B14" s="77">
        <v>109</v>
      </c>
      <c r="C14" s="77">
        <v>0</v>
      </c>
      <c r="D14" s="77">
        <v>0</v>
      </c>
      <c r="E14" s="77">
        <v>36</v>
      </c>
      <c r="F14" s="77">
        <v>0</v>
      </c>
      <c r="G14" s="77">
        <v>0</v>
      </c>
      <c r="H14" s="77">
        <v>0</v>
      </c>
      <c r="I14" s="77"/>
      <c r="J14" s="76"/>
    </row>
    <row r="15" spans="1:10" x14ac:dyDescent="0.25">
      <c r="A15" s="7">
        <f t="shared" si="0"/>
        <v>46094</v>
      </c>
      <c r="B15" s="77">
        <v>110</v>
      </c>
      <c r="C15" s="77">
        <v>0</v>
      </c>
      <c r="D15" s="77">
        <v>0</v>
      </c>
      <c r="E15" s="77">
        <v>36</v>
      </c>
      <c r="F15" s="77">
        <v>0</v>
      </c>
      <c r="G15" s="77">
        <v>0</v>
      </c>
      <c r="H15" s="77">
        <v>0</v>
      </c>
      <c r="I15" s="77"/>
      <c r="J15" s="76"/>
    </row>
    <row r="16" spans="1:10" x14ac:dyDescent="0.25">
      <c r="A16" s="7">
        <f t="shared" si="0"/>
        <v>46095</v>
      </c>
      <c r="B16" s="77">
        <v>68</v>
      </c>
      <c r="C16" s="77">
        <v>0</v>
      </c>
      <c r="D16" s="77">
        <v>0</v>
      </c>
      <c r="E16" s="77">
        <v>36</v>
      </c>
      <c r="F16" s="77">
        <v>0</v>
      </c>
      <c r="G16" s="77">
        <v>0</v>
      </c>
      <c r="H16" s="77">
        <v>0</v>
      </c>
      <c r="I16" s="77"/>
      <c r="J16" s="76"/>
    </row>
    <row r="17" spans="1:10" x14ac:dyDescent="0.25">
      <c r="A17" s="7">
        <f t="shared" si="0"/>
        <v>46096</v>
      </c>
      <c r="B17" s="77">
        <v>94</v>
      </c>
      <c r="C17" s="77">
        <v>0</v>
      </c>
      <c r="D17" s="77">
        <v>0</v>
      </c>
      <c r="E17" s="77">
        <v>36</v>
      </c>
      <c r="F17" s="77">
        <v>0</v>
      </c>
      <c r="G17" s="77">
        <v>0</v>
      </c>
      <c r="H17" s="77">
        <v>0</v>
      </c>
      <c r="I17" s="77"/>
      <c r="J17" s="76"/>
    </row>
    <row r="18" spans="1:10" x14ac:dyDescent="0.25">
      <c r="A18" s="7">
        <f t="shared" si="0"/>
        <v>46097</v>
      </c>
      <c r="B18" s="77">
        <v>99</v>
      </c>
      <c r="C18" s="77">
        <v>9</v>
      </c>
      <c r="D18" s="77">
        <v>0</v>
      </c>
      <c r="E18" s="77">
        <v>36</v>
      </c>
      <c r="F18" s="77">
        <v>0</v>
      </c>
      <c r="G18" s="77">
        <v>0</v>
      </c>
      <c r="H18" s="77">
        <v>0</v>
      </c>
      <c r="I18" s="77"/>
      <c r="J18" s="76" t="s">
        <v>51</v>
      </c>
    </row>
    <row r="19" spans="1:10" x14ac:dyDescent="0.25">
      <c r="A19" s="7">
        <f t="shared" si="0"/>
        <v>46098</v>
      </c>
      <c r="B19" s="77">
        <v>100</v>
      </c>
      <c r="C19" s="77">
        <v>25</v>
      </c>
      <c r="D19" s="77">
        <v>0</v>
      </c>
      <c r="E19" s="77">
        <v>47</v>
      </c>
      <c r="F19" s="77">
        <v>0</v>
      </c>
      <c r="G19" s="77">
        <v>0</v>
      </c>
      <c r="H19" s="77">
        <v>0</v>
      </c>
      <c r="I19" s="77"/>
      <c r="J19" s="76"/>
    </row>
    <row r="20" spans="1:10" x14ac:dyDescent="0.25">
      <c r="A20" s="7">
        <f t="shared" si="0"/>
        <v>46099</v>
      </c>
      <c r="B20" s="77">
        <v>101</v>
      </c>
      <c r="C20" s="77">
        <v>25</v>
      </c>
      <c r="D20" s="77">
        <v>0</v>
      </c>
      <c r="E20" s="77">
        <v>34</v>
      </c>
      <c r="F20" s="77">
        <v>0</v>
      </c>
      <c r="G20" s="77">
        <v>0</v>
      </c>
      <c r="H20" s="77">
        <v>0</v>
      </c>
      <c r="I20" s="77"/>
      <c r="J20" s="76"/>
    </row>
    <row r="21" spans="1:10" x14ac:dyDescent="0.25">
      <c r="A21" s="7">
        <f t="shared" si="0"/>
        <v>46100</v>
      </c>
      <c r="B21" s="77">
        <v>103</v>
      </c>
      <c r="C21" s="77">
        <v>25</v>
      </c>
      <c r="D21" s="77">
        <v>0</v>
      </c>
      <c r="E21" s="77">
        <v>31</v>
      </c>
      <c r="F21" s="77">
        <v>0</v>
      </c>
      <c r="G21" s="77">
        <v>0</v>
      </c>
      <c r="H21" s="77">
        <v>0</v>
      </c>
      <c r="I21" s="77"/>
      <c r="J21" s="76"/>
    </row>
    <row r="22" spans="1:10" x14ac:dyDescent="0.25">
      <c r="A22" s="7">
        <f t="shared" si="0"/>
        <v>46101</v>
      </c>
      <c r="B22" s="77">
        <v>99</v>
      </c>
      <c r="C22" s="77">
        <v>25</v>
      </c>
      <c r="D22" s="77">
        <v>0</v>
      </c>
      <c r="E22" s="77">
        <v>39</v>
      </c>
      <c r="F22" s="77">
        <v>0</v>
      </c>
      <c r="G22" s="77">
        <v>0</v>
      </c>
      <c r="H22" s="77">
        <v>0</v>
      </c>
      <c r="I22" s="77"/>
      <c r="J22" s="76"/>
    </row>
    <row r="23" spans="1:10" x14ac:dyDescent="0.25">
      <c r="A23" s="7">
        <f t="shared" si="0"/>
        <v>46102</v>
      </c>
      <c r="B23" s="77">
        <v>97</v>
      </c>
      <c r="C23" s="77">
        <v>25</v>
      </c>
      <c r="D23" s="77">
        <v>0</v>
      </c>
      <c r="E23" s="77">
        <v>31</v>
      </c>
      <c r="F23" s="77">
        <v>0</v>
      </c>
      <c r="G23" s="77">
        <v>0</v>
      </c>
      <c r="H23" s="77">
        <v>0</v>
      </c>
      <c r="I23" s="77"/>
      <c r="J23" s="76"/>
    </row>
    <row r="24" spans="1:10" x14ac:dyDescent="0.25">
      <c r="A24" s="7">
        <f t="shared" si="0"/>
        <v>46103</v>
      </c>
      <c r="B24" s="77">
        <v>97</v>
      </c>
      <c r="C24" s="77">
        <v>32</v>
      </c>
      <c r="D24" s="77">
        <v>0</v>
      </c>
      <c r="E24" s="77">
        <v>41</v>
      </c>
      <c r="F24" s="77">
        <v>0</v>
      </c>
      <c r="G24" s="77">
        <v>0</v>
      </c>
      <c r="H24" s="77">
        <v>0</v>
      </c>
      <c r="I24" s="77"/>
      <c r="J24" s="76" t="s">
        <v>52</v>
      </c>
    </row>
    <row r="25" spans="1:10" x14ac:dyDescent="0.25">
      <c r="A25" s="7">
        <f t="shared" si="0"/>
        <v>46104</v>
      </c>
      <c r="B25" s="77">
        <v>93</v>
      </c>
      <c r="C25" s="77">
        <v>50</v>
      </c>
      <c r="D25" s="77">
        <v>0</v>
      </c>
      <c r="E25" s="77">
        <v>62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7">
        <f t="shared" si="0"/>
        <v>46105</v>
      </c>
      <c r="B26" s="77">
        <v>78</v>
      </c>
      <c r="C26" s="77">
        <v>66</v>
      </c>
      <c r="D26" s="77">
        <v>0</v>
      </c>
      <c r="E26" s="77">
        <v>85</v>
      </c>
      <c r="F26" s="77">
        <v>0</v>
      </c>
      <c r="G26" s="77">
        <v>0</v>
      </c>
      <c r="H26" s="77">
        <v>0</v>
      </c>
      <c r="I26" s="77"/>
      <c r="J26" s="76" t="s">
        <v>53</v>
      </c>
    </row>
    <row r="27" spans="1:10" x14ac:dyDescent="0.25">
      <c r="A27" s="7">
        <f t="shared" si="0"/>
        <v>46106</v>
      </c>
      <c r="B27" s="77">
        <v>45</v>
      </c>
      <c r="C27" s="77">
        <v>75</v>
      </c>
      <c r="D27" s="77">
        <v>0</v>
      </c>
      <c r="E27" s="77">
        <v>107</v>
      </c>
      <c r="F27" s="77">
        <v>0</v>
      </c>
      <c r="G27" s="77">
        <v>0</v>
      </c>
      <c r="H27" s="77">
        <v>0</v>
      </c>
      <c r="I27" s="77"/>
      <c r="J27" s="76"/>
    </row>
    <row r="28" spans="1:10" x14ac:dyDescent="0.25">
      <c r="A28" s="7">
        <f t="shared" si="0"/>
        <v>46107</v>
      </c>
      <c r="B28" s="77">
        <v>19</v>
      </c>
      <c r="C28" s="77">
        <v>75</v>
      </c>
      <c r="D28" s="77">
        <v>0</v>
      </c>
      <c r="E28" s="77">
        <v>104</v>
      </c>
      <c r="F28" s="77">
        <v>0</v>
      </c>
      <c r="G28" s="77">
        <v>0</v>
      </c>
      <c r="H28" s="77">
        <v>0</v>
      </c>
      <c r="I28" s="77"/>
      <c r="J28" s="76"/>
    </row>
    <row r="29" spans="1:10" x14ac:dyDescent="0.25">
      <c r="A29" s="7">
        <f t="shared" si="0"/>
        <v>46108</v>
      </c>
      <c r="B29" s="77">
        <v>20</v>
      </c>
      <c r="C29" s="77">
        <v>75</v>
      </c>
      <c r="D29" s="77">
        <v>0</v>
      </c>
      <c r="E29" s="77">
        <v>106</v>
      </c>
      <c r="F29" s="77">
        <v>0</v>
      </c>
      <c r="G29" s="77">
        <v>0</v>
      </c>
      <c r="H29" s="77">
        <v>0</v>
      </c>
      <c r="I29" s="77"/>
      <c r="J29" s="76"/>
    </row>
    <row r="30" spans="1:10" x14ac:dyDescent="0.25">
      <c r="A30" s="7">
        <f t="shared" si="0"/>
        <v>46109</v>
      </c>
      <c r="B30" s="77">
        <v>16</v>
      </c>
      <c r="C30" s="77">
        <v>75</v>
      </c>
      <c r="D30" s="77">
        <v>0</v>
      </c>
      <c r="E30" s="77">
        <v>106</v>
      </c>
      <c r="F30" s="77">
        <v>0</v>
      </c>
      <c r="G30" s="77">
        <v>0</v>
      </c>
      <c r="H30" s="77">
        <v>0</v>
      </c>
      <c r="I30" s="77"/>
      <c r="J30" s="76"/>
    </row>
    <row r="31" spans="1:10" x14ac:dyDescent="0.25">
      <c r="A31" s="7">
        <f t="shared" si="0"/>
        <v>46110</v>
      </c>
      <c r="B31" s="77">
        <v>17</v>
      </c>
      <c r="C31" s="77">
        <v>75</v>
      </c>
      <c r="D31" s="77">
        <v>0</v>
      </c>
      <c r="E31" s="77">
        <v>107</v>
      </c>
      <c r="F31" s="77">
        <v>0</v>
      </c>
      <c r="G31" s="77">
        <v>0</v>
      </c>
      <c r="H31" s="77">
        <v>0</v>
      </c>
      <c r="I31" s="77"/>
      <c r="J31" s="76"/>
    </row>
    <row r="32" spans="1:10" x14ac:dyDescent="0.25">
      <c r="A32" s="7">
        <f t="shared" si="0"/>
        <v>46111</v>
      </c>
      <c r="B32" s="77">
        <v>22</v>
      </c>
      <c r="C32" s="77">
        <v>75</v>
      </c>
      <c r="D32" s="77">
        <v>0</v>
      </c>
      <c r="E32" s="77">
        <v>109</v>
      </c>
      <c r="F32" s="77" t="s">
        <v>30</v>
      </c>
      <c r="G32" s="77">
        <v>0</v>
      </c>
      <c r="H32" s="77">
        <v>0</v>
      </c>
      <c r="I32" s="77"/>
      <c r="J32" s="76"/>
    </row>
    <row r="33" spans="1:16" ht="15.75" thickBot="1" x14ac:dyDescent="0.3">
      <c r="A33" s="7">
        <f t="shared" si="0"/>
        <v>46112</v>
      </c>
      <c r="B33" s="77">
        <v>28</v>
      </c>
      <c r="C33" s="77">
        <v>75</v>
      </c>
      <c r="D33" s="77">
        <v>0</v>
      </c>
      <c r="E33" s="77">
        <v>108</v>
      </c>
      <c r="F33" s="77">
        <v>7.0000000000000007E-2</v>
      </c>
      <c r="G33" s="77">
        <v>0</v>
      </c>
      <c r="H33" s="77">
        <v>0</v>
      </c>
      <c r="I33" s="77"/>
      <c r="J33" s="76"/>
    </row>
    <row r="34" spans="1:16" s="6" customFormat="1" ht="15.75" thickTop="1" x14ac:dyDescent="0.25">
      <c r="A34" s="10" t="s">
        <v>8</v>
      </c>
      <c r="B34" s="11">
        <f>SUM(B3:B33)</f>
        <v>3184</v>
      </c>
      <c r="C34" s="11">
        <f t="shared" ref="C34:H34" si="1">SUM(C3:C33)</f>
        <v>807</v>
      </c>
      <c r="D34" s="11">
        <f>SUM(D3:D33)</f>
        <v>0</v>
      </c>
      <c r="E34" s="11">
        <f t="shared" si="1"/>
        <v>1710</v>
      </c>
      <c r="F34" s="12">
        <f t="shared" si="1"/>
        <v>0.33</v>
      </c>
      <c r="G34" s="12">
        <f t="shared" si="1"/>
        <v>0</v>
      </c>
      <c r="H34" s="11">
        <f t="shared" si="1"/>
        <v>0</v>
      </c>
      <c r="I34" s="12"/>
    </row>
    <row r="35" spans="1:16" s="6" customFormat="1" x14ac:dyDescent="0.25">
      <c r="A35" s="13" t="s">
        <v>9</v>
      </c>
      <c r="B35" s="14">
        <f>SUM(B34+'Feb 2026'!B33)</f>
        <v>15910</v>
      </c>
      <c r="C35" s="14">
        <f>SUM(C34+'Feb 2026'!C33)</f>
        <v>1548</v>
      </c>
      <c r="D35" s="14">
        <f>SUM(D34+'Feb 2026'!D33)</f>
        <v>8194</v>
      </c>
      <c r="E35" s="14">
        <f>SUM(E34+'Feb 2026'!E33)</f>
        <v>9628</v>
      </c>
      <c r="F35" s="15">
        <f>SUM(F34+'Feb 2026'!F33)</f>
        <v>7.2800000000000011</v>
      </c>
      <c r="G35" s="15">
        <f>SUM(G34+'Feb 2026'!G33)</f>
        <v>2.5</v>
      </c>
      <c r="H35" s="14">
        <f>SUM(H34+'Feb 2026'!H33)</f>
        <v>33365</v>
      </c>
      <c r="I35" s="15"/>
    </row>
    <row r="37" spans="1:16" x14ac:dyDescent="0.25">
      <c r="A37" t="s">
        <v>10</v>
      </c>
      <c r="B37" s="17">
        <f>SUM(B3:B33)*1.9835</f>
        <v>6315.4639999999999</v>
      </c>
      <c r="C37" s="17">
        <f>SUM(C3:C33)*1.9835</f>
        <v>1600.6845000000001</v>
      </c>
      <c r="D37" s="17">
        <f>SUM(D3:D33)*1.9835</f>
        <v>0</v>
      </c>
      <c r="E37" s="17">
        <f>SUM(E3:E33)*1.9835</f>
        <v>3391.7849999999999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SUM(B37+'Feb 2026'!B37)</f>
        <v>31557.485000000001</v>
      </c>
      <c r="C39" s="17">
        <f>SUM(C37+'Feb 2026'!C37)</f>
        <v>3070.4580000000005</v>
      </c>
      <c r="D39" s="17">
        <f>SUM(D37+'Feb 2026'!D37)</f>
        <v>16252.799000000001</v>
      </c>
      <c r="E39" s="17">
        <f>SUM(E37+'Feb 2026'!E37)</f>
        <v>19097.137999999999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/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/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P56"/>
  <sheetViews>
    <sheetView tabSelected="1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9" sqref="H19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46054</v>
      </c>
      <c r="B3" s="77">
        <v>101</v>
      </c>
      <c r="C3" s="77">
        <v>0</v>
      </c>
      <c r="D3" s="77">
        <v>20</v>
      </c>
      <c r="E3" s="77">
        <v>0</v>
      </c>
      <c r="F3" s="77">
        <v>0</v>
      </c>
      <c r="G3" s="77">
        <v>0</v>
      </c>
      <c r="H3" s="77">
        <v>160</v>
      </c>
      <c r="I3" s="77"/>
      <c r="J3" s="76"/>
    </row>
    <row r="4" spans="1:10" x14ac:dyDescent="0.25">
      <c r="A4" s="7">
        <f>A3+1</f>
        <v>46055</v>
      </c>
      <c r="B4" s="77">
        <v>101</v>
      </c>
      <c r="C4" s="77">
        <v>0</v>
      </c>
      <c r="D4" s="77">
        <v>20</v>
      </c>
      <c r="E4" s="77">
        <v>0</v>
      </c>
      <c r="F4" s="77">
        <v>0</v>
      </c>
      <c r="G4" s="77">
        <v>0</v>
      </c>
      <c r="H4" s="77">
        <v>160</v>
      </c>
      <c r="I4" s="87"/>
      <c r="J4" s="76"/>
    </row>
    <row r="5" spans="1:10" x14ac:dyDescent="0.25">
      <c r="A5" s="7">
        <f t="shared" ref="A5:A31" si="0">A4+1</f>
        <v>46056</v>
      </c>
      <c r="B5" s="77">
        <v>101</v>
      </c>
      <c r="C5" s="77">
        <v>0</v>
      </c>
      <c r="D5" s="77">
        <v>20</v>
      </c>
      <c r="E5" s="77">
        <v>0</v>
      </c>
      <c r="F5" s="77">
        <v>0</v>
      </c>
      <c r="G5" s="77">
        <v>0</v>
      </c>
      <c r="H5" s="77">
        <v>160</v>
      </c>
      <c r="I5" s="77"/>
      <c r="J5" s="76"/>
    </row>
    <row r="6" spans="1:10" x14ac:dyDescent="0.25">
      <c r="A6" s="7">
        <f t="shared" si="0"/>
        <v>46057</v>
      </c>
      <c r="B6" s="77">
        <v>99</v>
      </c>
      <c r="C6" s="77">
        <v>0</v>
      </c>
      <c r="D6" s="77">
        <v>20</v>
      </c>
      <c r="E6" s="77">
        <v>0</v>
      </c>
      <c r="F6" s="77">
        <v>0</v>
      </c>
      <c r="G6" s="77">
        <v>0</v>
      </c>
      <c r="H6" s="77">
        <v>160</v>
      </c>
      <c r="I6" s="77"/>
      <c r="J6" s="76"/>
    </row>
    <row r="7" spans="1:10" x14ac:dyDescent="0.25">
      <c r="A7" s="7">
        <f t="shared" si="0"/>
        <v>46058</v>
      </c>
      <c r="B7" s="77">
        <v>99</v>
      </c>
      <c r="C7" s="77">
        <v>0</v>
      </c>
      <c r="D7" s="77">
        <v>20</v>
      </c>
      <c r="E7" s="77">
        <v>0</v>
      </c>
      <c r="F7" s="77">
        <v>0</v>
      </c>
      <c r="G7" s="77">
        <v>0</v>
      </c>
      <c r="H7" s="77">
        <v>160</v>
      </c>
      <c r="I7" s="77"/>
      <c r="J7" s="76"/>
    </row>
    <row r="8" spans="1:10" x14ac:dyDescent="0.25">
      <c r="A8" s="7">
        <f t="shared" si="0"/>
        <v>46059</v>
      </c>
      <c r="B8" s="77">
        <v>100</v>
      </c>
      <c r="C8" s="77">
        <v>0</v>
      </c>
      <c r="D8" s="77">
        <v>20</v>
      </c>
      <c r="E8" s="77">
        <v>0</v>
      </c>
      <c r="F8" s="77">
        <v>0</v>
      </c>
      <c r="G8" s="77">
        <v>0</v>
      </c>
      <c r="H8" s="77">
        <v>160</v>
      </c>
      <c r="I8" s="77"/>
      <c r="J8" s="76"/>
    </row>
    <row r="9" spans="1:10" x14ac:dyDescent="0.25">
      <c r="A9" s="7">
        <f t="shared" si="0"/>
        <v>46060</v>
      </c>
      <c r="B9" s="77">
        <v>99</v>
      </c>
      <c r="C9" s="77">
        <v>0</v>
      </c>
      <c r="D9" s="77">
        <v>20</v>
      </c>
      <c r="E9" s="77">
        <v>0</v>
      </c>
      <c r="F9" s="77">
        <v>0</v>
      </c>
      <c r="G9" s="77">
        <v>0</v>
      </c>
      <c r="H9" s="77">
        <v>160</v>
      </c>
      <c r="I9" s="77"/>
      <c r="J9" s="76"/>
    </row>
    <row r="10" spans="1:10" x14ac:dyDescent="0.25">
      <c r="A10" s="7">
        <f t="shared" si="0"/>
        <v>46061</v>
      </c>
      <c r="B10" s="77">
        <v>101</v>
      </c>
      <c r="C10" s="77">
        <v>0</v>
      </c>
      <c r="D10" s="77">
        <v>20</v>
      </c>
      <c r="E10" s="77">
        <v>0</v>
      </c>
      <c r="F10" s="77">
        <v>0</v>
      </c>
      <c r="G10" s="77">
        <v>0</v>
      </c>
      <c r="H10" s="77">
        <v>160</v>
      </c>
      <c r="I10" s="77"/>
      <c r="J10" s="76"/>
    </row>
    <row r="11" spans="1:10" x14ac:dyDescent="0.25">
      <c r="A11" s="7">
        <f t="shared" si="0"/>
        <v>46062</v>
      </c>
      <c r="B11" s="77">
        <v>102</v>
      </c>
      <c r="C11" s="77">
        <v>0</v>
      </c>
      <c r="D11" s="77">
        <v>20</v>
      </c>
      <c r="E11" s="77">
        <v>0</v>
      </c>
      <c r="F11" s="77">
        <v>0.2</v>
      </c>
      <c r="G11" s="77">
        <v>0</v>
      </c>
      <c r="H11" s="77">
        <v>160</v>
      </c>
      <c r="I11" s="77"/>
      <c r="J11" s="76"/>
    </row>
    <row r="12" spans="1:10" x14ac:dyDescent="0.25">
      <c r="A12" s="7">
        <f t="shared" si="0"/>
        <v>46063</v>
      </c>
      <c r="B12" s="77">
        <v>104</v>
      </c>
      <c r="C12" s="77">
        <v>0</v>
      </c>
      <c r="D12" s="77">
        <v>20</v>
      </c>
      <c r="E12" s="77">
        <v>0</v>
      </c>
      <c r="F12" s="77" t="s">
        <v>30</v>
      </c>
      <c r="G12" s="77">
        <v>0</v>
      </c>
      <c r="H12" s="77">
        <v>160</v>
      </c>
      <c r="I12" s="77"/>
      <c r="J12" s="76"/>
    </row>
    <row r="13" spans="1:10" x14ac:dyDescent="0.25">
      <c r="A13" s="7">
        <f t="shared" si="0"/>
        <v>46064</v>
      </c>
      <c r="B13" s="77">
        <v>106</v>
      </c>
      <c r="C13" s="77">
        <v>0</v>
      </c>
      <c r="D13" s="77">
        <v>20</v>
      </c>
      <c r="E13" s="77">
        <v>0</v>
      </c>
      <c r="F13" s="77">
        <v>0.09</v>
      </c>
      <c r="G13" s="77">
        <v>0</v>
      </c>
      <c r="H13" s="77">
        <v>160</v>
      </c>
      <c r="I13" s="77"/>
      <c r="J13" s="76"/>
    </row>
    <row r="14" spans="1:10" x14ac:dyDescent="0.25">
      <c r="A14" s="7">
        <f t="shared" si="0"/>
        <v>46065</v>
      </c>
      <c r="B14" s="77">
        <v>104</v>
      </c>
      <c r="C14" s="77">
        <v>0</v>
      </c>
      <c r="D14" s="77">
        <v>20</v>
      </c>
      <c r="E14" s="77">
        <v>0</v>
      </c>
      <c r="F14" s="77">
        <v>0</v>
      </c>
      <c r="G14" s="77">
        <v>0</v>
      </c>
      <c r="H14" s="77">
        <v>160</v>
      </c>
      <c r="I14" s="77"/>
      <c r="J14" s="76"/>
    </row>
    <row r="15" spans="1:10" x14ac:dyDescent="0.25">
      <c r="A15" s="7">
        <f t="shared" si="0"/>
        <v>46066</v>
      </c>
      <c r="B15" s="77">
        <v>106</v>
      </c>
      <c r="C15" s="77">
        <v>0</v>
      </c>
      <c r="D15" s="77">
        <v>20</v>
      </c>
      <c r="E15" s="77">
        <v>0</v>
      </c>
      <c r="F15" s="77">
        <v>0</v>
      </c>
      <c r="G15" s="77">
        <v>0</v>
      </c>
      <c r="H15" s="77">
        <v>160</v>
      </c>
      <c r="I15" s="77"/>
      <c r="J15" s="76"/>
    </row>
    <row r="16" spans="1:10" x14ac:dyDescent="0.25">
      <c r="A16" s="7">
        <f t="shared" si="0"/>
        <v>46067</v>
      </c>
      <c r="B16" s="77">
        <v>106</v>
      </c>
      <c r="C16" s="77">
        <v>0</v>
      </c>
      <c r="D16" s="77">
        <v>20</v>
      </c>
      <c r="E16" s="77">
        <v>0</v>
      </c>
      <c r="F16" s="77">
        <v>0</v>
      </c>
      <c r="G16" s="77">
        <v>0</v>
      </c>
      <c r="H16" s="77">
        <v>160</v>
      </c>
      <c r="I16" s="77"/>
      <c r="J16" s="76"/>
    </row>
    <row r="17" spans="1:10" x14ac:dyDescent="0.25">
      <c r="A17" s="7">
        <f t="shared" si="0"/>
        <v>46068</v>
      </c>
      <c r="B17" s="77">
        <v>107</v>
      </c>
      <c r="C17" s="77">
        <v>0</v>
      </c>
      <c r="D17" s="77">
        <v>20</v>
      </c>
      <c r="E17" s="77">
        <v>0</v>
      </c>
      <c r="F17" s="77">
        <v>0</v>
      </c>
      <c r="G17" s="77">
        <v>0</v>
      </c>
      <c r="H17" s="77">
        <v>160</v>
      </c>
      <c r="I17" s="77"/>
      <c r="J17" s="76"/>
    </row>
    <row r="18" spans="1:10" x14ac:dyDescent="0.25">
      <c r="A18" s="7">
        <f t="shared" si="0"/>
        <v>46069</v>
      </c>
      <c r="B18" s="77">
        <v>102</v>
      </c>
      <c r="C18" s="77">
        <v>0</v>
      </c>
      <c r="D18" s="77">
        <v>20</v>
      </c>
      <c r="E18" s="77">
        <v>0</v>
      </c>
      <c r="F18" s="77">
        <v>0</v>
      </c>
      <c r="G18" s="77">
        <v>0</v>
      </c>
      <c r="H18" s="77">
        <v>160</v>
      </c>
      <c r="I18" s="77"/>
      <c r="J18" s="76"/>
    </row>
    <row r="19" spans="1:10" x14ac:dyDescent="0.25">
      <c r="A19" s="7">
        <f t="shared" si="0"/>
        <v>46070</v>
      </c>
      <c r="B19" s="77">
        <v>98</v>
      </c>
      <c r="C19" s="77">
        <v>0</v>
      </c>
      <c r="D19" s="77">
        <v>20</v>
      </c>
      <c r="E19" s="77">
        <v>0</v>
      </c>
      <c r="F19" s="77">
        <v>0.26</v>
      </c>
      <c r="G19" s="77">
        <v>2.5</v>
      </c>
      <c r="H19" s="77">
        <v>57</v>
      </c>
      <c r="I19" s="77"/>
      <c r="J19" s="76" t="s">
        <v>50</v>
      </c>
    </row>
    <row r="20" spans="1:10" x14ac:dyDescent="0.25">
      <c r="A20" s="7">
        <f t="shared" si="0"/>
        <v>46071</v>
      </c>
      <c r="B20" s="77">
        <v>95</v>
      </c>
      <c r="C20" s="77">
        <v>0</v>
      </c>
      <c r="D20" s="77">
        <v>20</v>
      </c>
      <c r="E20" s="77">
        <v>0</v>
      </c>
      <c r="F20" s="77">
        <v>0.01</v>
      </c>
      <c r="G20" s="77">
        <v>0</v>
      </c>
      <c r="H20" s="77">
        <v>0</v>
      </c>
      <c r="I20" s="77"/>
      <c r="J20" s="76"/>
    </row>
    <row r="21" spans="1:10" x14ac:dyDescent="0.25">
      <c r="A21" s="7">
        <f t="shared" si="0"/>
        <v>46072</v>
      </c>
      <c r="B21" s="77">
        <v>95</v>
      </c>
      <c r="C21" s="77">
        <v>0</v>
      </c>
      <c r="D21" s="77">
        <v>20</v>
      </c>
      <c r="E21" s="77">
        <v>0</v>
      </c>
      <c r="F21" s="77">
        <v>0.15</v>
      </c>
      <c r="G21" s="77">
        <v>0</v>
      </c>
      <c r="H21" s="77">
        <v>0</v>
      </c>
      <c r="I21" s="77"/>
      <c r="J21" s="76"/>
    </row>
    <row r="22" spans="1:10" x14ac:dyDescent="0.25">
      <c r="A22" s="7">
        <f t="shared" si="0"/>
        <v>46073</v>
      </c>
      <c r="B22" s="77">
        <v>100</v>
      </c>
      <c r="C22" s="77">
        <v>0</v>
      </c>
      <c r="D22" s="77">
        <v>10</v>
      </c>
      <c r="E22" s="77">
        <v>9</v>
      </c>
      <c r="F22" s="77">
        <v>0</v>
      </c>
      <c r="G22" s="77">
        <v>0</v>
      </c>
      <c r="H22" s="77">
        <v>0</v>
      </c>
      <c r="I22" s="77"/>
      <c r="J22" s="76"/>
    </row>
    <row r="23" spans="1:10" x14ac:dyDescent="0.25">
      <c r="A23" s="7">
        <f t="shared" si="0"/>
        <v>46074</v>
      </c>
      <c r="B23" s="77">
        <v>96</v>
      </c>
      <c r="C23" s="77">
        <v>0</v>
      </c>
      <c r="D23" s="77">
        <v>0</v>
      </c>
      <c r="E23" s="77">
        <v>18</v>
      </c>
      <c r="F23" s="77">
        <v>0</v>
      </c>
      <c r="G23" s="77">
        <v>0</v>
      </c>
      <c r="H23" s="77">
        <v>0</v>
      </c>
      <c r="I23" s="77"/>
      <c r="J23" s="76"/>
    </row>
    <row r="24" spans="1:10" x14ac:dyDescent="0.25">
      <c r="A24" s="7">
        <f t="shared" si="0"/>
        <v>46075</v>
      </c>
      <c r="B24" s="77">
        <v>108</v>
      </c>
      <c r="C24" s="77">
        <v>0</v>
      </c>
      <c r="D24" s="77">
        <v>0</v>
      </c>
      <c r="E24" s="77">
        <v>18</v>
      </c>
      <c r="F24" s="77">
        <v>0</v>
      </c>
      <c r="G24" s="77">
        <v>0</v>
      </c>
      <c r="H24" s="77">
        <v>0</v>
      </c>
      <c r="I24" s="77"/>
      <c r="J24" s="76"/>
    </row>
    <row r="25" spans="1:10" x14ac:dyDescent="0.25">
      <c r="A25" s="7">
        <f t="shared" si="0"/>
        <v>46076</v>
      </c>
      <c r="B25" s="77">
        <v>106</v>
      </c>
      <c r="C25" s="77">
        <v>0</v>
      </c>
      <c r="D25" s="77">
        <v>0</v>
      </c>
      <c r="E25" s="77">
        <v>18</v>
      </c>
      <c r="F25" s="77">
        <v>0</v>
      </c>
      <c r="G25" s="77">
        <v>0</v>
      </c>
      <c r="H25" s="77">
        <v>0</v>
      </c>
      <c r="I25" s="77"/>
      <c r="J25" s="76"/>
    </row>
    <row r="26" spans="1:10" x14ac:dyDescent="0.25">
      <c r="A26" s="7">
        <f t="shared" si="0"/>
        <v>46077</v>
      </c>
      <c r="B26" s="77">
        <v>106</v>
      </c>
      <c r="C26" s="77">
        <v>0</v>
      </c>
      <c r="D26" s="77">
        <v>0</v>
      </c>
      <c r="E26" s="77">
        <v>18</v>
      </c>
      <c r="F26" s="77">
        <v>0.54</v>
      </c>
      <c r="G26" s="77">
        <v>0</v>
      </c>
      <c r="H26" s="77">
        <v>0</v>
      </c>
      <c r="I26" s="77"/>
      <c r="J26" s="76"/>
    </row>
    <row r="27" spans="1:10" x14ac:dyDescent="0.25">
      <c r="A27" s="7">
        <f t="shared" si="0"/>
        <v>46078</v>
      </c>
      <c r="B27" s="77">
        <v>695</v>
      </c>
      <c r="C27" s="77">
        <v>0</v>
      </c>
      <c r="D27" s="77">
        <v>0</v>
      </c>
      <c r="E27" s="77">
        <v>18</v>
      </c>
      <c r="F27" s="77">
        <v>0.01</v>
      </c>
      <c r="G27" s="77">
        <v>0</v>
      </c>
      <c r="H27" s="77">
        <v>0</v>
      </c>
      <c r="I27" s="77"/>
      <c r="J27" s="76"/>
    </row>
    <row r="28" spans="1:10" x14ac:dyDescent="0.25">
      <c r="A28" s="7">
        <f t="shared" si="0"/>
        <v>46079</v>
      </c>
      <c r="B28" s="77">
        <v>1005</v>
      </c>
      <c r="C28" s="77">
        <v>0</v>
      </c>
      <c r="D28" s="77">
        <v>1</v>
      </c>
      <c r="E28" s="77">
        <v>30</v>
      </c>
      <c r="F28" s="77">
        <v>0</v>
      </c>
      <c r="G28" s="77">
        <v>0</v>
      </c>
      <c r="H28" s="77">
        <v>0</v>
      </c>
      <c r="I28" s="77"/>
      <c r="J28" s="76"/>
    </row>
    <row r="29" spans="1:10" x14ac:dyDescent="0.25">
      <c r="A29" s="7">
        <f t="shared" si="0"/>
        <v>46080</v>
      </c>
      <c r="B29" s="77">
        <v>477</v>
      </c>
      <c r="C29" s="77">
        <v>0</v>
      </c>
      <c r="D29" s="77">
        <v>2</v>
      </c>
      <c r="E29" s="77">
        <v>38</v>
      </c>
      <c r="F29" s="77">
        <v>0.05</v>
      </c>
      <c r="G29" s="77">
        <v>0</v>
      </c>
      <c r="H29" s="77">
        <v>0</v>
      </c>
      <c r="I29" s="77"/>
      <c r="J29" s="76"/>
    </row>
    <row r="30" spans="1:10" x14ac:dyDescent="0.25">
      <c r="A30" s="7">
        <f t="shared" si="0"/>
        <v>46081</v>
      </c>
      <c r="B30" s="77">
        <v>287</v>
      </c>
      <c r="C30" s="77">
        <v>0</v>
      </c>
      <c r="D30" s="77">
        <v>0</v>
      </c>
      <c r="E30" s="77">
        <v>38</v>
      </c>
      <c r="F30" s="77">
        <v>0</v>
      </c>
      <c r="G30" s="77">
        <v>0</v>
      </c>
      <c r="H30" s="77">
        <v>0</v>
      </c>
      <c r="I30" s="77"/>
      <c r="J30" s="76"/>
    </row>
    <row r="31" spans="1:10" ht="15.75" thickBot="1" x14ac:dyDescent="0.3">
      <c r="A31" s="7">
        <f t="shared" si="0"/>
        <v>46082</v>
      </c>
      <c r="B31" s="8"/>
      <c r="C31" s="8"/>
      <c r="D31" s="8"/>
      <c r="E31" s="8"/>
      <c r="F31" s="9"/>
      <c r="G31" s="9"/>
      <c r="H31" s="8"/>
      <c r="I31" s="77"/>
      <c r="J31" s="76"/>
    </row>
    <row r="32" spans="1:10" s="6" customFormat="1" ht="15.75" thickTop="1" x14ac:dyDescent="0.25">
      <c r="A32" s="10" t="s">
        <v>8</v>
      </c>
      <c r="B32" s="11">
        <f>SUM(B3:B31)</f>
        <v>4906</v>
      </c>
      <c r="C32" s="11">
        <f t="shared" ref="C32:H32" si="1">SUM(C3:C31)</f>
        <v>0</v>
      </c>
      <c r="D32" s="11">
        <f t="shared" si="1"/>
        <v>393</v>
      </c>
      <c r="E32" s="11">
        <f t="shared" si="1"/>
        <v>205</v>
      </c>
      <c r="F32" s="12">
        <f t="shared" si="1"/>
        <v>1.31</v>
      </c>
      <c r="G32" s="12">
        <f t="shared" si="1"/>
        <v>2.5</v>
      </c>
      <c r="H32" s="11">
        <f t="shared" si="1"/>
        <v>2617</v>
      </c>
      <c r="I32" s="12"/>
      <c r="J32"/>
    </row>
    <row r="33" spans="1:16" s="6" customFormat="1" x14ac:dyDescent="0.25">
      <c r="A33" s="13" t="s">
        <v>9</v>
      </c>
      <c r="B33" s="14">
        <f>SUM(B32+'Jan 2026'!B35)</f>
        <v>12726</v>
      </c>
      <c r="C33" s="14">
        <f>SUM(C32+'Jan 2026'!C35)</f>
        <v>741</v>
      </c>
      <c r="D33" s="14">
        <f>SUM(D32+'Jan 2026'!D35)</f>
        <v>8194</v>
      </c>
      <c r="E33" s="14">
        <f>SUM(E32+'Jan 2026'!E35)</f>
        <v>7918</v>
      </c>
      <c r="F33" s="15">
        <f>SUM(F32+'Jan 2026'!F35)</f>
        <v>6.9500000000000011</v>
      </c>
      <c r="G33" s="15">
        <f>SUM(G32+'Jan 2026'!G35)</f>
        <v>2.5</v>
      </c>
      <c r="H33" s="14">
        <f>SUM(H32+'Jan 2026'!H35)</f>
        <v>33365</v>
      </c>
      <c r="I33" s="15"/>
      <c r="J33"/>
    </row>
    <row r="35" spans="1:16" x14ac:dyDescent="0.25">
      <c r="A35" t="s">
        <v>10</v>
      </c>
      <c r="B35" s="17">
        <f>SUM(B3:B31)*1.9835</f>
        <v>9731.0509999999995</v>
      </c>
      <c r="C35" s="17">
        <f>SUM(C3:C31)*1.9835</f>
        <v>0</v>
      </c>
      <c r="D35" s="17">
        <f>SUM(D3:D31)*1.9835</f>
        <v>779.51549999999997</v>
      </c>
      <c r="E35" s="17">
        <f>SUM(E3:E31)*1.9835</f>
        <v>406.61750000000001</v>
      </c>
      <c r="F35" s="17"/>
      <c r="G35" s="17"/>
      <c r="H35" s="17"/>
      <c r="J35" s="16"/>
    </row>
    <row r="37" spans="1:16" x14ac:dyDescent="0.25">
      <c r="A37" t="s">
        <v>24</v>
      </c>
      <c r="B37" s="17">
        <f>SUM(B35+'Jan 2026'!B39)</f>
        <v>25242.021000000001</v>
      </c>
      <c r="C37" s="17">
        <f>SUM(C35+'Jan 2026'!C39)</f>
        <v>1469.7735000000002</v>
      </c>
      <c r="D37" s="17">
        <f>SUM(D35+'Jan 2026'!D39)</f>
        <v>16252.799000000001</v>
      </c>
      <c r="E37" s="17">
        <f>SUM(E35+'Jan 2026'!E39)</f>
        <v>15705.352999999999</v>
      </c>
      <c r="F37" s="17"/>
      <c r="G37" s="17"/>
      <c r="H37" s="17"/>
      <c r="J37" s="16"/>
    </row>
    <row r="38" spans="1:16" x14ac:dyDescent="0.25">
      <c r="C38" s="17"/>
      <c r="D38" s="17"/>
      <c r="E38" s="17"/>
      <c r="F38" s="17"/>
      <c r="G38" s="17"/>
      <c r="H38" s="17"/>
      <c r="J38" s="16"/>
    </row>
    <row r="39" spans="1:16" ht="17.45" customHeight="1" x14ac:dyDescent="0.25">
      <c r="A39" s="238"/>
      <c r="B39" s="238"/>
      <c r="C39" s="238"/>
      <c r="D39" s="238"/>
      <c r="E39" s="238"/>
      <c r="F39" s="238"/>
      <c r="G39" s="239"/>
      <c r="H39" s="240" t="s">
        <v>12</v>
      </c>
      <c r="I39" s="241"/>
      <c r="J39" s="20"/>
      <c r="K39" s="20"/>
      <c r="L39" s="20"/>
      <c r="M39" s="20"/>
      <c r="N39" s="20"/>
      <c r="O39" s="21"/>
      <c r="P39" s="20"/>
    </row>
    <row r="40" spans="1:16" ht="16.899999999999999" customHeight="1" x14ac:dyDescent="0.25">
      <c r="A40" s="19"/>
      <c r="B40" s="19"/>
      <c r="C40" s="19"/>
      <c r="D40" s="19"/>
      <c r="E40" s="19"/>
      <c r="F40" s="19"/>
      <c r="G40" s="19"/>
      <c r="H40" s="240"/>
      <c r="I40" s="241"/>
      <c r="J40" s="20"/>
      <c r="K40" s="20"/>
      <c r="L40" s="20"/>
      <c r="M40" s="20"/>
      <c r="N40" s="20"/>
      <c r="O40" s="21"/>
      <c r="P40" s="20"/>
    </row>
    <row r="41" spans="1:16" ht="13.9" customHeight="1" x14ac:dyDescent="0.25">
      <c r="A41" s="243" t="s">
        <v>23</v>
      </c>
      <c r="B41" s="243"/>
      <c r="C41" s="243"/>
      <c r="D41" s="243"/>
      <c r="E41" s="243"/>
      <c r="F41" s="243"/>
      <c r="G41" s="243"/>
      <c r="H41" s="243"/>
      <c r="I41" s="243"/>
      <c r="J41" s="243"/>
      <c r="K41" s="243"/>
      <c r="L41" s="22"/>
      <c r="M41" s="22"/>
      <c r="N41" s="22"/>
      <c r="O41" s="23"/>
      <c r="P41" s="22"/>
    </row>
    <row r="42" spans="1:16" ht="15.6" customHeight="1" x14ac:dyDescent="0.25">
      <c r="A42" s="31" t="s">
        <v>17</v>
      </c>
      <c r="B42" s="81"/>
      <c r="C42" s="25"/>
      <c r="D42" s="26"/>
      <c r="E42" s="26"/>
      <c r="F42" s="27"/>
      <c r="G42" s="28"/>
      <c r="H42" s="29"/>
      <c r="I42" s="30"/>
      <c r="J42" s="22"/>
      <c r="K42" s="22"/>
      <c r="L42" s="22"/>
      <c r="M42" s="22"/>
      <c r="N42" s="22"/>
      <c r="O42" s="23"/>
    </row>
    <row r="43" spans="1:16" x14ac:dyDescent="0.25">
      <c r="A43" s="24"/>
      <c r="B43" s="82"/>
      <c r="C43" s="25"/>
      <c r="D43" s="26"/>
      <c r="E43" s="26"/>
      <c r="F43" s="32"/>
      <c r="G43" s="28">
        <f>SUM(24-E43)</f>
        <v>24</v>
      </c>
      <c r="H43" s="29">
        <f>SUM(D43+F43)</f>
        <v>0</v>
      </c>
      <c r="I43" s="30">
        <f>SUM(D43/24*E43+H43/24*G43)</f>
        <v>0</v>
      </c>
      <c r="J43" s="22"/>
      <c r="K43" s="22"/>
      <c r="L43" s="22"/>
      <c r="M43" s="22"/>
      <c r="N43" s="22"/>
      <c r="O43" s="23"/>
    </row>
    <row r="44" spans="1:16" x14ac:dyDescent="0.25">
      <c r="A44" s="24"/>
      <c r="B44" s="82"/>
      <c r="C44" s="25"/>
      <c r="D44" s="26"/>
      <c r="E44" s="26"/>
      <c r="F44" s="32"/>
      <c r="G44" s="28">
        <f>SUM(24-E44)</f>
        <v>24</v>
      </c>
      <c r="H44" s="29">
        <f>SUM(D44+F44)</f>
        <v>0</v>
      </c>
      <c r="I44" s="30">
        <f>SUM(D44/24*E44+H44/24*G44)</f>
        <v>0</v>
      </c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ht="13.15" customHeight="1" x14ac:dyDescent="0.25">
      <c r="A48" s="33"/>
      <c r="B48" s="33"/>
      <c r="C48" s="34"/>
      <c r="D48" s="34"/>
      <c r="E48" s="34"/>
      <c r="F48" s="34"/>
      <c r="G48" s="34"/>
      <c r="H48" s="35"/>
      <c r="I48" s="22"/>
      <c r="J48" s="22"/>
      <c r="K48" s="22"/>
      <c r="L48" s="22"/>
      <c r="M48" s="22"/>
      <c r="N48" s="22"/>
      <c r="O48" s="23"/>
      <c r="P48" s="22"/>
    </row>
    <row r="49" spans="1:16" ht="15.75" thickBot="1" x14ac:dyDescent="0.3">
      <c r="A49" s="36" t="s">
        <v>18</v>
      </c>
      <c r="B49" s="36"/>
      <c r="C49" s="36"/>
      <c r="D49" s="36"/>
      <c r="E49" s="36"/>
      <c r="F49" s="37"/>
      <c r="G49" s="38"/>
      <c r="H49" s="35"/>
      <c r="I49" s="22"/>
      <c r="J49" s="22"/>
      <c r="K49" s="22"/>
      <c r="L49" s="22"/>
      <c r="M49" s="22"/>
      <c r="N49" s="22"/>
      <c r="O49" s="23"/>
      <c r="P49" s="22"/>
    </row>
    <row r="50" spans="1:16" ht="26.25" x14ac:dyDescent="0.25">
      <c r="A50" s="39" t="s">
        <v>19</v>
      </c>
      <c r="B50" s="83"/>
      <c r="C50" s="40" t="s">
        <v>13</v>
      </c>
      <c r="D50" s="41" t="s">
        <v>14</v>
      </c>
      <c r="E50" s="41" t="s">
        <v>15</v>
      </c>
      <c r="F50" s="42" t="s">
        <v>16</v>
      </c>
      <c r="G50" s="43" t="s">
        <v>20</v>
      </c>
      <c r="H50" s="44"/>
      <c r="I50" s="45"/>
      <c r="J50" s="46"/>
      <c r="K50" s="46"/>
    </row>
    <row r="51" spans="1:16" ht="15.75" x14ac:dyDescent="0.25">
      <c r="A51" s="47"/>
      <c r="B51" s="84"/>
      <c r="C51" s="48"/>
      <c r="D51" s="49"/>
      <c r="E51" s="50"/>
      <c r="F51" s="51"/>
      <c r="G51" s="52">
        <f>SUM(D51/24*E51)</f>
        <v>0</v>
      </c>
      <c r="H51" s="53"/>
      <c r="I51" s="54"/>
      <c r="J51" s="55"/>
      <c r="K51" s="55"/>
    </row>
    <row r="52" spans="1:16" x14ac:dyDescent="0.25">
      <c r="A52" s="56"/>
      <c r="B52" s="85"/>
      <c r="C52" s="57"/>
      <c r="D52" s="58"/>
      <c r="E52" s="50"/>
      <c r="F52" s="59"/>
      <c r="G52" s="60">
        <f>SUM(D52/24*E52)</f>
        <v>0</v>
      </c>
      <c r="H52" s="53"/>
      <c r="I52" s="54"/>
    </row>
    <row r="53" spans="1:16" x14ac:dyDescent="0.25">
      <c r="A53" s="56"/>
      <c r="B53" s="85"/>
      <c r="C53" s="57"/>
      <c r="D53" s="58"/>
      <c r="E53" s="50"/>
      <c r="F53" s="61"/>
      <c r="G53" s="60">
        <f>SUM(D53/24*E53)</f>
        <v>0</v>
      </c>
      <c r="H53" s="53"/>
      <c r="I53" s="54"/>
    </row>
    <row r="54" spans="1:16" x14ac:dyDescent="0.25">
      <c r="A54" s="56"/>
      <c r="B54" s="85"/>
      <c r="C54" s="57"/>
      <c r="D54" s="58"/>
      <c r="E54" s="50"/>
      <c r="F54" s="61"/>
      <c r="G54" s="60">
        <f>SUM(D54/24*E54)</f>
        <v>0</v>
      </c>
      <c r="H54" s="53"/>
      <c r="I54" s="54"/>
    </row>
    <row r="55" spans="1:16" ht="15.75" thickBot="1" x14ac:dyDescent="0.3">
      <c r="A55" s="62"/>
      <c r="B55" s="86"/>
      <c r="C55" s="63"/>
      <c r="D55" s="64"/>
      <c r="E55" s="65"/>
      <c r="F55" s="64"/>
      <c r="G55" s="66">
        <f>SUM(D55/24*E55)</f>
        <v>0</v>
      </c>
      <c r="H55" s="53"/>
      <c r="I55" s="54"/>
    </row>
    <row r="56" spans="1:16" s="72" customFormat="1" ht="30" customHeight="1" x14ac:dyDescent="0.25">
      <c r="A56" s="244" t="s">
        <v>21</v>
      </c>
      <c r="B56" s="245"/>
      <c r="C56" s="245"/>
      <c r="D56" s="246"/>
      <c r="E56" s="67">
        <f>SUM(E51:E55)</f>
        <v>0</v>
      </c>
      <c r="F56" s="68" t="s">
        <v>22</v>
      </c>
      <c r="G56" s="69">
        <f>SUM(G51:G55)</f>
        <v>0</v>
      </c>
      <c r="H56" s="70"/>
      <c r="I56" s="71"/>
    </row>
  </sheetData>
  <mergeCells count="4">
    <mergeCell ref="A39:G39"/>
    <mergeCell ref="H39:I40"/>
    <mergeCell ref="A41:K41"/>
    <mergeCell ref="A56:D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P58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4.7109375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1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7">
        <v>46023</v>
      </c>
      <c r="B3" s="77">
        <v>172</v>
      </c>
      <c r="C3" s="77">
        <v>0</v>
      </c>
      <c r="D3" s="77">
        <v>40</v>
      </c>
      <c r="E3" s="77">
        <v>0</v>
      </c>
      <c r="F3" s="77">
        <v>0</v>
      </c>
      <c r="G3" s="77">
        <v>0</v>
      </c>
      <c r="H3" s="77">
        <v>450</v>
      </c>
      <c r="I3" s="77"/>
      <c r="J3" s="76"/>
    </row>
    <row r="4" spans="1:10" x14ac:dyDescent="0.25">
      <c r="A4" s="7">
        <f>A3+1</f>
        <v>46024</v>
      </c>
      <c r="B4" s="77">
        <v>184</v>
      </c>
      <c r="C4" s="77">
        <v>0</v>
      </c>
      <c r="D4" s="77">
        <v>40</v>
      </c>
      <c r="E4" s="77">
        <v>0</v>
      </c>
      <c r="F4" s="77">
        <v>0</v>
      </c>
      <c r="G4" s="77">
        <v>0</v>
      </c>
      <c r="H4" s="77">
        <v>450</v>
      </c>
      <c r="I4" s="77"/>
      <c r="J4" s="76"/>
    </row>
    <row r="5" spans="1:10" x14ac:dyDescent="0.25">
      <c r="A5" s="7">
        <f t="shared" ref="A5:A33" si="0">A4+1</f>
        <v>46025</v>
      </c>
      <c r="B5" s="77">
        <v>217</v>
      </c>
      <c r="C5" s="77">
        <v>0</v>
      </c>
      <c r="D5" s="77">
        <v>40</v>
      </c>
      <c r="E5" s="77">
        <v>0</v>
      </c>
      <c r="F5" s="77">
        <v>0</v>
      </c>
      <c r="G5" s="77">
        <v>0</v>
      </c>
      <c r="H5" s="77">
        <v>450</v>
      </c>
      <c r="I5" s="77"/>
      <c r="J5" s="76"/>
    </row>
    <row r="6" spans="1:10" x14ac:dyDescent="0.25">
      <c r="A6" s="7">
        <f t="shared" si="0"/>
        <v>46026</v>
      </c>
      <c r="B6" s="77">
        <v>236</v>
      </c>
      <c r="C6" s="77">
        <v>0</v>
      </c>
      <c r="D6" s="77">
        <v>43</v>
      </c>
      <c r="E6" s="77">
        <v>0</v>
      </c>
      <c r="F6" s="77">
        <v>0</v>
      </c>
      <c r="G6" s="77">
        <v>0</v>
      </c>
      <c r="H6" s="77">
        <v>450</v>
      </c>
      <c r="I6" s="77"/>
      <c r="J6" s="76"/>
    </row>
    <row r="7" spans="1:10" x14ac:dyDescent="0.25">
      <c r="A7" s="7">
        <f t="shared" si="0"/>
        <v>46027</v>
      </c>
      <c r="B7" s="77">
        <v>323</v>
      </c>
      <c r="C7" s="77">
        <v>0</v>
      </c>
      <c r="D7" s="77">
        <v>57</v>
      </c>
      <c r="E7" s="77">
        <v>0</v>
      </c>
      <c r="F7" s="77">
        <v>1</v>
      </c>
      <c r="G7" s="77">
        <v>0</v>
      </c>
      <c r="H7" s="77">
        <v>449</v>
      </c>
      <c r="I7" s="77"/>
      <c r="J7" s="76"/>
    </row>
    <row r="8" spans="1:10" x14ac:dyDescent="0.25">
      <c r="A8" s="7">
        <f t="shared" si="0"/>
        <v>46028</v>
      </c>
      <c r="B8" s="77">
        <v>401</v>
      </c>
      <c r="C8" s="77">
        <v>0</v>
      </c>
      <c r="D8" s="77">
        <v>63</v>
      </c>
      <c r="E8" s="77">
        <v>0</v>
      </c>
      <c r="F8" s="77" t="s">
        <v>30</v>
      </c>
      <c r="G8" s="77">
        <v>0</v>
      </c>
      <c r="H8" s="77">
        <v>449</v>
      </c>
      <c r="I8" s="77"/>
      <c r="J8" s="76"/>
    </row>
    <row r="9" spans="1:10" x14ac:dyDescent="0.25">
      <c r="A9" s="7">
        <f t="shared" si="0"/>
        <v>46029</v>
      </c>
      <c r="B9" s="77">
        <v>353</v>
      </c>
      <c r="C9" s="77">
        <v>0</v>
      </c>
      <c r="D9" s="77">
        <v>56</v>
      </c>
      <c r="E9" s="77">
        <v>0</v>
      </c>
      <c r="F9" s="77" t="s">
        <v>30</v>
      </c>
      <c r="G9" s="77">
        <v>0</v>
      </c>
      <c r="H9" s="77">
        <v>449</v>
      </c>
      <c r="I9" s="77"/>
      <c r="J9" s="76"/>
    </row>
    <row r="10" spans="1:10" x14ac:dyDescent="0.25">
      <c r="A10" s="7">
        <f t="shared" si="0"/>
        <v>46030</v>
      </c>
      <c r="B10" s="77">
        <v>318</v>
      </c>
      <c r="C10" s="77">
        <v>0</v>
      </c>
      <c r="D10" s="77">
        <v>50</v>
      </c>
      <c r="E10" s="77">
        <v>0</v>
      </c>
      <c r="F10" s="77">
        <v>0.05</v>
      </c>
      <c r="G10" s="77">
        <v>0</v>
      </c>
      <c r="H10" s="77">
        <v>449</v>
      </c>
      <c r="I10" s="77"/>
      <c r="J10" s="76"/>
    </row>
    <row r="11" spans="1:10" x14ac:dyDescent="0.25">
      <c r="A11" s="7">
        <f t="shared" si="0"/>
        <v>46031</v>
      </c>
      <c r="B11" s="77">
        <v>317</v>
      </c>
      <c r="C11" s="77">
        <v>0</v>
      </c>
      <c r="D11" s="77">
        <v>51</v>
      </c>
      <c r="E11" s="77">
        <v>0</v>
      </c>
      <c r="F11" s="77">
        <v>0</v>
      </c>
      <c r="G11" s="77">
        <v>0</v>
      </c>
      <c r="H11" s="77">
        <v>449</v>
      </c>
      <c r="I11" s="77"/>
      <c r="J11" s="76"/>
    </row>
    <row r="12" spans="1:10" x14ac:dyDescent="0.25">
      <c r="A12" s="7">
        <f t="shared" si="0"/>
        <v>46032</v>
      </c>
      <c r="B12" s="77">
        <v>387</v>
      </c>
      <c r="C12" s="77">
        <v>0</v>
      </c>
      <c r="D12" s="77">
        <v>42</v>
      </c>
      <c r="E12" s="77">
        <v>0</v>
      </c>
      <c r="F12" s="77">
        <v>0</v>
      </c>
      <c r="G12" s="77">
        <v>0</v>
      </c>
      <c r="H12" s="77">
        <v>449</v>
      </c>
      <c r="I12" s="77"/>
      <c r="J12" s="76"/>
    </row>
    <row r="13" spans="1:10" x14ac:dyDescent="0.25">
      <c r="A13" s="7">
        <f t="shared" si="0"/>
        <v>46033</v>
      </c>
      <c r="B13" s="77">
        <v>173</v>
      </c>
      <c r="C13" s="77">
        <v>0</v>
      </c>
      <c r="D13" s="77">
        <v>40</v>
      </c>
      <c r="E13" s="77">
        <v>0</v>
      </c>
      <c r="F13" s="77">
        <v>0</v>
      </c>
      <c r="G13" s="77">
        <v>0</v>
      </c>
      <c r="H13" s="77">
        <v>449</v>
      </c>
      <c r="I13" s="77"/>
      <c r="J13" s="76"/>
    </row>
    <row r="14" spans="1:10" x14ac:dyDescent="0.25">
      <c r="A14" s="7">
        <f t="shared" si="0"/>
        <v>46034</v>
      </c>
      <c r="B14" s="77">
        <v>126</v>
      </c>
      <c r="C14" s="77">
        <v>0</v>
      </c>
      <c r="D14" s="77">
        <v>40</v>
      </c>
      <c r="E14" s="77">
        <v>0</v>
      </c>
      <c r="F14" s="77">
        <v>0</v>
      </c>
      <c r="G14" s="77">
        <v>0</v>
      </c>
      <c r="H14" s="77">
        <v>449</v>
      </c>
      <c r="I14" s="77"/>
      <c r="J14" s="76"/>
    </row>
    <row r="15" spans="1:10" x14ac:dyDescent="0.25">
      <c r="A15" s="7">
        <f t="shared" si="0"/>
        <v>46035</v>
      </c>
      <c r="B15" s="77">
        <v>129</v>
      </c>
      <c r="C15" s="77">
        <v>0</v>
      </c>
      <c r="D15" s="77">
        <v>40</v>
      </c>
      <c r="E15" s="77">
        <v>0</v>
      </c>
      <c r="F15" s="77">
        <v>0</v>
      </c>
      <c r="G15" s="77">
        <v>0</v>
      </c>
      <c r="H15" s="77">
        <v>449</v>
      </c>
      <c r="I15" s="77"/>
      <c r="J15" s="76"/>
    </row>
    <row r="16" spans="1:10" x14ac:dyDescent="0.25">
      <c r="A16" s="7">
        <f t="shared" si="0"/>
        <v>46036</v>
      </c>
      <c r="B16" s="77">
        <v>129</v>
      </c>
      <c r="C16" s="77">
        <v>0</v>
      </c>
      <c r="D16" s="77">
        <v>40</v>
      </c>
      <c r="E16" s="77">
        <v>0</v>
      </c>
      <c r="F16" s="77">
        <v>0.02</v>
      </c>
      <c r="G16" s="77">
        <v>0</v>
      </c>
      <c r="H16" s="77">
        <v>449</v>
      </c>
      <c r="I16" s="77"/>
      <c r="J16" s="76"/>
    </row>
    <row r="17" spans="1:10" x14ac:dyDescent="0.25">
      <c r="A17" s="7">
        <f t="shared" si="0"/>
        <v>46037</v>
      </c>
      <c r="B17" s="77">
        <v>129</v>
      </c>
      <c r="C17" s="77">
        <v>0</v>
      </c>
      <c r="D17" s="77">
        <v>40</v>
      </c>
      <c r="E17" s="77">
        <v>0</v>
      </c>
      <c r="F17" s="77">
        <v>0</v>
      </c>
      <c r="G17" s="77">
        <v>0</v>
      </c>
      <c r="H17" s="77">
        <v>449</v>
      </c>
      <c r="I17" s="77"/>
      <c r="J17" s="76"/>
    </row>
    <row r="18" spans="1:10" x14ac:dyDescent="0.25">
      <c r="A18" s="7">
        <f t="shared" si="0"/>
        <v>46038</v>
      </c>
      <c r="B18" s="77">
        <v>120</v>
      </c>
      <c r="C18" s="77">
        <v>0</v>
      </c>
      <c r="D18" s="77">
        <v>42</v>
      </c>
      <c r="E18" s="77">
        <v>0</v>
      </c>
      <c r="F18" s="77" t="s">
        <v>30</v>
      </c>
      <c r="G18" s="77">
        <v>0</v>
      </c>
      <c r="H18" s="77">
        <v>449</v>
      </c>
      <c r="I18" s="77"/>
      <c r="J18" s="76"/>
    </row>
    <row r="19" spans="1:10" x14ac:dyDescent="0.25">
      <c r="A19" s="7">
        <f t="shared" si="0"/>
        <v>46039</v>
      </c>
      <c r="B19" s="77">
        <v>119</v>
      </c>
      <c r="C19" s="77">
        <v>0</v>
      </c>
      <c r="D19" s="77">
        <v>41</v>
      </c>
      <c r="E19" s="77">
        <v>0</v>
      </c>
      <c r="F19" s="77">
        <v>0</v>
      </c>
      <c r="G19" s="77">
        <v>0</v>
      </c>
      <c r="H19" s="77">
        <v>449</v>
      </c>
      <c r="I19" s="77"/>
      <c r="J19" s="234"/>
    </row>
    <row r="20" spans="1:10" x14ac:dyDescent="0.25">
      <c r="A20" s="7">
        <f t="shared" si="0"/>
        <v>46040</v>
      </c>
      <c r="B20" s="77">
        <v>119</v>
      </c>
      <c r="C20" s="77">
        <v>0</v>
      </c>
      <c r="D20" s="77">
        <v>40</v>
      </c>
      <c r="E20" s="77">
        <v>0</v>
      </c>
      <c r="F20" s="77">
        <v>0</v>
      </c>
      <c r="G20" s="77">
        <v>0</v>
      </c>
      <c r="H20" s="77">
        <v>449</v>
      </c>
      <c r="I20" s="77"/>
      <c r="J20" s="76"/>
    </row>
    <row r="21" spans="1:10" x14ac:dyDescent="0.25">
      <c r="A21" s="7">
        <f t="shared" si="0"/>
        <v>46041</v>
      </c>
      <c r="B21" s="77">
        <v>114</v>
      </c>
      <c r="C21" s="77">
        <v>0</v>
      </c>
      <c r="D21" s="77">
        <v>40</v>
      </c>
      <c r="E21" s="77">
        <v>0</v>
      </c>
      <c r="F21" s="77">
        <v>0</v>
      </c>
      <c r="G21" s="77">
        <v>0</v>
      </c>
      <c r="H21" s="77">
        <v>449</v>
      </c>
      <c r="I21" s="77"/>
      <c r="J21" s="76"/>
    </row>
    <row r="22" spans="1:10" x14ac:dyDescent="0.25">
      <c r="A22" s="7">
        <f t="shared" si="0"/>
        <v>46042</v>
      </c>
      <c r="B22" s="77">
        <v>114</v>
      </c>
      <c r="C22" s="77">
        <v>0</v>
      </c>
      <c r="D22" s="77">
        <v>40</v>
      </c>
      <c r="E22" s="77">
        <v>0</v>
      </c>
      <c r="F22" s="77">
        <v>0</v>
      </c>
      <c r="G22" s="77">
        <v>0</v>
      </c>
      <c r="H22" s="77">
        <v>388</v>
      </c>
      <c r="I22" s="77"/>
      <c r="J22" s="76" t="s">
        <v>48</v>
      </c>
    </row>
    <row r="23" spans="1:10" x14ac:dyDescent="0.25">
      <c r="A23" s="7">
        <f t="shared" si="0"/>
        <v>46043</v>
      </c>
      <c r="B23" s="77">
        <v>90</v>
      </c>
      <c r="C23" s="77">
        <v>0</v>
      </c>
      <c r="D23" s="77">
        <v>40</v>
      </c>
      <c r="E23" s="77">
        <v>0</v>
      </c>
      <c r="F23" s="77">
        <v>0.01</v>
      </c>
      <c r="G23" s="77">
        <v>0</v>
      </c>
      <c r="H23" s="77">
        <v>294</v>
      </c>
      <c r="I23" s="77"/>
      <c r="J23" s="76"/>
    </row>
    <row r="24" spans="1:10" x14ac:dyDescent="0.25">
      <c r="A24" s="7">
        <f t="shared" si="0"/>
        <v>46044</v>
      </c>
      <c r="B24" s="77">
        <v>86</v>
      </c>
      <c r="C24" s="77">
        <v>0</v>
      </c>
      <c r="D24" s="77">
        <v>40</v>
      </c>
      <c r="E24" s="77">
        <v>0</v>
      </c>
      <c r="F24" s="77">
        <v>0</v>
      </c>
      <c r="G24" s="77">
        <v>0</v>
      </c>
      <c r="H24" s="77">
        <v>294</v>
      </c>
      <c r="I24" s="77"/>
      <c r="J24" s="76"/>
    </row>
    <row r="25" spans="1:10" x14ac:dyDescent="0.25">
      <c r="A25" s="7">
        <f t="shared" si="0"/>
        <v>46045</v>
      </c>
      <c r="B25" s="77">
        <v>98</v>
      </c>
      <c r="C25" s="77">
        <v>0</v>
      </c>
      <c r="D25" s="77">
        <v>40</v>
      </c>
      <c r="E25" s="77">
        <v>0</v>
      </c>
      <c r="F25" s="77">
        <v>0</v>
      </c>
      <c r="G25" s="77">
        <v>0</v>
      </c>
      <c r="H25" s="77">
        <v>294</v>
      </c>
      <c r="I25" s="77"/>
      <c r="J25" s="76"/>
    </row>
    <row r="26" spans="1:10" x14ac:dyDescent="0.25">
      <c r="A26" s="7">
        <f t="shared" si="0"/>
        <v>46046</v>
      </c>
      <c r="B26" s="77">
        <v>98</v>
      </c>
      <c r="C26" s="77">
        <v>0</v>
      </c>
      <c r="D26" s="77">
        <v>40</v>
      </c>
      <c r="E26" s="77">
        <v>0</v>
      </c>
      <c r="F26" s="77">
        <v>0</v>
      </c>
      <c r="G26" s="77">
        <v>0</v>
      </c>
      <c r="H26" s="77">
        <v>294</v>
      </c>
      <c r="I26" s="77"/>
      <c r="J26" s="76"/>
    </row>
    <row r="27" spans="1:10" x14ac:dyDescent="0.25">
      <c r="A27" s="7">
        <f t="shared" si="0"/>
        <v>46047</v>
      </c>
      <c r="B27" s="77">
        <v>101</v>
      </c>
      <c r="C27" s="77">
        <v>0</v>
      </c>
      <c r="D27" s="77">
        <v>40</v>
      </c>
      <c r="E27" s="77">
        <v>0</v>
      </c>
      <c r="F27" s="77">
        <v>0</v>
      </c>
      <c r="G27" s="77">
        <v>0</v>
      </c>
      <c r="H27" s="77">
        <v>294</v>
      </c>
      <c r="I27" s="77"/>
      <c r="J27" s="76"/>
    </row>
    <row r="28" spans="1:10" x14ac:dyDescent="0.25">
      <c r="A28" s="7">
        <f t="shared" si="0"/>
        <v>46048</v>
      </c>
      <c r="B28" s="77">
        <v>99</v>
      </c>
      <c r="C28" s="77">
        <v>0</v>
      </c>
      <c r="D28" s="77">
        <v>40</v>
      </c>
      <c r="E28" s="77">
        <v>0</v>
      </c>
      <c r="F28" s="77">
        <v>0</v>
      </c>
      <c r="G28" s="77">
        <v>0</v>
      </c>
      <c r="H28" s="77">
        <v>300</v>
      </c>
      <c r="I28" s="77"/>
      <c r="J28" s="76"/>
    </row>
    <row r="29" spans="1:10" x14ac:dyDescent="0.25">
      <c r="A29" s="7">
        <f t="shared" si="0"/>
        <v>46049</v>
      </c>
      <c r="B29" s="77">
        <v>100</v>
      </c>
      <c r="C29" s="77">
        <v>0</v>
      </c>
      <c r="D29" s="77">
        <v>40</v>
      </c>
      <c r="E29" s="77">
        <v>0</v>
      </c>
      <c r="F29" s="77" t="s">
        <v>30</v>
      </c>
      <c r="G29" s="77">
        <v>0</v>
      </c>
      <c r="H29" s="77">
        <v>300</v>
      </c>
      <c r="I29" s="77"/>
      <c r="J29" s="76"/>
    </row>
    <row r="30" spans="1:10" x14ac:dyDescent="0.25">
      <c r="A30" s="7">
        <f t="shared" si="0"/>
        <v>46050</v>
      </c>
      <c r="B30" s="77">
        <v>96</v>
      </c>
      <c r="C30" s="77">
        <v>0</v>
      </c>
      <c r="D30" s="77">
        <v>32</v>
      </c>
      <c r="E30" s="77">
        <v>0</v>
      </c>
      <c r="F30" s="77">
        <v>0</v>
      </c>
      <c r="G30" s="77">
        <v>0</v>
      </c>
      <c r="H30" s="77">
        <v>300</v>
      </c>
      <c r="I30" s="77"/>
      <c r="J30" s="76"/>
    </row>
    <row r="31" spans="1:10" x14ac:dyDescent="0.25">
      <c r="A31" s="7">
        <f t="shared" si="0"/>
        <v>46051</v>
      </c>
      <c r="B31" s="77">
        <v>94</v>
      </c>
      <c r="C31" s="77">
        <v>0</v>
      </c>
      <c r="D31" s="77">
        <v>20</v>
      </c>
      <c r="E31" s="77">
        <v>0</v>
      </c>
      <c r="F31" s="77">
        <v>0</v>
      </c>
      <c r="G31" s="77">
        <v>0</v>
      </c>
      <c r="H31" s="77">
        <v>300</v>
      </c>
      <c r="I31" s="77"/>
      <c r="J31" s="76"/>
    </row>
    <row r="32" spans="1:10" x14ac:dyDescent="0.25">
      <c r="A32" s="7">
        <f t="shared" si="0"/>
        <v>46052</v>
      </c>
      <c r="B32" s="77">
        <v>100</v>
      </c>
      <c r="C32" s="77">
        <v>0</v>
      </c>
      <c r="D32" s="77">
        <v>20</v>
      </c>
      <c r="E32" s="77">
        <v>0</v>
      </c>
      <c r="F32" s="77">
        <v>0</v>
      </c>
      <c r="G32" s="77">
        <v>0</v>
      </c>
      <c r="H32" s="77">
        <v>209</v>
      </c>
      <c r="I32" s="77"/>
      <c r="J32" s="76" t="s">
        <v>49</v>
      </c>
    </row>
    <row r="33" spans="1:16" ht="15.75" thickBot="1" x14ac:dyDescent="0.3">
      <c r="A33" s="7">
        <f t="shared" si="0"/>
        <v>46053</v>
      </c>
      <c r="B33" s="77">
        <v>101</v>
      </c>
      <c r="C33" s="77">
        <v>0</v>
      </c>
      <c r="D33" s="77">
        <v>20</v>
      </c>
      <c r="E33" s="77">
        <v>0</v>
      </c>
      <c r="F33" s="77">
        <v>0</v>
      </c>
      <c r="G33" s="77">
        <v>0</v>
      </c>
      <c r="H33" s="77">
        <v>160</v>
      </c>
      <c r="I33" s="77"/>
      <c r="J33" s="76"/>
    </row>
    <row r="34" spans="1:16" s="6" customFormat="1" ht="15.75" thickTop="1" x14ac:dyDescent="0.25">
      <c r="A34" s="10" t="s">
        <v>8</v>
      </c>
      <c r="B34" s="11">
        <f>SUM(B3:B33)</f>
        <v>5243</v>
      </c>
      <c r="C34" s="11">
        <f t="shared" ref="C34:H34" si="1">SUM(C3:C33)</f>
        <v>0</v>
      </c>
      <c r="D34" s="11">
        <f t="shared" si="1"/>
        <v>1257</v>
      </c>
      <c r="E34" s="11">
        <f t="shared" si="1"/>
        <v>0</v>
      </c>
      <c r="F34" s="12">
        <f t="shared" si="1"/>
        <v>1.08</v>
      </c>
      <c r="G34" s="12">
        <f t="shared" si="1"/>
        <v>0</v>
      </c>
      <c r="H34" s="11">
        <f t="shared" si="1"/>
        <v>11962</v>
      </c>
      <c r="I34" s="12"/>
    </row>
    <row r="35" spans="1:16" s="6" customFormat="1" x14ac:dyDescent="0.25">
      <c r="A35" s="13" t="s">
        <v>9</v>
      </c>
      <c r="B35" s="14">
        <f>SUM(B34+'Dec 2025'!B35)</f>
        <v>7820</v>
      </c>
      <c r="C35" s="14">
        <f>SUM(C34+'Dec 2025'!C35)</f>
        <v>741</v>
      </c>
      <c r="D35" s="14">
        <f>SUM(D34+'Dec 2025'!D35)</f>
        <v>7801</v>
      </c>
      <c r="E35" s="14">
        <f>SUM(E34+'Dec 2025'!E35)</f>
        <v>7713</v>
      </c>
      <c r="F35" s="15">
        <f>SUM(F34+'Dec 2025'!F35)</f>
        <v>5.6400000000000006</v>
      </c>
      <c r="G35" s="15">
        <f>SUM(G34+'Dec 2025'!G35)</f>
        <v>0</v>
      </c>
      <c r="H35" s="14">
        <f>SUM(H34+'Dec 2025'!H35)</f>
        <v>30748</v>
      </c>
      <c r="I35" s="15"/>
    </row>
    <row r="37" spans="1:16" x14ac:dyDescent="0.25">
      <c r="A37" t="s">
        <v>10</v>
      </c>
      <c r="B37" s="17">
        <f>SUM(B3:B33)*1.9835</f>
        <v>10399.4905</v>
      </c>
      <c r="C37" s="17">
        <f>SUM(C3:C33)*1.9835</f>
        <v>0</v>
      </c>
      <c r="D37" s="17">
        <f>SUM(D3:D33)*1.9835</f>
        <v>2493.2595000000001</v>
      </c>
      <c r="E37" s="17">
        <f>SUM(E3:E33)*1.9835</f>
        <v>0</v>
      </c>
      <c r="F37" s="17"/>
      <c r="G37" s="17"/>
      <c r="H37" s="17"/>
      <c r="J37" s="16"/>
    </row>
    <row r="39" spans="1:16" x14ac:dyDescent="0.25">
      <c r="A39" t="s">
        <v>24</v>
      </c>
      <c r="B39" s="17">
        <f>SUM(B37+'Dec 2025'!B39)</f>
        <v>15510.97</v>
      </c>
      <c r="C39" s="17">
        <f>SUM(C37+'Dec 2025'!C39)</f>
        <v>1469.7735000000002</v>
      </c>
      <c r="D39" s="17">
        <f>SUM(D37+'Dec 2025'!D39)</f>
        <v>15473.283500000001</v>
      </c>
      <c r="E39" s="17">
        <f>SUM(E37+'Dec 2025'!E39)</f>
        <v>15298.735499999999</v>
      </c>
      <c r="F39" s="17"/>
      <c r="G39" s="17"/>
      <c r="H39" s="17"/>
      <c r="J39" s="16"/>
    </row>
    <row r="40" spans="1:16" x14ac:dyDescent="0.25">
      <c r="C40" s="17"/>
      <c r="D40" s="17"/>
      <c r="E40" s="17"/>
      <c r="F40" s="17"/>
      <c r="G40" s="17"/>
      <c r="H40" s="17"/>
      <c r="J40" s="16"/>
    </row>
    <row r="41" spans="1:16" ht="17.45" customHeight="1" x14ac:dyDescent="0.25">
      <c r="A41" s="238"/>
      <c r="B41" s="238"/>
      <c r="C41" s="238"/>
      <c r="D41" s="238"/>
      <c r="E41" s="238"/>
      <c r="F41" s="238"/>
      <c r="G41" s="239"/>
      <c r="H41" s="240" t="s">
        <v>12</v>
      </c>
      <c r="I41" s="241"/>
      <c r="J41" s="20"/>
      <c r="K41" s="20"/>
      <c r="L41" s="20"/>
      <c r="M41" s="20"/>
      <c r="N41" s="20"/>
      <c r="O41" s="21"/>
      <c r="P41" s="20"/>
    </row>
    <row r="42" spans="1:16" ht="16.899999999999999" customHeight="1" x14ac:dyDescent="0.25">
      <c r="A42" s="19"/>
      <c r="B42" s="19"/>
      <c r="C42" s="19"/>
      <c r="D42" s="19"/>
      <c r="E42" s="19"/>
      <c r="F42" s="19"/>
      <c r="G42" s="19"/>
      <c r="H42" s="240"/>
      <c r="I42" s="241"/>
      <c r="J42" s="20"/>
      <c r="K42" s="20"/>
      <c r="L42" s="20"/>
      <c r="M42" s="20"/>
      <c r="N42" s="20"/>
      <c r="O42" s="21"/>
      <c r="P42" s="20"/>
    </row>
    <row r="43" spans="1:16" ht="13.9" customHeight="1" x14ac:dyDescent="0.25">
      <c r="A43" s="243" t="s">
        <v>23</v>
      </c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2"/>
      <c r="M43" s="22"/>
      <c r="N43" s="22"/>
      <c r="O43" s="23"/>
      <c r="P43" s="22"/>
    </row>
    <row r="44" spans="1:16" ht="15.6" customHeight="1" x14ac:dyDescent="0.25">
      <c r="A44" s="31" t="s">
        <v>17</v>
      </c>
      <c r="B44" s="81"/>
      <c r="C44" s="25"/>
      <c r="D44" s="26"/>
      <c r="E44" s="26"/>
      <c r="F44" s="27"/>
      <c r="G44" s="28"/>
      <c r="H44" s="29"/>
      <c r="I44" s="30"/>
      <c r="J44" s="22"/>
      <c r="K44" s="22"/>
      <c r="L44" s="22"/>
      <c r="M44" s="22"/>
      <c r="N44" s="22"/>
      <c r="O44" s="23"/>
    </row>
    <row r="45" spans="1:16" x14ac:dyDescent="0.25">
      <c r="A45" s="24"/>
      <c r="B45" s="82"/>
      <c r="C45" s="25"/>
      <c r="D45" s="26"/>
      <c r="E45" s="26"/>
      <c r="F45" s="32"/>
      <c r="G45" s="28">
        <f>SUM(24-E45)</f>
        <v>24</v>
      </c>
      <c r="H45" s="29">
        <f>SUM(D45+F45)</f>
        <v>0</v>
      </c>
      <c r="I45" s="30">
        <f>SUM(D45/24*E45+H45/24*G45)</f>
        <v>0</v>
      </c>
      <c r="J45" s="22"/>
      <c r="K45" s="22"/>
      <c r="L45" s="22"/>
      <c r="M45" s="22"/>
      <c r="N45" s="22"/>
      <c r="O45" s="23"/>
    </row>
    <row r="46" spans="1:16" x14ac:dyDescent="0.25">
      <c r="A46" s="24"/>
      <c r="B46" s="82"/>
      <c r="C46" s="25"/>
      <c r="D46" s="26"/>
      <c r="E46" s="26"/>
      <c r="F46" s="32"/>
      <c r="G46" s="28">
        <f>SUM(24-E46)</f>
        <v>24</v>
      </c>
      <c r="H46" s="29">
        <f>SUM(D46+F46)</f>
        <v>0</v>
      </c>
      <c r="I46" s="30">
        <f>SUM(D46/24*E46+H46/24*G46)</f>
        <v>0</v>
      </c>
      <c r="J46" s="22"/>
      <c r="K46" s="22"/>
      <c r="L46" s="22"/>
      <c r="M46" s="22"/>
      <c r="N46" s="22"/>
      <c r="O46" s="23"/>
    </row>
    <row r="47" spans="1:16" x14ac:dyDescent="0.25">
      <c r="A47" s="24"/>
      <c r="B47" s="82"/>
      <c r="C47" s="25"/>
      <c r="D47" s="26"/>
      <c r="E47" s="26"/>
      <c r="F47" s="32"/>
      <c r="G47" s="28">
        <f>SUM(24-E47)</f>
        <v>24</v>
      </c>
      <c r="H47" s="29">
        <f>SUM(D47+F47)</f>
        <v>0</v>
      </c>
      <c r="I47" s="30">
        <f>SUM(D47/24*E47+H47/24*G47)</f>
        <v>0</v>
      </c>
      <c r="J47" s="22"/>
      <c r="K47" s="22"/>
      <c r="L47" s="22"/>
      <c r="M47" s="22"/>
      <c r="N47" s="22"/>
      <c r="O47" s="23"/>
    </row>
    <row r="48" spans="1:16" x14ac:dyDescent="0.25">
      <c r="A48" s="24"/>
      <c r="B48" s="82"/>
      <c r="C48" s="25"/>
      <c r="D48" s="26"/>
      <c r="E48" s="26"/>
      <c r="F48" s="32"/>
      <c r="G48" s="28">
        <f>SUM(24-E48)</f>
        <v>24</v>
      </c>
      <c r="H48" s="29">
        <f>SUM(D48+F48)</f>
        <v>0</v>
      </c>
      <c r="I48" s="30">
        <f>SUM(D48/24*E48+H48/24*G48)</f>
        <v>0</v>
      </c>
      <c r="J48" s="22"/>
      <c r="K48" s="22"/>
      <c r="L48" s="22"/>
      <c r="M48" s="22"/>
      <c r="N48" s="22"/>
      <c r="O48" s="23"/>
    </row>
    <row r="49" spans="1:16" x14ac:dyDescent="0.25">
      <c r="A49" s="24"/>
      <c r="B49" s="82"/>
      <c r="C49" s="25"/>
      <c r="D49" s="26"/>
      <c r="E49" s="26"/>
      <c r="F49" s="32"/>
      <c r="G49" s="28">
        <f>SUM(24-E49)</f>
        <v>24</v>
      </c>
      <c r="H49" s="29">
        <f>SUM(D49+F49)</f>
        <v>0</v>
      </c>
      <c r="I49" s="30">
        <f>SUM(D49/24*E49+H49/24*G49)</f>
        <v>0</v>
      </c>
      <c r="J49" s="22"/>
      <c r="K49" s="22"/>
      <c r="L49" s="22"/>
      <c r="M49" s="22"/>
      <c r="N49" s="22"/>
      <c r="O49" s="23"/>
    </row>
    <row r="50" spans="1:16" ht="13.15" customHeight="1" x14ac:dyDescent="0.25">
      <c r="A50" s="33"/>
      <c r="B50" s="33"/>
      <c r="C50" s="34"/>
      <c r="D50" s="34"/>
      <c r="E50" s="34"/>
      <c r="F50" s="34"/>
      <c r="G50" s="34"/>
      <c r="H50" s="35"/>
      <c r="I50" s="22"/>
      <c r="J50" s="22"/>
      <c r="K50" s="22"/>
      <c r="L50" s="22"/>
      <c r="M50" s="22"/>
      <c r="N50" s="22"/>
      <c r="O50" s="23"/>
      <c r="P50" s="22"/>
    </row>
    <row r="51" spans="1:16" ht="15.75" thickBot="1" x14ac:dyDescent="0.3">
      <c r="A51" s="36" t="s">
        <v>18</v>
      </c>
      <c r="B51" s="36"/>
      <c r="C51" s="36"/>
      <c r="D51" s="36"/>
      <c r="E51" s="36"/>
      <c r="F51" s="37"/>
      <c r="G51" s="38"/>
      <c r="H51" s="35"/>
      <c r="I51" s="22"/>
      <c r="J51" s="22"/>
      <c r="K51" s="22"/>
      <c r="L51" s="22"/>
      <c r="M51" s="22"/>
      <c r="N51" s="22"/>
      <c r="O51" s="23"/>
      <c r="P51" s="22"/>
    </row>
    <row r="52" spans="1:16" ht="26.25" x14ac:dyDescent="0.25">
      <c r="A52" s="39" t="s">
        <v>19</v>
      </c>
      <c r="B52" s="83"/>
      <c r="C52" s="40" t="s">
        <v>13</v>
      </c>
      <c r="D52" s="41" t="s">
        <v>14</v>
      </c>
      <c r="E52" s="41" t="s">
        <v>15</v>
      </c>
      <c r="F52" s="42" t="s">
        <v>16</v>
      </c>
      <c r="G52" s="43" t="s">
        <v>20</v>
      </c>
      <c r="H52" s="44"/>
      <c r="I52" s="45"/>
      <c r="J52" s="46"/>
      <c r="K52" s="46"/>
    </row>
    <row r="53" spans="1:16" ht="15.75" x14ac:dyDescent="0.25">
      <c r="A53" s="47"/>
      <c r="B53" s="84"/>
      <c r="C53" s="48"/>
      <c r="D53" s="49"/>
      <c r="E53" s="50"/>
      <c r="F53" s="51">
        <v>-100</v>
      </c>
      <c r="G53" s="52">
        <f>SUM(D53/24*E53)</f>
        <v>0</v>
      </c>
      <c r="H53" s="53"/>
      <c r="I53" s="54"/>
      <c r="J53" s="55"/>
      <c r="K53" s="55"/>
    </row>
    <row r="54" spans="1:16" x14ac:dyDescent="0.25">
      <c r="A54" s="56"/>
      <c r="B54" s="85"/>
      <c r="C54" s="57"/>
      <c r="D54" s="58"/>
      <c r="E54" s="50"/>
      <c r="F54" s="59">
        <v>-50</v>
      </c>
      <c r="G54" s="60">
        <f>SUM(D54/24*E54)</f>
        <v>0</v>
      </c>
      <c r="H54" s="53"/>
      <c r="I54" s="54"/>
    </row>
    <row r="55" spans="1:16" x14ac:dyDescent="0.25">
      <c r="A55" s="56"/>
      <c r="B55" s="85"/>
      <c r="C55" s="57"/>
      <c r="D55" s="58"/>
      <c r="E55" s="50"/>
      <c r="F55" s="61"/>
      <c r="G55" s="60">
        <f>SUM(D55/24*E55)</f>
        <v>0</v>
      </c>
      <c r="H55" s="53"/>
      <c r="I55" s="54"/>
    </row>
    <row r="56" spans="1:16" x14ac:dyDescent="0.25">
      <c r="A56" s="56"/>
      <c r="B56" s="85"/>
      <c r="C56" s="57"/>
      <c r="D56" s="58"/>
      <c r="E56" s="50"/>
      <c r="F56" s="61"/>
      <c r="G56" s="60">
        <f>SUM(D56/24*E56)</f>
        <v>0</v>
      </c>
      <c r="H56" s="53"/>
      <c r="I56" s="54"/>
    </row>
    <row r="57" spans="1:16" ht="15.75" thickBot="1" x14ac:dyDescent="0.3">
      <c r="A57" s="62"/>
      <c r="B57" s="86"/>
      <c r="C57" s="63"/>
      <c r="D57" s="64"/>
      <c r="E57" s="65"/>
      <c r="F57" s="64"/>
      <c r="G57" s="66">
        <f>SUM(D57/24*E57)</f>
        <v>0</v>
      </c>
      <c r="H57" s="53"/>
      <c r="I57" s="54"/>
    </row>
    <row r="58" spans="1:16" s="72" customFormat="1" ht="30" customHeight="1" x14ac:dyDescent="0.25">
      <c r="A58" s="244" t="s">
        <v>21</v>
      </c>
      <c r="B58" s="245"/>
      <c r="C58" s="245"/>
      <c r="D58" s="246"/>
      <c r="E58" s="67">
        <f>SUM(E53:E57)</f>
        <v>0</v>
      </c>
      <c r="F58" s="68" t="s">
        <v>22</v>
      </c>
      <c r="G58" s="69">
        <f>SUM(G53:G57)</f>
        <v>0</v>
      </c>
      <c r="H58" s="70"/>
      <c r="I58" s="71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58"/>
  <sheetViews>
    <sheetView zoomScale="80" zoomScaleNormal="80" workbookViewId="0">
      <selection activeCell="J3" sqref="J3"/>
    </sheetView>
  </sheetViews>
  <sheetFormatPr defaultColWidth="8.85546875" defaultRowHeight="15" x14ac:dyDescent="0.25"/>
  <cols>
    <col min="1" max="1" width="14.7109375" style="167" customWidth="1"/>
    <col min="2" max="2" width="13.5703125" style="167" customWidth="1"/>
    <col min="3" max="9" width="11.7109375" style="167" customWidth="1"/>
    <col min="10" max="10" width="27.42578125" style="167" customWidth="1"/>
    <col min="11" max="16384" width="8.85546875" style="167"/>
  </cols>
  <sheetData>
    <row r="1" spans="1:10" s="88" customFormat="1" ht="30" x14ac:dyDescent="0.25">
      <c r="A1" s="75" t="s">
        <v>0</v>
      </c>
      <c r="B1" s="5" t="s">
        <v>28</v>
      </c>
      <c r="C1" s="5" t="s">
        <v>5</v>
      </c>
      <c r="D1" s="5" t="s">
        <v>1</v>
      </c>
      <c r="E1" s="5" t="s">
        <v>2</v>
      </c>
      <c r="F1" s="4" t="s">
        <v>6</v>
      </c>
      <c r="G1" s="4" t="s">
        <v>7</v>
      </c>
      <c r="H1" s="5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5" t="s">
        <v>25</v>
      </c>
      <c r="C2" s="5" t="s">
        <v>25</v>
      </c>
      <c r="D2" s="5" t="s">
        <v>25</v>
      </c>
      <c r="E2" s="5" t="s">
        <v>25</v>
      </c>
      <c r="F2" s="4"/>
      <c r="G2" s="4"/>
      <c r="H2" s="5" t="s">
        <v>26</v>
      </c>
      <c r="I2" s="2"/>
      <c r="J2" s="73"/>
    </row>
    <row r="3" spans="1:10" x14ac:dyDescent="0.25">
      <c r="A3" s="166">
        <v>45992</v>
      </c>
      <c r="B3" s="77">
        <v>0</v>
      </c>
      <c r="C3" s="77">
        <v>0</v>
      </c>
      <c r="D3" s="77">
        <v>30</v>
      </c>
      <c r="E3" s="77">
        <v>78</v>
      </c>
      <c r="F3" s="77">
        <v>0</v>
      </c>
      <c r="G3" s="77">
        <v>0</v>
      </c>
      <c r="H3" s="77">
        <v>248</v>
      </c>
      <c r="I3" s="77"/>
      <c r="J3" s="76" t="s">
        <v>47</v>
      </c>
    </row>
    <row r="4" spans="1:10" x14ac:dyDescent="0.25">
      <c r="A4" s="166">
        <f>A3+1</f>
        <v>45993</v>
      </c>
      <c r="B4" s="77">
        <v>0</v>
      </c>
      <c r="C4" s="77">
        <v>0</v>
      </c>
      <c r="D4" s="77">
        <v>29</v>
      </c>
      <c r="E4" s="77">
        <v>78</v>
      </c>
      <c r="F4" s="77">
        <v>0</v>
      </c>
      <c r="G4" s="77">
        <v>0</v>
      </c>
      <c r="H4" s="77">
        <v>297</v>
      </c>
      <c r="I4" s="77"/>
      <c r="J4" s="76"/>
    </row>
    <row r="5" spans="1:10" x14ac:dyDescent="0.25">
      <c r="A5" s="166">
        <f t="shared" ref="A5:A33" si="0">A4+1</f>
        <v>45994</v>
      </c>
      <c r="B5" s="77">
        <v>0</v>
      </c>
      <c r="C5" s="77">
        <v>0</v>
      </c>
      <c r="D5" s="77">
        <v>58</v>
      </c>
      <c r="E5" s="77">
        <v>52</v>
      </c>
      <c r="F5" s="77">
        <v>0</v>
      </c>
      <c r="G5" s="77">
        <v>0</v>
      </c>
      <c r="H5" s="77">
        <v>300</v>
      </c>
      <c r="I5" s="77"/>
      <c r="J5" s="76"/>
    </row>
    <row r="6" spans="1:10" x14ac:dyDescent="0.25">
      <c r="A6" s="166">
        <f t="shared" si="0"/>
        <v>45995</v>
      </c>
      <c r="B6" s="77">
        <v>0</v>
      </c>
      <c r="C6" s="77">
        <v>0</v>
      </c>
      <c r="D6" s="77">
        <v>92</v>
      </c>
      <c r="E6" s="77">
        <v>0</v>
      </c>
      <c r="F6" s="77">
        <v>0</v>
      </c>
      <c r="G6" s="77">
        <v>0</v>
      </c>
      <c r="H6" s="77">
        <v>300</v>
      </c>
      <c r="I6" s="77"/>
      <c r="J6" s="76"/>
    </row>
    <row r="7" spans="1:10" x14ac:dyDescent="0.25">
      <c r="A7" s="166">
        <f t="shared" si="0"/>
        <v>45996</v>
      </c>
      <c r="B7" s="77">
        <v>0</v>
      </c>
      <c r="C7" s="77">
        <v>0</v>
      </c>
      <c r="D7" s="77">
        <v>91</v>
      </c>
      <c r="E7" s="77">
        <v>0</v>
      </c>
      <c r="F7" s="77">
        <v>0</v>
      </c>
      <c r="G7" s="77">
        <v>0</v>
      </c>
      <c r="H7" s="77">
        <v>300</v>
      </c>
      <c r="I7" s="77"/>
      <c r="J7" s="76"/>
    </row>
    <row r="8" spans="1:10" x14ac:dyDescent="0.25">
      <c r="A8" s="166">
        <f t="shared" si="0"/>
        <v>45997</v>
      </c>
      <c r="B8" s="77">
        <v>0</v>
      </c>
      <c r="C8" s="77">
        <v>0</v>
      </c>
      <c r="D8" s="77">
        <v>84</v>
      </c>
      <c r="E8" s="77">
        <v>0</v>
      </c>
      <c r="F8" s="77">
        <v>0</v>
      </c>
      <c r="G8" s="77">
        <v>0</v>
      </c>
      <c r="H8" s="77">
        <v>300</v>
      </c>
      <c r="I8" s="77"/>
      <c r="J8" s="76"/>
    </row>
    <row r="9" spans="1:10" x14ac:dyDescent="0.25">
      <c r="A9" s="166">
        <f t="shared" si="0"/>
        <v>45998</v>
      </c>
      <c r="B9" s="77">
        <v>0</v>
      </c>
      <c r="C9" s="77">
        <v>0</v>
      </c>
      <c r="D9" s="77">
        <v>81</v>
      </c>
      <c r="E9" s="77">
        <v>0</v>
      </c>
      <c r="F9" s="77">
        <v>0</v>
      </c>
      <c r="G9" s="77">
        <v>0</v>
      </c>
      <c r="H9" s="77">
        <v>300</v>
      </c>
      <c r="I9" s="77"/>
      <c r="J9" s="76"/>
    </row>
    <row r="10" spans="1:10" x14ac:dyDescent="0.25">
      <c r="A10" s="166">
        <f t="shared" si="0"/>
        <v>45999</v>
      </c>
      <c r="B10" s="77">
        <v>0</v>
      </c>
      <c r="C10" s="77">
        <v>0</v>
      </c>
      <c r="D10" s="77">
        <v>80</v>
      </c>
      <c r="E10" s="77">
        <v>0</v>
      </c>
      <c r="F10" s="77" t="s">
        <v>30</v>
      </c>
      <c r="G10" s="77">
        <v>0</v>
      </c>
      <c r="H10" s="77">
        <v>300</v>
      </c>
      <c r="I10" s="77"/>
      <c r="J10" s="76"/>
    </row>
    <row r="11" spans="1:10" x14ac:dyDescent="0.25">
      <c r="A11" s="166">
        <f t="shared" si="0"/>
        <v>46000</v>
      </c>
      <c r="B11" s="77">
        <v>0</v>
      </c>
      <c r="C11" s="77">
        <v>0</v>
      </c>
      <c r="D11" s="77">
        <v>80</v>
      </c>
      <c r="E11" s="77">
        <v>0</v>
      </c>
      <c r="F11" s="77">
        <v>0</v>
      </c>
      <c r="G11" s="77">
        <v>0</v>
      </c>
      <c r="H11" s="77">
        <v>300</v>
      </c>
      <c r="I11" s="77"/>
      <c r="J11" s="76"/>
    </row>
    <row r="12" spans="1:10" x14ac:dyDescent="0.25">
      <c r="A12" s="166">
        <f t="shared" si="0"/>
        <v>46001</v>
      </c>
      <c r="B12" s="77">
        <v>0</v>
      </c>
      <c r="C12" s="77">
        <v>0</v>
      </c>
      <c r="D12" s="77">
        <v>80</v>
      </c>
      <c r="E12" s="77">
        <v>0</v>
      </c>
      <c r="F12" s="77">
        <v>0</v>
      </c>
      <c r="G12" s="77">
        <v>0</v>
      </c>
      <c r="H12" s="77">
        <v>300</v>
      </c>
      <c r="I12" s="77"/>
      <c r="J12" s="76"/>
    </row>
    <row r="13" spans="1:10" x14ac:dyDescent="0.25">
      <c r="A13" s="166">
        <f t="shared" si="0"/>
        <v>46002</v>
      </c>
      <c r="B13" s="77">
        <v>0</v>
      </c>
      <c r="C13" s="77">
        <v>0</v>
      </c>
      <c r="D13" s="77">
        <v>80</v>
      </c>
      <c r="E13" s="77">
        <v>0</v>
      </c>
      <c r="F13" s="77">
        <v>0</v>
      </c>
      <c r="G13" s="77">
        <v>0</v>
      </c>
      <c r="H13" s="77">
        <v>300</v>
      </c>
      <c r="I13" s="77"/>
      <c r="J13" s="76"/>
    </row>
    <row r="14" spans="1:10" x14ac:dyDescent="0.25">
      <c r="A14" s="166">
        <f t="shared" si="0"/>
        <v>46003</v>
      </c>
      <c r="B14" s="77">
        <v>0</v>
      </c>
      <c r="C14" s="77">
        <v>0</v>
      </c>
      <c r="D14" s="77">
        <v>55</v>
      </c>
      <c r="E14" s="77">
        <v>0</v>
      </c>
      <c r="F14" s="77">
        <v>0</v>
      </c>
      <c r="G14" s="77">
        <v>0</v>
      </c>
      <c r="H14" s="77">
        <v>300</v>
      </c>
      <c r="I14" s="77"/>
      <c r="J14" s="76"/>
    </row>
    <row r="15" spans="1:10" x14ac:dyDescent="0.25">
      <c r="A15" s="166">
        <f t="shared" si="0"/>
        <v>46004</v>
      </c>
      <c r="B15" s="77">
        <v>0</v>
      </c>
      <c r="C15" s="77">
        <v>0</v>
      </c>
      <c r="D15" s="77">
        <v>40</v>
      </c>
      <c r="E15" s="77">
        <v>0</v>
      </c>
      <c r="F15" s="77">
        <v>0</v>
      </c>
      <c r="G15" s="77">
        <v>0</v>
      </c>
      <c r="H15" s="77">
        <v>300</v>
      </c>
      <c r="I15" s="77"/>
      <c r="J15" s="76"/>
    </row>
    <row r="16" spans="1:10" x14ac:dyDescent="0.25">
      <c r="A16" s="166">
        <f t="shared" si="0"/>
        <v>46005</v>
      </c>
      <c r="B16" s="77">
        <v>0</v>
      </c>
      <c r="C16" s="77">
        <v>0</v>
      </c>
      <c r="D16" s="77">
        <v>40</v>
      </c>
      <c r="E16" s="77">
        <v>0</v>
      </c>
      <c r="F16" s="77">
        <v>0</v>
      </c>
      <c r="G16" s="77">
        <v>0</v>
      </c>
      <c r="H16" s="77">
        <v>300</v>
      </c>
      <c r="I16" s="77"/>
      <c r="J16" s="76"/>
    </row>
    <row r="17" spans="1:10" x14ac:dyDescent="0.25">
      <c r="A17" s="166">
        <f t="shared" si="0"/>
        <v>46006</v>
      </c>
      <c r="B17" s="77">
        <v>0</v>
      </c>
      <c r="C17" s="77">
        <v>0</v>
      </c>
      <c r="D17" s="77">
        <v>58</v>
      </c>
      <c r="E17" s="77">
        <v>0</v>
      </c>
      <c r="F17" s="77" t="s">
        <v>30</v>
      </c>
      <c r="G17" s="77">
        <v>0</v>
      </c>
      <c r="H17" s="77">
        <v>198</v>
      </c>
      <c r="I17" s="77"/>
      <c r="J17" s="79" t="s">
        <v>44</v>
      </c>
    </row>
    <row r="18" spans="1:10" x14ac:dyDescent="0.25">
      <c r="A18" s="166">
        <f t="shared" si="0"/>
        <v>46007</v>
      </c>
      <c r="B18" s="77">
        <v>0</v>
      </c>
      <c r="C18" s="77">
        <v>0</v>
      </c>
      <c r="D18" s="77">
        <v>86</v>
      </c>
      <c r="E18" s="77">
        <v>0</v>
      </c>
      <c r="F18" s="77">
        <v>0.18</v>
      </c>
      <c r="G18" s="77">
        <v>0</v>
      </c>
      <c r="H18" s="77">
        <v>141</v>
      </c>
      <c r="I18" s="77"/>
      <c r="J18" s="79"/>
    </row>
    <row r="19" spans="1:10" x14ac:dyDescent="0.25">
      <c r="A19" s="166">
        <f t="shared" si="0"/>
        <v>46008</v>
      </c>
      <c r="B19" s="77">
        <v>0</v>
      </c>
      <c r="C19" s="77">
        <v>0</v>
      </c>
      <c r="D19" s="77">
        <v>90</v>
      </c>
      <c r="E19" s="77">
        <v>0</v>
      </c>
      <c r="F19" s="77">
        <v>0.44</v>
      </c>
      <c r="G19" s="77">
        <v>0</v>
      </c>
      <c r="H19" s="77">
        <v>141</v>
      </c>
      <c r="I19" s="77"/>
      <c r="J19" s="79"/>
    </row>
    <row r="20" spans="1:10" x14ac:dyDescent="0.25">
      <c r="A20" s="166">
        <f t="shared" si="0"/>
        <v>46009</v>
      </c>
      <c r="B20" s="77">
        <v>0</v>
      </c>
      <c r="C20" s="77">
        <v>0</v>
      </c>
      <c r="D20" s="77">
        <v>116</v>
      </c>
      <c r="E20" s="77">
        <v>0</v>
      </c>
      <c r="F20" s="77">
        <v>0.01</v>
      </c>
      <c r="G20" s="77">
        <v>0</v>
      </c>
      <c r="H20" s="77">
        <v>141</v>
      </c>
      <c r="I20" s="77"/>
      <c r="J20" s="79"/>
    </row>
    <row r="21" spans="1:10" x14ac:dyDescent="0.25">
      <c r="A21" s="166">
        <f t="shared" si="0"/>
        <v>46010</v>
      </c>
      <c r="B21" s="77">
        <v>0</v>
      </c>
      <c r="C21" s="77">
        <v>0</v>
      </c>
      <c r="D21" s="77">
        <v>143</v>
      </c>
      <c r="E21" s="77">
        <v>0</v>
      </c>
      <c r="F21" s="77">
        <v>0</v>
      </c>
      <c r="G21" s="77">
        <v>0</v>
      </c>
      <c r="H21" s="77">
        <v>141</v>
      </c>
      <c r="I21" s="77"/>
      <c r="J21" s="79"/>
    </row>
    <row r="22" spans="1:10" x14ac:dyDescent="0.25">
      <c r="A22" s="166">
        <f t="shared" si="0"/>
        <v>46011</v>
      </c>
      <c r="B22" s="77">
        <v>0</v>
      </c>
      <c r="C22" s="77">
        <v>0</v>
      </c>
      <c r="D22" s="77">
        <v>150</v>
      </c>
      <c r="E22" s="77">
        <v>0</v>
      </c>
      <c r="F22" s="77">
        <v>0</v>
      </c>
      <c r="G22" s="77">
        <v>0</v>
      </c>
      <c r="H22" s="77">
        <v>141</v>
      </c>
      <c r="I22" s="77"/>
      <c r="J22" s="79"/>
    </row>
    <row r="23" spans="1:10" x14ac:dyDescent="0.25">
      <c r="A23" s="166">
        <f t="shared" si="0"/>
        <v>46012</v>
      </c>
      <c r="B23" s="77">
        <v>0</v>
      </c>
      <c r="C23" s="77">
        <v>0</v>
      </c>
      <c r="D23" s="77">
        <v>184</v>
      </c>
      <c r="E23" s="77">
        <v>0</v>
      </c>
      <c r="F23" s="77">
        <v>0</v>
      </c>
      <c r="G23" s="77">
        <v>0</v>
      </c>
      <c r="H23" s="77">
        <v>141</v>
      </c>
      <c r="I23" s="77"/>
      <c r="J23" s="79"/>
    </row>
    <row r="24" spans="1:10" x14ac:dyDescent="0.25">
      <c r="A24" s="166">
        <f t="shared" si="0"/>
        <v>46013</v>
      </c>
      <c r="B24" s="77">
        <v>0</v>
      </c>
      <c r="C24" s="77">
        <v>0</v>
      </c>
      <c r="D24" s="77">
        <v>385</v>
      </c>
      <c r="E24" s="77">
        <v>0</v>
      </c>
      <c r="F24" s="77">
        <v>1.02</v>
      </c>
      <c r="G24" s="77">
        <v>0</v>
      </c>
      <c r="H24" s="77">
        <v>141</v>
      </c>
      <c r="I24" s="77"/>
      <c r="J24" s="79"/>
    </row>
    <row r="25" spans="1:10" x14ac:dyDescent="0.25">
      <c r="A25" s="166">
        <f t="shared" si="0"/>
        <v>46014</v>
      </c>
      <c r="B25" s="77">
        <v>69</v>
      </c>
      <c r="C25" s="77">
        <v>0</v>
      </c>
      <c r="D25" s="77">
        <v>584</v>
      </c>
      <c r="E25" s="77">
        <v>0</v>
      </c>
      <c r="F25" s="77">
        <v>0.1</v>
      </c>
      <c r="G25" s="77">
        <v>0</v>
      </c>
      <c r="H25" s="77">
        <v>141</v>
      </c>
      <c r="I25" s="77"/>
      <c r="J25" s="79"/>
    </row>
    <row r="26" spans="1:10" x14ac:dyDescent="0.25">
      <c r="A26" s="166">
        <f t="shared" si="0"/>
        <v>46015</v>
      </c>
      <c r="B26" s="77">
        <v>156</v>
      </c>
      <c r="C26" s="77">
        <v>0</v>
      </c>
      <c r="D26" s="77">
        <v>421</v>
      </c>
      <c r="E26" s="77">
        <v>0</v>
      </c>
      <c r="F26" s="77">
        <v>0</v>
      </c>
      <c r="G26" s="77">
        <v>0</v>
      </c>
      <c r="H26" s="77">
        <v>141</v>
      </c>
      <c r="I26" s="77"/>
      <c r="J26" s="79"/>
    </row>
    <row r="27" spans="1:10" x14ac:dyDescent="0.25">
      <c r="A27" s="166">
        <f t="shared" si="0"/>
        <v>46016</v>
      </c>
      <c r="B27" s="77">
        <v>403</v>
      </c>
      <c r="C27" s="77">
        <v>0</v>
      </c>
      <c r="D27" s="77">
        <v>184</v>
      </c>
      <c r="E27" s="77">
        <v>0</v>
      </c>
      <c r="F27" s="77">
        <v>0</v>
      </c>
      <c r="G27" s="77">
        <v>0</v>
      </c>
      <c r="H27" s="77">
        <v>141</v>
      </c>
      <c r="I27" s="77"/>
      <c r="J27" s="79"/>
    </row>
    <row r="28" spans="1:10" x14ac:dyDescent="0.25">
      <c r="A28" s="166">
        <f t="shared" si="0"/>
        <v>46017</v>
      </c>
      <c r="B28" s="77">
        <v>423</v>
      </c>
      <c r="C28" s="77">
        <v>0</v>
      </c>
      <c r="D28" s="77">
        <v>316</v>
      </c>
      <c r="E28" s="77">
        <v>0</v>
      </c>
      <c r="F28" s="77">
        <v>0</v>
      </c>
      <c r="G28" s="77">
        <v>0</v>
      </c>
      <c r="H28" s="77">
        <v>231</v>
      </c>
      <c r="I28" s="77"/>
      <c r="J28" s="79" t="s">
        <v>45</v>
      </c>
    </row>
    <row r="29" spans="1:10" x14ac:dyDescent="0.25">
      <c r="A29" s="166">
        <f t="shared" si="0"/>
        <v>46018</v>
      </c>
      <c r="B29" s="77">
        <v>405</v>
      </c>
      <c r="C29" s="77">
        <v>0</v>
      </c>
      <c r="D29" s="77">
        <v>140</v>
      </c>
      <c r="E29" s="77">
        <v>0</v>
      </c>
      <c r="F29" s="77">
        <v>0</v>
      </c>
      <c r="G29" s="77">
        <v>0</v>
      </c>
      <c r="H29" s="77">
        <v>300</v>
      </c>
      <c r="I29" s="77"/>
      <c r="J29" s="79"/>
    </row>
    <row r="30" spans="1:10" x14ac:dyDescent="0.25">
      <c r="A30" s="166">
        <f t="shared" si="0"/>
        <v>46019</v>
      </c>
      <c r="B30" s="77">
        <v>479</v>
      </c>
      <c r="C30" s="77">
        <v>0</v>
      </c>
      <c r="D30" s="77">
        <v>86</v>
      </c>
      <c r="E30" s="77">
        <v>0</v>
      </c>
      <c r="F30" s="77">
        <v>0</v>
      </c>
      <c r="G30" s="77">
        <v>0</v>
      </c>
      <c r="H30" s="77">
        <v>300</v>
      </c>
      <c r="I30" s="77"/>
      <c r="J30" s="76"/>
    </row>
    <row r="31" spans="1:10" x14ac:dyDescent="0.25">
      <c r="A31" s="166">
        <f t="shared" si="0"/>
        <v>46020</v>
      </c>
      <c r="B31" s="77">
        <v>252</v>
      </c>
      <c r="C31" s="77">
        <v>0</v>
      </c>
      <c r="D31" s="77">
        <v>55</v>
      </c>
      <c r="E31" s="77">
        <v>0</v>
      </c>
      <c r="F31" s="77">
        <v>1.28</v>
      </c>
      <c r="G31" s="77">
        <v>0</v>
      </c>
      <c r="H31" s="77">
        <v>300</v>
      </c>
      <c r="I31" s="77"/>
      <c r="J31" s="76"/>
    </row>
    <row r="32" spans="1:10" x14ac:dyDescent="0.25">
      <c r="A32" s="166">
        <f t="shared" si="0"/>
        <v>46021</v>
      </c>
      <c r="B32" s="77">
        <v>163</v>
      </c>
      <c r="C32" s="77">
        <v>0</v>
      </c>
      <c r="D32" s="77">
        <v>40</v>
      </c>
      <c r="E32" s="77">
        <v>0</v>
      </c>
      <c r="F32" s="77">
        <v>0</v>
      </c>
      <c r="G32" s="77">
        <v>0</v>
      </c>
      <c r="H32" s="77">
        <v>392</v>
      </c>
      <c r="I32" s="77"/>
      <c r="J32" s="76" t="s">
        <v>46</v>
      </c>
    </row>
    <row r="33" spans="1:16" ht="15.75" thickBot="1" x14ac:dyDescent="0.3">
      <c r="A33" s="166">
        <f t="shared" si="0"/>
        <v>46022</v>
      </c>
      <c r="B33" s="77">
        <v>156</v>
      </c>
      <c r="C33" s="77">
        <v>0</v>
      </c>
      <c r="D33" s="77">
        <v>40</v>
      </c>
      <c r="E33" s="77">
        <v>0</v>
      </c>
      <c r="F33" s="77">
        <v>0</v>
      </c>
      <c r="G33" s="77">
        <v>0</v>
      </c>
      <c r="H33" s="77">
        <v>450</v>
      </c>
      <c r="I33" s="77"/>
      <c r="J33" s="76"/>
    </row>
    <row r="34" spans="1:16" s="93" customFormat="1" ht="15.75" thickTop="1" x14ac:dyDescent="0.25">
      <c r="A34" s="103" t="s">
        <v>8</v>
      </c>
      <c r="B34" s="168">
        <f>SUM(B3:B33)</f>
        <v>2506</v>
      </c>
      <c r="C34" s="168">
        <f t="shared" ref="C34:H34" si="1">SUM(C3:C33)</f>
        <v>0</v>
      </c>
      <c r="D34" s="168">
        <f t="shared" si="1"/>
        <v>3998</v>
      </c>
      <c r="E34" s="168">
        <f t="shared" si="1"/>
        <v>208</v>
      </c>
      <c r="F34" s="169">
        <f t="shared" si="1"/>
        <v>3.0300000000000002</v>
      </c>
      <c r="G34" s="169">
        <f t="shared" si="1"/>
        <v>0</v>
      </c>
      <c r="H34" s="168">
        <f t="shared" si="1"/>
        <v>7726</v>
      </c>
      <c r="I34" s="169"/>
    </row>
    <row r="35" spans="1:16" s="93" customFormat="1" x14ac:dyDescent="0.25">
      <c r="A35" s="105" t="s">
        <v>9</v>
      </c>
      <c r="B35" s="106">
        <f>SUM(B34+'Nov 2025'!B34)</f>
        <v>2577</v>
      </c>
      <c r="C35" s="106">
        <f>SUM(C34+'Nov 2025'!C34)</f>
        <v>741</v>
      </c>
      <c r="D35" s="106">
        <f>SUM(D34+'Nov 2025'!D34)</f>
        <v>6544</v>
      </c>
      <c r="E35" s="106">
        <f>SUM(E34+'Nov 2025'!E34)</f>
        <v>7713</v>
      </c>
      <c r="F35" s="107">
        <f>SUM(F34+'Nov 2025'!F34)</f>
        <v>4.5600000000000005</v>
      </c>
      <c r="G35" s="107">
        <f>SUM(G34+'Nov 2025'!G34)</f>
        <v>0</v>
      </c>
      <c r="H35" s="106">
        <f>SUM(H34+'Nov 2025'!H34)</f>
        <v>18786</v>
      </c>
      <c r="I35" s="107"/>
    </row>
    <row r="37" spans="1:16" x14ac:dyDescent="0.25">
      <c r="A37" s="167" t="s">
        <v>10</v>
      </c>
      <c r="B37" s="172">
        <f>SUM(B3:B33)*1.9835</f>
        <v>4970.6509999999998</v>
      </c>
      <c r="C37" s="172">
        <f>SUM(C3:C33)*1.9835</f>
        <v>0</v>
      </c>
      <c r="D37" s="172">
        <f>SUM(D3:D33)*1.9835</f>
        <v>7930.0330000000004</v>
      </c>
      <c r="E37" s="172">
        <f>SUM(E3:E33)*1.9835</f>
        <v>412.56799999999998</v>
      </c>
      <c r="F37" s="172"/>
      <c r="G37" s="172"/>
      <c r="H37" s="172"/>
      <c r="J37" s="173"/>
    </row>
    <row r="39" spans="1:16" x14ac:dyDescent="0.25">
      <c r="A39" s="167" t="s">
        <v>24</v>
      </c>
      <c r="B39" s="172">
        <f>SUM('Nov 2025'!B38+B37)</f>
        <v>5111.4794999999995</v>
      </c>
      <c r="C39" s="172">
        <f>SUM('Nov 2025'!C38+C37)</f>
        <v>1469.7735000000002</v>
      </c>
      <c r="D39" s="172">
        <f>SUM('Nov 2025'!D38+D37)</f>
        <v>12980.024000000001</v>
      </c>
      <c r="E39" s="172">
        <f>SUM('Nov 2025'!E38+E37)</f>
        <v>15298.735499999999</v>
      </c>
      <c r="F39" s="172"/>
      <c r="G39" s="172"/>
      <c r="H39" s="172"/>
      <c r="J39" s="173"/>
    </row>
    <row r="40" spans="1:16" x14ac:dyDescent="0.25">
      <c r="C40" s="172"/>
      <c r="D40" s="172"/>
      <c r="E40" s="172"/>
      <c r="F40" s="172"/>
      <c r="G40" s="172"/>
      <c r="H40" s="172"/>
      <c r="J40" s="173"/>
    </row>
    <row r="41" spans="1:16" ht="17.45" customHeight="1" x14ac:dyDescent="0.25">
      <c r="A41" s="247"/>
      <c r="B41" s="247"/>
      <c r="C41" s="247"/>
      <c r="D41" s="247"/>
      <c r="E41" s="247"/>
      <c r="F41" s="247"/>
      <c r="G41" s="248"/>
      <c r="H41" s="249" t="s">
        <v>12</v>
      </c>
      <c r="I41" s="250"/>
      <c r="J41" s="175"/>
      <c r="K41" s="175"/>
      <c r="L41" s="175"/>
      <c r="M41" s="175"/>
      <c r="N41" s="175"/>
      <c r="O41" s="176"/>
      <c r="P41" s="175"/>
    </row>
    <row r="42" spans="1:16" ht="16.899999999999999" customHeight="1" x14ac:dyDescent="0.25">
      <c r="A42" s="174"/>
      <c r="B42" s="174"/>
      <c r="C42" s="174"/>
      <c r="D42" s="174"/>
      <c r="E42" s="174"/>
      <c r="F42" s="174"/>
      <c r="G42" s="174"/>
      <c r="H42" s="249"/>
      <c r="I42" s="250"/>
      <c r="J42" s="175"/>
      <c r="K42" s="175"/>
      <c r="L42" s="175"/>
      <c r="M42" s="175"/>
      <c r="N42" s="175"/>
      <c r="O42" s="176"/>
      <c r="P42" s="175"/>
    </row>
    <row r="43" spans="1:16" ht="13.9" customHeight="1" x14ac:dyDescent="0.25">
      <c r="A43" s="252" t="s">
        <v>23</v>
      </c>
      <c r="B43" s="252"/>
      <c r="C43" s="252"/>
      <c r="D43" s="252"/>
      <c r="E43" s="252"/>
      <c r="F43" s="252"/>
      <c r="G43" s="252"/>
      <c r="H43" s="252"/>
      <c r="I43" s="252"/>
      <c r="J43" s="252"/>
      <c r="K43" s="252"/>
      <c r="L43" s="177"/>
      <c r="M43" s="177"/>
      <c r="N43" s="177"/>
      <c r="O43" s="178"/>
      <c r="P43" s="177"/>
    </row>
    <row r="44" spans="1:16" ht="15.6" customHeight="1" x14ac:dyDescent="0.25">
      <c r="A44" s="179" t="s">
        <v>17</v>
      </c>
      <c r="B44" s="180"/>
      <c r="C44" s="181"/>
      <c r="D44" s="182"/>
      <c r="E44" s="182"/>
      <c r="F44" s="183"/>
      <c r="G44" s="184"/>
      <c r="H44" s="185"/>
      <c r="I44" s="186"/>
      <c r="J44" s="177"/>
      <c r="K44" s="177"/>
      <c r="L44" s="177"/>
      <c r="M44" s="177"/>
      <c r="N44" s="177"/>
      <c r="O44" s="178"/>
    </row>
    <row r="45" spans="1:16" x14ac:dyDescent="0.25">
      <c r="A45" s="187"/>
      <c r="B45" s="188"/>
      <c r="C45" s="181"/>
      <c r="D45" s="182"/>
      <c r="E45" s="182"/>
      <c r="F45" s="189"/>
      <c r="G45" s="184">
        <f>SUM(24-E45)</f>
        <v>24</v>
      </c>
      <c r="H45" s="185">
        <f>SUM(D45+F45)</f>
        <v>0</v>
      </c>
      <c r="I45" s="186">
        <f>SUM(D45/24*E45+H45/24*G45)</f>
        <v>0</v>
      </c>
      <c r="J45" s="177"/>
      <c r="K45" s="177"/>
      <c r="L45" s="177"/>
      <c r="M45" s="177"/>
      <c r="N45" s="177"/>
      <c r="O45" s="178"/>
    </row>
    <row r="46" spans="1:16" x14ac:dyDescent="0.25">
      <c r="A46" s="187"/>
      <c r="B46" s="188"/>
      <c r="C46" s="181"/>
      <c r="D46" s="182"/>
      <c r="E46" s="182"/>
      <c r="F46" s="189"/>
      <c r="G46" s="184">
        <f>SUM(24-E46)</f>
        <v>24</v>
      </c>
      <c r="H46" s="185">
        <f>SUM(D46+F46)</f>
        <v>0</v>
      </c>
      <c r="I46" s="186">
        <f>SUM(D46/24*E46+H46/24*G46)</f>
        <v>0</v>
      </c>
      <c r="J46" s="177"/>
      <c r="K46" s="177"/>
      <c r="L46" s="177"/>
      <c r="M46" s="177"/>
      <c r="N46" s="177"/>
      <c r="O46" s="178"/>
    </row>
    <row r="47" spans="1:16" x14ac:dyDescent="0.25">
      <c r="A47" s="187"/>
      <c r="B47" s="188"/>
      <c r="C47" s="181"/>
      <c r="D47" s="182"/>
      <c r="E47" s="182"/>
      <c r="F47" s="189"/>
      <c r="G47" s="184">
        <f>SUM(24-E47)</f>
        <v>24</v>
      </c>
      <c r="H47" s="185">
        <f>SUM(D47+F47)</f>
        <v>0</v>
      </c>
      <c r="I47" s="186">
        <f>SUM(D47/24*E47+H47/24*G47)</f>
        <v>0</v>
      </c>
      <c r="J47" s="177"/>
      <c r="K47" s="177"/>
      <c r="L47" s="177"/>
      <c r="M47" s="177"/>
      <c r="N47" s="177"/>
      <c r="O47" s="178"/>
    </row>
    <row r="48" spans="1:16" x14ac:dyDescent="0.25">
      <c r="A48" s="187"/>
      <c r="B48" s="188"/>
      <c r="C48" s="181"/>
      <c r="D48" s="182"/>
      <c r="E48" s="182"/>
      <c r="F48" s="189"/>
      <c r="G48" s="184">
        <f>SUM(24-E48)</f>
        <v>24</v>
      </c>
      <c r="H48" s="185">
        <f>SUM(D48+F48)</f>
        <v>0</v>
      </c>
      <c r="I48" s="186">
        <f>SUM(D48/24*E48+H48/24*G48)</f>
        <v>0</v>
      </c>
      <c r="J48" s="177"/>
      <c r="K48" s="177"/>
      <c r="L48" s="177"/>
      <c r="M48" s="177"/>
      <c r="N48" s="177"/>
      <c r="O48" s="178"/>
    </row>
    <row r="49" spans="1:16" x14ac:dyDescent="0.25">
      <c r="A49" s="187"/>
      <c r="B49" s="188"/>
      <c r="C49" s="181"/>
      <c r="D49" s="182"/>
      <c r="E49" s="182"/>
      <c r="F49" s="189"/>
      <c r="G49" s="184">
        <f>SUM(24-E49)</f>
        <v>24</v>
      </c>
      <c r="H49" s="185">
        <f>SUM(D49+F49)</f>
        <v>0</v>
      </c>
      <c r="I49" s="186">
        <f>SUM(D49/24*E49+H49/24*G49)</f>
        <v>0</v>
      </c>
      <c r="J49" s="177"/>
      <c r="K49" s="177"/>
      <c r="L49" s="177"/>
      <c r="M49" s="177"/>
      <c r="N49" s="177"/>
      <c r="O49" s="178"/>
    </row>
    <row r="50" spans="1:16" ht="13.15" customHeight="1" x14ac:dyDescent="0.25">
      <c r="A50" s="190"/>
      <c r="B50" s="190"/>
      <c r="C50" s="191"/>
      <c r="D50" s="191"/>
      <c r="E50" s="191"/>
      <c r="F50" s="191"/>
      <c r="G50" s="191"/>
      <c r="H50" s="192"/>
      <c r="I50" s="177"/>
      <c r="J50" s="177"/>
      <c r="K50" s="177"/>
      <c r="L50" s="177"/>
      <c r="M50" s="177"/>
      <c r="N50" s="177"/>
      <c r="O50" s="178"/>
      <c r="P50" s="177"/>
    </row>
    <row r="51" spans="1:16" ht="15.75" thickBot="1" x14ac:dyDescent="0.3">
      <c r="A51" s="193" t="s">
        <v>18</v>
      </c>
      <c r="B51" s="193"/>
      <c r="C51" s="193"/>
      <c r="D51" s="193"/>
      <c r="E51" s="193"/>
      <c r="F51" s="194"/>
      <c r="G51" s="195"/>
      <c r="H51" s="192"/>
      <c r="I51" s="177"/>
      <c r="J51" s="177"/>
      <c r="K51" s="177"/>
      <c r="L51" s="177"/>
      <c r="M51" s="177"/>
      <c r="N51" s="177"/>
      <c r="O51" s="178"/>
      <c r="P51" s="177"/>
    </row>
    <row r="52" spans="1:16" ht="26.25" x14ac:dyDescent="0.25">
      <c r="A52" s="196" t="s">
        <v>19</v>
      </c>
      <c r="B52" s="197"/>
      <c r="C52" s="198" t="s">
        <v>13</v>
      </c>
      <c r="D52" s="199" t="s">
        <v>14</v>
      </c>
      <c r="E52" s="199" t="s">
        <v>15</v>
      </c>
      <c r="F52" s="200" t="s">
        <v>16</v>
      </c>
      <c r="G52" s="201" t="s">
        <v>20</v>
      </c>
      <c r="H52" s="202"/>
      <c r="I52" s="203"/>
      <c r="J52" s="204"/>
      <c r="K52" s="204"/>
    </row>
    <row r="53" spans="1:16" x14ac:dyDescent="0.25">
      <c r="A53" s="205"/>
      <c r="B53" s="206"/>
      <c r="C53" s="207"/>
      <c r="D53" s="208"/>
      <c r="E53" s="209"/>
      <c r="F53" s="210"/>
      <c r="G53" s="211"/>
      <c r="H53" s="212"/>
      <c r="I53" s="213"/>
      <c r="J53" s="214"/>
      <c r="K53" s="214"/>
    </row>
    <row r="54" spans="1:16" x14ac:dyDescent="0.25">
      <c r="A54" s="215"/>
      <c r="B54" s="216"/>
      <c r="C54" s="217"/>
      <c r="D54" s="218"/>
      <c r="E54" s="209"/>
      <c r="F54" s="219"/>
      <c r="G54" s="220"/>
      <c r="H54" s="212"/>
      <c r="I54" s="213"/>
    </row>
    <row r="55" spans="1:16" x14ac:dyDescent="0.25">
      <c r="A55" s="215"/>
      <c r="B55" s="216"/>
      <c r="C55" s="217"/>
      <c r="D55" s="218"/>
      <c r="E55" s="209"/>
      <c r="F55" s="221"/>
      <c r="G55" s="220"/>
      <c r="H55" s="212"/>
      <c r="I55" s="213"/>
    </row>
    <row r="56" spans="1:16" x14ac:dyDescent="0.25">
      <c r="A56" s="215"/>
      <c r="B56" s="216"/>
      <c r="C56" s="217"/>
      <c r="D56" s="218"/>
      <c r="E56" s="209"/>
      <c r="F56" s="221"/>
      <c r="G56" s="220"/>
      <c r="H56" s="212"/>
      <c r="I56" s="213"/>
    </row>
    <row r="57" spans="1:16" ht="15.75" thickBot="1" x14ac:dyDescent="0.3">
      <c r="A57" s="222"/>
      <c r="B57" s="223"/>
      <c r="C57" s="224"/>
      <c r="D57" s="225"/>
      <c r="E57" s="226"/>
      <c r="F57" s="225"/>
      <c r="G57" s="227"/>
      <c r="H57" s="212"/>
      <c r="I57" s="213"/>
    </row>
    <row r="58" spans="1:16" s="233" customFormat="1" ht="30" customHeight="1" x14ac:dyDescent="0.25">
      <c r="A58" s="253" t="s">
        <v>21</v>
      </c>
      <c r="B58" s="254"/>
      <c r="C58" s="254"/>
      <c r="D58" s="255"/>
      <c r="E58" s="228">
        <f>SUM(E53:E57)</f>
        <v>0</v>
      </c>
      <c r="F58" s="229" t="s">
        <v>22</v>
      </c>
      <c r="G58" s="230">
        <f>SUM(G53:G57)</f>
        <v>0</v>
      </c>
      <c r="H58" s="231"/>
      <c r="I58" s="232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57"/>
  <sheetViews>
    <sheetView zoomScale="80" zoomScaleNormal="80" workbookViewId="0">
      <selection activeCell="H29" sqref="H29"/>
    </sheetView>
  </sheetViews>
  <sheetFormatPr defaultColWidth="8.85546875" defaultRowHeight="15" x14ac:dyDescent="0.25"/>
  <cols>
    <col min="1" max="1" width="14.7109375" style="170" customWidth="1"/>
    <col min="2" max="2" width="13.5703125" style="170" customWidth="1"/>
    <col min="3" max="5" width="11.7109375" style="171" customWidth="1"/>
    <col min="6" max="7" width="11.7109375" style="167" customWidth="1"/>
    <col min="8" max="8" width="11.7109375" style="171" customWidth="1"/>
    <col min="9" max="9" width="11.7109375" style="167" customWidth="1"/>
    <col min="10" max="10" width="29" style="167" bestFit="1" customWidth="1"/>
    <col min="11" max="16384" width="8.85546875" style="167"/>
  </cols>
  <sheetData>
    <row r="1" spans="1:10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0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26</v>
      </c>
      <c r="I2" s="2"/>
      <c r="J2" s="73"/>
    </row>
    <row r="3" spans="1:10" x14ac:dyDescent="0.25">
      <c r="A3" s="166">
        <v>45962</v>
      </c>
      <c r="B3" s="80">
        <v>0</v>
      </c>
      <c r="C3" s="80">
        <v>25</v>
      </c>
      <c r="D3" s="80">
        <v>0</v>
      </c>
      <c r="E3" s="80">
        <v>154</v>
      </c>
      <c r="F3" s="80" t="s">
        <v>30</v>
      </c>
      <c r="G3" s="80">
        <v>0</v>
      </c>
      <c r="H3" s="80">
        <v>40</v>
      </c>
      <c r="I3" s="80"/>
      <c r="J3" s="76" t="s">
        <v>36</v>
      </c>
    </row>
    <row r="4" spans="1:10" x14ac:dyDescent="0.25">
      <c r="A4" s="166">
        <f>A3+1</f>
        <v>45963</v>
      </c>
      <c r="B4" s="80">
        <v>0</v>
      </c>
      <c r="C4" s="80">
        <v>25</v>
      </c>
      <c r="D4" s="80">
        <v>0</v>
      </c>
      <c r="E4" s="80">
        <v>146</v>
      </c>
      <c r="F4" s="80">
        <v>0</v>
      </c>
      <c r="G4" s="80">
        <v>0</v>
      </c>
      <c r="H4" s="80">
        <v>0</v>
      </c>
      <c r="I4" s="80"/>
      <c r="J4" s="76"/>
    </row>
    <row r="5" spans="1:10" x14ac:dyDescent="0.25">
      <c r="A5" s="166">
        <f t="shared" ref="A5:A32" si="0">A4+1</f>
        <v>45964</v>
      </c>
      <c r="B5" s="80">
        <v>0</v>
      </c>
      <c r="C5" s="80">
        <v>25</v>
      </c>
      <c r="D5" s="80">
        <v>0</v>
      </c>
      <c r="E5" s="80">
        <v>111</v>
      </c>
      <c r="F5" s="80" t="s">
        <v>30</v>
      </c>
      <c r="G5" s="80">
        <v>0</v>
      </c>
      <c r="H5" s="80">
        <v>22</v>
      </c>
      <c r="I5" s="80"/>
      <c r="J5" s="76" t="s">
        <v>37</v>
      </c>
    </row>
    <row r="6" spans="1:10" x14ac:dyDescent="0.25">
      <c r="A6" s="166">
        <f t="shared" si="0"/>
        <v>45965</v>
      </c>
      <c r="B6" s="80">
        <v>0</v>
      </c>
      <c r="C6" s="80">
        <v>25</v>
      </c>
      <c r="D6" s="80">
        <v>0</v>
      </c>
      <c r="E6" s="80">
        <v>123</v>
      </c>
      <c r="F6" s="80" t="s">
        <v>30</v>
      </c>
      <c r="G6" s="80">
        <v>0</v>
      </c>
      <c r="H6" s="80">
        <v>0</v>
      </c>
      <c r="I6" s="80"/>
      <c r="J6" s="76"/>
    </row>
    <row r="7" spans="1:10" x14ac:dyDescent="0.25">
      <c r="A7" s="166">
        <f t="shared" si="0"/>
        <v>45966</v>
      </c>
      <c r="B7" s="80">
        <v>0</v>
      </c>
      <c r="C7" s="80">
        <v>15</v>
      </c>
      <c r="D7" s="80">
        <v>15</v>
      </c>
      <c r="E7" s="80">
        <v>146</v>
      </c>
      <c r="F7" s="80">
        <v>0.35</v>
      </c>
      <c r="G7" s="80">
        <v>0</v>
      </c>
      <c r="H7" s="80">
        <v>0</v>
      </c>
      <c r="I7" s="80"/>
      <c r="J7" s="76" t="s">
        <v>38</v>
      </c>
    </row>
    <row r="8" spans="1:10" x14ac:dyDescent="0.25">
      <c r="A8" s="166">
        <f t="shared" si="0"/>
        <v>45967</v>
      </c>
      <c r="B8" s="80">
        <v>0</v>
      </c>
      <c r="C8" s="80">
        <v>0</v>
      </c>
      <c r="D8" s="80">
        <v>70</v>
      </c>
      <c r="E8" s="80">
        <v>152</v>
      </c>
      <c r="F8" s="80">
        <v>0.02</v>
      </c>
      <c r="G8" s="80">
        <v>0</v>
      </c>
      <c r="H8" s="80">
        <v>105</v>
      </c>
      <c r="I8" s="80"/>
      <c r="J8" s="76" t="s">
        <v>39</v>
      </c>
    </row>
    <row r="9" spans="1:10" x14ac:dyDescent="0.25">
      <c r="A9" s="166">
        <f t="shared" si="0"/>
        <v>45968</v>
      </c>
      <c r="B9" s="80">
        <v>0</v>
      </c>
      <c r="C9" s="80">
        <v>0</v>
      </c>
      <c r="D9" s="80">
        <v>56</v>
      </c>
      <c r="E9" s="80">
        <v>155</v>
      </c>
      <c r="F9" s="80">
        <v>0.12</v>
      </c>
      <c r="G9" s="80">
        <v>0</v>
      </c>
      <c r="H9" s="80">
        <v>160</v>
      </c>
      <c r="I9" s="80"/>
      <c r="J9" s="76"/>
    </row>
    <row r="10" spans="1:10" x14ac:dyDescent="0.25">
      <c r="A10" s="166">
        <f t="shared" si="0"/>
        <v>45969</v>
      </c>
      <c r="B10" s="80">
        <v>0</v>
      </c>
      <c r="C10" s="80">
        <v>0</v>
      </c>
      <c r="D10" s="80">
        <v>54</v>
      </c>
      <c r="E10" s="80">
        <v>152</v>
      </c>
      <c r="F10" s="80">
        <v>0</v>
      </c>
      <c r="G10" s="80">
        <v>0</v>
      </c>
      <c r="H10" s="80">
        <v>160</v>
      </c>
      <c r="I10" s="80"/>
      <c r="J10" s="235"/>
    </row>
    <row r="11" spans="1:10" x14ac:dyDescent="0.25">
      <c r="A11" s="166">
        <f t="shared" si="0"/>
        <v>45970</v>
      </c>
      <c r="B11" s="80">
        <v>0</v>
      </c>
      <c r="C11" s="80">
        <v>0</v>
      </c>
      <c r="D11" s="80">
        <v>33</v>
      </c>
      <c r="E11" s="80">
        <v>142</v>
      </c>
      <c r="F11" s="80">
        <v>0</v>
      </c>
      <c r="G11" s="80">
        <v>0</v>
      </c>
      <c r="H11" s="80">
        <v>160</v>
      </c>
      <c r="I11" s="80"/>
      <c r="J11" s="76"/>
    </row>
    <row r="12" spans="1:10" x14ac:dyDescent="0.25">
      <c r="A12" s="166">
        <f t="shared" si="0"/>
        <v>45971</v>
      </c>
      <c r="B12" s="80">
        <v>0</v>
      </c>
      <c r="C12" s="80">
        <v>31</v>
      </c>
      <c r="D12" s="80">
        <v>23</v>
      </c>
      <c r="E12" s="80">
        <v>142</v>
      </c>
      <c r="F12" s="80">
        <v>0</v>
      </c>
      <c r="G12" s="80">
        <v>0</v>
      </c>
      <c r="H12" s="80">
        <v>160</v>
      </c>
      <c r="I12" s="80"/>
      <c r="J12" s="76" t="s">
        <v>40</v>
      </c>
    </row>
    <row r="13" spans="1:10" x14ac:dyDescent="0.25">
      <c r="A13" s="166">
        <f t="shared" si="0"/>
        <v>45972</v>
      </c>
      <c r="B13" s="80">
        <v>0</v>
      </c>
      <c r="C13" s="80">
        <v>48</v>
      </c>
      <c r="D13" s="80">
        <v>49</v>
      </c>
      <c r="E13" s="80">
        <v>140</v>
      </c>
      <c r="F13" s="80">
        <v>0.02</v>
      </c>
      <c r="G13" s="80">
        <v>0</v>
      </c>
      <c r="H13" s="80">
        <v>160</v>
      </c>
      <c r="I13" s="80"/>
      <c r="J13" s="76"/>
    </row>
    <row r="14" spans="1:10" x14ac:dyDescent="0.25">
      <c r="A14" s="166">
        <f t="shared" si="0"/>
        <v>45973</v>
      </c>
      <c r="B14" s="80">
        <v>0</v>
      </c>
      <c r="C14" s="80">
        <v>48</v>
      </c>
      <c r="D14" s="80">
        <v>61</v>
      </c>
      <c r="E14" s="80">
        <v>143</v>
      </c>
      <c r="F14" s="80">
        <v>0</v>
      </c>
      <c r="G14" s="80">
        <v>0</v>
      </c>
      <c r="H14" s="80">
        <v>160</v>
      </c>
      <c r="I14" s="80"/>
      <c r="J14" s="76"/>
    </row>
    <row r="15" spans="1:10" x14ac:dyDescent="0.25">
      <c r="A15" s="166">
        <f t="shared" si="0"/>
        <v>45974</v>
      </c>
      <c r="B15" s="80">
        <v>0</v>
      </c>
      <c r="C15" s="80">
        <v>60</v>
      </c>
      <c r="D15" s="80">
        <v>81</v>
      </c>
      <c r="E15" s="80">
        <v>120</v>
      </c>
      <c r="F15" s="80">
        <v>0.01</v>
      </c>
      <c r="G15" s="80">
        <v>0</v>
      </c>
      <c r="H15" s="80">
        <v>155</v>
      </c>
      <c r="I15" s="80"/>
      <c r="J15" s="76" t="s">
        <v>41</v>
      </c>
    </row>
    <row r="16" spans="1:10" x14ac:dyDescent="0.25">
      <c r="A16" s="166">
        <f t="shared" si="0"/>
        <v>45975</v>
      </c>
      <c r="B16" s="80">
        <v>0</v>
      </c>
      <c r="C16" s="80">
        <v>44</v>
      </c>
      <c r="D16" s="80">
        <v>103</v>
      </c>
      <c r="E16" s="80">
        <v>93</v>
      </c>
      <c r="F16" s="80">
        <v>0</v>
      </c>
      <c r="G16" s="80">
        <v>0</v>
      </c>
      <c r="H16" s="80">
        <v>160</v>
      </c>
      <c r="I16" s="80"/>
      <c r="J16" s="76"/>
    </row>
    <row r="17" spans="1:10" x14ac:dyDescent="0.25">
      <c r="A17" s="166">
        <f t="shared" si="0"/>
        <v>45976</v>
      </c>
      <c r="B17" s="80">
        <v>0</v>
      </c>
      <c r="C17" s="80">
        <v>42</v>
      </c>
      <c r="D17" s="80">
        <v>104</v>
      </c>
      <c r="E17" s="80">
        <v>99</v>
      </c>
      <c r="F17" s="80">
        <v>0</v>
      </c>
      <c r="G17" s="80">
        <v>0</v>
      </c>
      <c r="H17" s="80">
        <v>160</v>
      </c>
      <c r="I17" s="80"/>
      <c r="J17" s="76"/>
    </row>
    <row r="18" spans="1:10" x14ac:dyDescent="0.25">
      <c r="A18" s="166">
        <f t="shared" si="0"/>
        <v>45977</v>
      </c>
      <c r="B18" s="80">
        <v>0</v>
      </c>
      <c r="C18" s="80">
        <v>40</v>
      </c>
      <c r="D18" s="80">
        <v>72</v>
      </c>
      <c r="E18" s="80">
        <v>101</v>
      </c>
      <c r="F18" s="80">
        <v>0</v>
      </c>
      <c r="G18" s="80">
        <v>0</v>
      </c>
      <c r="H18" s="80">
        <v>160</v>
      </c>
      <c r="I18" s="80"/>
      <c r="J18" s="76"/>
    </row>
    <row r="19" spans="1:10" x14ac:dyDescent="0.25">
      <c r="A19" s="166">
        <f t="shared" si="0"/>
        <v>45978</v>
      </c>
      <c r="B19" s="80">
        <v>0</v>
      </c>
      <c r="C19" s="80">
        <v>51</v>
      </c>
      <c r="D19" s="80">
        <v>56</v>
      </c>
      <c r="E19" s="80">
        <v>79</v>
      </c>
      <c r="F19" s="80">
        <v>0.05</v>
      </c>
      <c r="G19" s="80">
        <v>0</v>
      </c>
      <c r="H19" s="80">
        <v>208</v>
      </c>
      <c r="I19" s="80"/>
      <c r="J19" s="76" t="s">
        <v>42</v>
      </c>
    </row>
    <row r="20" spans="1:10" x14ac:dyDescent="0.25">
      <c r="A20" s="166">
        <f t="shared" si="0"/>
        <v>45979</v>
      </c>
      <c r="B20" s="80">
        <v>0</v>
      </c>
      <c r="C20" s="80">
        <v>55</v>
      </c>
      <c r="D20" s="80">
        <v>74</v>
      </c>
      <c r="E20" s="80">
        <v>79</v>
      </c>
      <c r="F20" s="80">
        <v>0</v>
      </c>
      <c r="G20" s="80">
        <v>0</v>
      </c>
      <c r="H20" s="80">
        <v>243</v>
      </c>
      <c r="I20" s="80"/>
      <c r="J20" s="76"/>
    </row>
    <row r="21" spans="1:10" x14ac:dyDescent="0.25">
      <c r="A21" s="166">
        <f t="shared" si="0"/>
        <v>45980</v>
      </c>
      <c r="B21" s="80">
        <v>0</v>
      </c>
      <c r="C21" s="80">
        <v>33</v>
      </c>
      <c r="D21" s="80">
        <v>63</v>
      </c>
      <c r="E21" s="80">
        <v>79</v>
      </c>
      <c r="F21" s="80">
        <v>0</v>
      </c>
      <c r="G21" s="80">
        <v>0</v>
      </c>
      <c r="H21" s="80">
        <v>300</v>
      </c>
      <c r="I21" s="80"/>
      <c r="J21" s="76"/>
    </row>
    <row r="22" spans="1:10" x14ac:dyDescent="0.25">
      <c r="A22" s="166">
        <f t="shared" si="0"/>
        <v>45981</v>
      </c>
      <c r="B22" s="80">
        <v>0</v>
      </c>
      <c r="C22" s="80">
        <v>0</v>
      </c>
      <c r="D22" s="80">
        <v>48</v>
      </c>
      <c r="E22" s="80">
        <v>79</v>
      </c>
      <c r="F22" s="80">
        <v>0.08</v>
      </c>
      <c r="G22" s="80">
        <v>0</v>
      </c>
      <c r="H22" s="80">
        <v>248</v>
      </c>
      <c r="I22" s="80"/>
      <c r="J22" s="76"/>
    </row>
    <row r="23" spans="1:10" x14ac:dyDescent="0.25">
      <c r="A23" s="166">
        <f t="shared" si="0"/>
        <v>45982</v>
      </c>
      <c r="B23" s="80">
        <v>0</v>
      </c>
      <c r="C23" s="80">
        <v>0</v>
      </c>
      <c r="D23" s="80">
        <v>43</v>
      </c>
      <c r="E23" s="80">
        <v>78</v>
      </c>
      <c r="F23" s="80">
        <v>0</v>
      </c>
      <c r="G23" s="80">
        <v>0</v>
      </c>
      <c r="H23" s="80">
        <v>300</v>
      </c>
      <c r="I23" s="80"/>
      <c r="J23" s="76"/>
    </row>
    <row r="24" spans="1:10" x14ac:dyDescent="0.25">
      <c r="A24" s="166">
        <f t="shared" si="0"/>
        <v>45983</v>
      </c>
      <c r="B24" s="80">
        <v>0</v>
      </c>
      <c r="C24" s="80">
        <v>0</v>
      </c>
      <c r="D24" s="80">
        <v>32</v>
      </c>
      <c r="E24" s="80">
        <v>78</v>
      </c>
      <c r="F24" s="80">
        <v>0</v>
      </c>
      <c r="G24" s="80">
        <v>0</v>
      </c>
      <c r="H24" s="80">
        <v>300</v>
      </c>
      <c r="I24" s="80"/>
      <c r="J24" s="76"/>
    </row>
    <row r="25" spans="1:10" x14ac:dyDescent="0.25">
      <c r="A25" s="166">
        <f t="shared" si="0"/>
        <v>45984</v>
      </c>
      <c r="B25" s="80">
        <v>0</v>
      </c>
      <c r="C25" s="80">
        <v>0</v>
      </c>
      <c r="D25" s="80">
        <v>25</v>
      </c>
      <c r="E25" s="80">
        <v>78</v>
      </c>
      <c r="F25" s="80">
        <v>0</v>
      </c>
      <c r="G25" s="80">
        <v>0</v>
      </c>
      <c r="H25" s="80">
        <v>300</v>
      </c>
      <c r="I25" s="80"/>
      <c r="J25" s="76"/>
    </row>
    <row r="26" spans="1:10" x14ac:dyDescent="0.25">
      <c r="A26" s="166">
        <f t="shared" si="0"/>
        <v>45985</v>
      </c>
      <c r="B26" s="80">
        <v>0</v>
      </c>
      <c r="C26" s="80">
        <v>0</v>
      </c>
      <c r="D26" s="80">
        <v>22</v>
      </c>
      <c r="E26" s="80">
        <v>78</v>
      </c>
      <c r="F26" s="80" t="s">
        <v>30</v>
      </c>
      <c r="G26" s="80">
        <v>0</v>
      </c>
      <c r="H26" s="80">
        <v>300</v>
      </c>
      <c r="I26" s="80"/>
      <c r="J26" s="76"/>
    </row>
    <row r="27" spans="1:10" x14ac:dyDescent="0.25">
      <c r="A27" s="166">
        <f t="shared" si="0"/>
        <v>45986</v>
      </c>
      <c r="B27" s="80">
        <v>0</v>
      </c>
      <c r="C27" s="80">
        <v>0</v>
      </c>
      <c r="D27" s="80">
        <v>21</v>
      </c>
      <c r="E27" s="80">
        <v>78</v>
      </c>
      <c r="F27" s="80">
        <v>0</v>
      </c>
      <c r="G27" s="80">
        <v>0</v>
      </c>
      <c r="H27" s="80">
        <v>300</v>
      </c>
      <c r="I27" s="80"/>
      <c r="J27" s="76"/>
    </row>
    <row r="28" spans="1:10" x14ac:dyDescent="0.25">
      <c r="A28" s="166">
        <f t="shared" si="0"/>
        <v>45987</v>
      </c>
      <c r="B28" s="80">
        <v>0</v>
      </c>
      <c r="C28" s="80">
        <v>0</v>
      </c>
      <c r="D28" s="80">
        <v>21</v>
      </c>
      <c r="E28" s="80">
        <v>78</v>
      </c>
      <c r="F28" s="80">
        <v>0</v>
      </c>
      <c r="G28" s="80">
        <v>0</v>
      </c>
      <c r="H28" s="80">
        <v>242</v>
      </c>
      <c r="I28" s="80"/>
      <c r="J28" s="76" t="s">
        <v>43</v>
      </c>
    </row>
    <row r="29" spans="1:10" x14ac:dyDescent="0.25">
      <c r="A29" s="166">
        <f t="shared" si="0"/>
        <v>45988</v>
      </c>
      <c r="B29" s="80">
        <v>0</v>
      </c>
      <c r="C29" s="80">
        <v>0</v>
      </c>
      <c r="D29" s="80">
        <v>21</v>
      </c>
      <c r="E29" s="80">
        <v>78</v>
      </c>
      <c r="F29" s="80">
        <v>0</v>
      </c>
      <c r="G29" s="80">
        <v>0</v>
      </c>
      <c r="H29" s="80">
        <v>159</v>
      </c>
      <c r="I29" s="80"/>
      <c r="J29" s="76"/>
    </row>
    <row r="30" spans="1:10" x14ac:dyDescent="0.25">
      <c r="A30" s="166">
        <f t="shared" si="0"/>
        <v>45989</v>
      </c>
      <c r="B30" s="80">
        <v>0</v>
      </c>
      <c r="C30" s="80">
        <v>0</v>
      </c>
      <c r="D30" s="80">
        <v>19</v>
      </c>
      <c r="E30" s="80">
        <v>78</v>
      </c>
      <c r="F30" s="80">
        <v>0</v>
      </c>
      <c r="G30" s="80">
        <v>0</v>
      </c>
      <c r="H30" s="80">
        <v>159</v>
      </c>
      <c r="I30" s="80"/>
      <c r="J30" s="76"/>
    </row>
    <row r="31" spans="1:10" x14ac:dyDescent="0.25">
      <c r="A31" s="166">
        <f t="shared" si="0"/>
        <v>45990</v>
      </c>
      <c r="B31" s="80">
        <v>0</v>
      </c>
      <c r="C31" s="80">
        <v>0</v>
      </c>
      <c r="D31" s="80">
        <v>24</v>
      </c>
      <c r="E31" s="80">
        <v>78</v>
      </c>
      <c r="F31" s="80">
        <v>0</v>
      </c>
      <c r="G31" s="80">
        <v>0</v>
      </c>
      <c r="H31" s="80">
        <v>159</v>
      </c>
      <c r="I31" s="80"/>
      <c r="J31" s="76"/>
    </row>
    <row r="32" spans="1:10" ht="15.75" thickBot="1" x14ac:dyDescent="0.3">
      <c r="A32" s="166">
        <f t="shared" si="0"/>
        <v>45991</v>
      </c>
      <c r="B32" s="80">
        <v>0</v>
      </c>
      <c r="C32" s="80">
        <v>0</v>
      </c>
      <c r="D32" s="80">
        <v>28</v>
      </c>
      <c r="E32" s="80">
        <v>78</v>
      </c>
      <c r="F32" s="80">
        <v>0</v>
      </c>
      <c r="G32" s="80">
        <v>0</v>
      </c>
      <c r="H32" s="80">
        <v>159</v>
      </c>
      <c r="I32" s="80"/>
      <c r="J32" s="76"/>
    </row>
    <row r="33" spans="1:16" s="93" customFormat="1" ht="15.75" thickTop="1" x14ac:dyDescent="0.25">
      <c r="A33" s="103" t="s">
        <v>8</v>
      </c>
      <c r="B33" s="168">
        <f t="shared" ref="B33:H33" si="1">SUM(B3:B32)</f>
        <v>0</v>
      </c>
      <c r="C33" s="168">
        <f t="shared" si="1"/>
        <v>567</v>
      </c>
      <c r="D33" s="168">
        <f t="shared" si="1"/>
        <v>1218</v>
      </c>
      <c r="E33" s="168">
        <f t="shared" si="1"/>
        <v>3215</v>
      </c>
      <c r="F33" s="169">
        <f t="shared" si="1"/>
        <v>0.65</v>
      </c>
      <c r="G33" s="169">
        <f t="shared" si="1"/>
        <v>0</v>
      </c>
      <c r="H33" s="168">
        <f t="shared" si="1"/>
        <v>5139</v>
      </c>
      <c r="I33" s="169"/>
      <c r="J33" s="167"/>
    </row>
    <row r="34" spans="1:16" s="93" customFormat="1" x14ac:dyDescent="0.25">
      <c r="A34" s="105" t="s">
        <v>9</v>
      </c>
      <c r="B34" s="106">
        <f>SUM(B33+'Oct 2025'!B35)</f>
        <v>71</v>
      </c>
      <c r="C34" s="106">
        <f>SUM(C33+'Oct 2025'!C35)</f>
        <v>741</v>
      </c>
      <c r="D34" s="106">
        <f>SUM(D33+'Oct 2025'!D35)</f>
        <v>2546</v>
      </c>
      <c r="E34" s="106">
        <f>SUM(E33+'Oct 2025'!E35)</f>
        <v>7505</v>
      </c>
      <c r="F34" s="107">
        <f>SUM(F33+'Oct 2025'!F35)</f>
        <v>1.5300000000000002</v>
      </c>
      <c r="G34" s="107">
        <f>SUM(G33+'Oct 2025'!G35)</f>
        <v>0</v>
      </c>
      <c r="H34" s="106">
        <f>SUM(H33+'Oct 2025'!H35)</f>
        <v>11060</v>
      </c>
      <c r="I34" s="107"/>
    </row>
    <row r="35" spans="1:16" x14ac:dyDescent="0.25">
      <c r="B35" s="171"/>
      <c r="J35" s="93"/>
    </row>
    <row r="36" spans="1:16" x14ac:dyDescent="0.25">
      <c r="A36" s="167" t="s">
        <v>10</v>
      </c>
      <c r="B36" s="172">
        <f>SUM(B3:B32)*1.9835</f>
        <v>0</v>
      </c>
      <c r="C36" s="172">
        <f>SUM(C3:C32)*1.9835</f>
        <v>1124.6445000000001</v>
      </c>
      <c r="D36" s="172">
        <f>SUM(D3:D32)*1.9835</f>
        <v>2415.9030000000002</v>
      </c>
      <c r="E36" s="172">
        <f>SUM(E3:E32)*1.9835</f>
        <v>6376.9525000000003</v>
      </c>
      <c r="F36" s="172"/>
      <c r="G36" s="172"/>
      <c r="H36" s="172"/>
      <c r="J36" s="173"/>
    </row>
    <row r="37" spans="1:16" x14ac:dyDescent="0.25">
      <c r="A37" s="167"/>
      <c r="B37" s="167"/>
      <c r="C37" s="167"/>
      <c r="D37" s="167"/>
      <c r="E37" s="167"/>
      <c r="H37" s="167"/>
    </row>
    <row r="38" spans="1:16" x14ac:dyDescent="0.25">
      <c r="A38" s="167" t="s">
        <v>24</v>
      </c>
      <c r="B38" s="172">
        <f>SUM('Oct 2025'!B39+B36)</f>
        <v>140.82849999999999</v>
      </c>
      <c r="C38" s="172">
        <f>SUM('Oct 2025'!C39+C36)</f>
        <v>1469.7735000000002</v>
      </c>
      <c r="D38" s="172">
        <f>SUM('Oct 2025'!D39+D36)</f>
        <v>5049.991</v>
      </c>
      <c r="E38" s="172">
        <f>SUM('Oct 2025'!E39+E36)</f>
        <v>14886.1675</v>
      </c>
      <c r="F38" s="172"/>
      <c r="G38" s="172"/>
      <c r="H38" s="172"/>
      <c r="J38" s="173"/>
    </row>
    <row r="39" spans="1:16" x14ac:dyDescent="0.25">
      <c r="A39" s="167"/>
      <c r="B39" s="167"/>
      <c r="C39" s="172"/>
      <c r="D39" s="172"/>
      <c r="E39" s="172"/>
      <c r="F39" s="172"/>
      <c r="G39" s="172"/>
      <c r="H39" s="172"/>
      <c r="J39" s="173"/>
    </row>
    <row r="40" spans="1:16" ht="17.45" customHeight="1" x14ac:dyDescent="0.25">
      <c r="A40" s="247"/>
      <c r="B40" s="247"/>
      <c r="C40" s="247"/>
      <c r="D40" s="247"/>
      <c r="E40" s="247"/>
      <c r="F40" s="247"/>
      <c r="G40" s="248"/>
      <c r="H40" s="249" t="s">
        <v>12</v>
      </c>
      <c r="I40" s="250"/>
      <c r="J40" s="175"/>
      <c r="K40" s="175"/>
      <c r="L40" s="175"/>
      <c r="M40" s="175"/>
      <c r="N40" s="175"/>
      <c r="O40" s="176"/>
      <c r="P40" s="175"/>
    </row>
    <row r="41" spans="1:16" ht="16.899999999999999" customHeight="1" x14ac:dyDescent="0.25">
      <c r="A41" s="174"/>
      <c r="B41" s="174"/>
      <c r="C41" s="174"/>
      <c r="D41" s="174"/>
      <c r="E41" s="174"/>
      <c r="F41" s="174"/>
      <c r="G41" s="174"/>
      <c r="H41" s="249"/>
      <c r="I41" s="250"/>
      <c r="J41" s="175"/>
      <c r="K41" s="175"/>
      <c r="L41" s="175"/>
      <c r="M41" s="175"/>
      <c r="N41" s="175"/>
      <c r="O41" s="176"/>
      <c r="P41" s="175"/>
    </row>
    <row r="42" spans="1:16" ht="13.9" customHeight="1" x14ac:dyDescent="0.25">
      <c r="A42" s="252" t="s">
        <v>23</v>
      </c>
      <c r="B42" s="252"/>
      <c r="C42" s="252"/>
      <c r="D42" s="252"/>
      <c r="E42" s="252"/>
      <c r="F42" s="252"/>
      <c r="G42" s="252"/>
      <c r="H42" s="252"/>
      <c r="I42" s="252"/>
      <c r="J42" s="252"/>
      <c r="K42" s="252"/>
      <c r="L42" s="177"/>
      <c r="M42" s="177"/>
      <c r="N42" s="177"/>
      <c r="O42" s="178"/>
      <c r="P42" s="177"/>
    </row>
    <row r="43" spans="1:16" ht="15.6" customHeight="1" x14ac:dyDescent="0.25">
      <c r="A43" s="179" t="s">
        <v>17</v>
      </c>
      <c r="B43" s="180"/>
      <c r="C43" s="181"/>
      <c r="D43" s="182"/>
      <c r="E43" s="182"/>
      <c r="F43" s="183"/>
      <c r="G43" s="184"/>
      <c r="H43" s="185"/>
      <c r="I43" s="186"/>
      <c r="J43" s="177"/>
      <c r="K43" s="177"/>
      <c r="L43" s="177"/>
      <c r="M43" s="177"/>
      <c r="N43" s="177"/>
      <c r="O43" s="178"/>
    </row>
    <row r="44" spans="1:16" x14ac:dyDescent="0.25">
      <c r="A44" s="187"/>
      <c r="B44" s="188"/>
      <c r="C44" s="181"/>
      <c r="D44" s="182"/>
      <c r="E44" s="182"/>
      <c r="F44" s="189"/>
      <c r="G44" s="184">
        <f>SUM(24-E44)</f>
        <v>24</v>
      </c>
      <c r="H44" s="185">
        <f>SUM(D44+F44)</f>
        <v>0</v>
      </c>
      <c r="I44" s="186">
        <f>SUM(D44/24*E44+H44/24*G44)</f>
        <v>0</v>
      </c>
      <c r="J44" s="177"/>
      <c r="K44" s="177"/>
      <c r="L44" s="177"/>
      <c r="M44" s="177"/>
      <c r="N44" s="177"/>
      <c r="O44" s="178"/>
    </row>
    <row r="45" spans="1:16" x14ac:dyDescent="0.25">
      <c r="A45" s="187"/>
      <c r="B45" s="188"/>
      <c r="C45" s="181"/>
      <c r="D45" s="182"/>
      <c r="E45" s="182"/>
      <c r="F45" s="189"/>
      <c r="G45" s="184">
        <f>SUM(24-E45)</f>
        <v>24</v>
      </c>
      <c r="H45" s="185">
        <f>SUM(D45+F45)</f>
        <v>0</v>
      </c>
      <c r="I45" s="186">
        <f>SUM(D45/24*E45+H45/24*G45)</f>
        <v>0</v>
      </c>
      <c r="J45" s="177"/>
      <c r="K45" s="177"/>
      <c r="L45" s="177"/>
      <c r="M45" s="177"/>
      <c r="N45" s="177"/>
      <c r="O45" s="178"/>
    </row>
    <row r="46" spans="1:16" x14ac:dyDescent="0.25">
      <c r="A46" s="187"/>
      <c r="B46" s="188"/>
      <c r="C46" s="181"/>
      <c r="D46" s="182"/>
      <c r="E46" s="182"/>
      <c r="F46" s="189"/>
      <c r="G46" s="184">
        <f>SUM(24-E46)</f>
        <v>24</v>
      </c>
      <c r="H46" s="185">
        <f>SUM(D46+F46)</f>
        <v>0</v>
      </c>
      <c r="I46" s="186">
        <f>SUM(D46/24*E46+H46/24*G46)</f>
        <v>0</v>
      </c>
      <c r="J46" s="177"/>
      <c r="K46" s="177"/>
      <c r="L46" s="177"/>
      <c r="M46" s="177"/>
      <c r="N46" s="177"/>
      <c r="O46" s="178"/>
    </row>
    <row r="47" spans="1:16" x14ac:dyDescent="0.25">
      <c r="A47" s="187"/>
      <c r="B47" s="188"/>
      <c r="C47" s="181"/>
      <c r="D47" s="182"/>
      <c r="E47" s="182"/>
      <c r="F47" s="189"/>
      <c r="G47" s="184">
        <f>SUM(24-E47)</f>
        <v>24</v>
      </c>
      <c r="H47" s="185">
        <f>SUM(D47+F47)</f>
        <v>0</v>
      </c>
      <c r="I47" s="186">
        <f>SUM(D47/24*E47+H47/24*G47)</f>
        <v>0</v>
      </c>
      <c r="J47" s="177"/>
      <c r="K47" s="177"/>
      <c r="L47" s="177"/>
      <c r="M47" s="177"/>
      <c r="N47" s="177"/>
      <c r="O47" s="178"/>
    </row>
    <row r="48" spans="1:16" x14ac:dyDescent="0.25">
      <c r="A48" s="187"/>
      <c r="B48" s="188"/>
      <c r="C48" s="181"/>
      <c r="D48" s="182"/>
      <c r="E48" s="182"/>
      <c r="F48" s="189"/>
      <c r="G48" s="184">
        <f>SUM(24-E48)</f>
        <v>24</v>
      </c>
      <c r="H48" s="185">
        <f>SUM(D48+F48)</f>
        <v>0</v>
      </c>
      <c r="I48" s="186">
        <f>SUM(D48/24*E48+H48/24*G48)</f>
        <v>0</v>
      </c>
      <c r="J48" s="177"/>
      <c r="K48" s="177"/>
      <c r="L48" s="177"/>
      <c r="M48" s="177"/>
      <c r="N48" s="177"/>
      <c r="O48" s="178"/>
    </row>
    <row r="49" spans="1:16" ht="13.15" customHeight="1" x14ac:dyDescent="0.25">
      <c r="A49" s="190"/>
      <c r="B49" s="190"/>
      <c r="C49" s="191"/>
      <c r="D49" s="191"/>
      <c r="E49" s="191"/>
      <c r="F49" s="191"/>
      <c r="G49" s="191"/>
      <c r="H49" s="192"/>
      <c r="I49" s="177"/>
      <c r="J49" s="177"/>
      <c r="K49" s="177"/>
      <c r="L49" s="177"/>
      <c r="M49" s="177"/>
      <c r="N49" s="177"/>
      <c r="O49" s="178"/>
      <c r="P49" s="177"/>
    </row>
    <row r="50" spans="1:16" ht="15.75" thickBot="1" x14ac:dyDescent="0.3">
      <c r="A50" s="193" t="s">
        <v>18</v>
      </c>
      <c r="B50" s="193"/>
      <c r="C50" s="193"/>
      <c r="D50" s="193"/>
      <c r="E50" s="193"/>
      <c r="F50" s="194"/>
      <c r="G50" s="195"/>
      <c r="H50" s="192"/>
      <c r="I50" s="177"/>
      <c r="J50" s="177"/>
      <c r="K50" s="177"/>
      <c r="L50" s="177"/>
      <c r="M50" s="177"/>
      <c r="N50" s="177"/>
      <c r="O50" s="178"/>
      <c r="P50" s="177"/>
    </row>
    <row r="51" spans="1:16" ht="26.25" x14ac:dyDescent="0.25">
      <c r="A51" s="196" t="s">
        <v>19</v>
      </c>
      <c r="B51" s="197"/>
      <c r="C51" s="198" t="s">
        <v>13</v>
      </c>
      <c r="D51" s="199" t="s">
        <v>14</v>
      </c>
      <c r="E51" s="199" t="s">
        <v>15</v>
      </c>
      <c r="F51" s="200" t="s">
        <v>16</v>
      </c>
      <c r="G51" s="201" t="s">
        <v>20</v>
      </c>
      <c r="H51" s="202"/>
      <c r="I51" s="203"/>
      <c r="J51" s="204"/>
      <c r="K51" s="204"/>
    </row>
    <row r="52" spans="1:16" x14ac:dyDescent="0.25">
      <c r="A52" s="205"/>
      <c r="B52" s="206"/>
      <c r="C52" s="207"/>
      <c r="D52" s="208"/>
      <c r="E52" s="209"/>
      <c r="F52" s="210"/>
      <c r="G52" s="211"/>
      <c r="H52" s="212"/>
      <c r="I52" s="213"/>
      <c r="J52" s="214"/>
      <c r="K52" s="214"/>
    </row>
    <row r="53" spans="1:16" x14ac:dyDescent="0.25">
      <c r="A53" s="215"/>
      <c r="B53" s="216"/>
      <c r="C53" s="217"/>
      <c r="D53" s="218"/>
      <c r="E53" s="209"/>
      <c r="F53" s="219"/>
      <c r="G53" s="220"/>
      <c r="H53" s="212"/>
      <c r="I53" s="213"/>
    </row>
    <row r="54" spans="1:16" x14ac:dyDescent="0.25">
      <c r="A54" s="215"/>
      <c r="B54" s="216"/>
      <c r="C54" s="217"/>
      <c r="D54" s="218"/>
      <c r="E54" s="209"/>
      <c r="F54" s="221"/>
      <c r="G54" s="220"/>
      <c r="H54" s="212"/>
      <c r="I54" s="213"/>
    </row>
    <row r="55" spans="1:16" x14ac:dyDescent="0.25">
      <c r="A55" s="215"/>
      <c r="B55" s="216"/>
      <c r="C55" s="217"/>
      <c r="D55" s="218"/>
      <c r="E55" s="209"/>
      <c r="F55" s="221"/>
      <c r="G55" s="220"/>
      <c r="H55" s="212"/>
      <c r="I55" s="213"/>
    </row>
    <row r="56" spans="1:16" ht="15.75" thickBot="1" x14ac:dyDescent="0.3">
      <c r="A56" s="222"/>
      <c r="B56" s="223"/>
      <c r="C56" s="224"/>
      <c r="D56" s="225"/>
      <c r="E56" s="226"/>
      <c r="F56" s="225"/>
      <c r="G56" s="227"/>
      <c r="H56" s="212"/>
      <c r="I56" s="213"/>
    </row>
    <row r="57" spans="1:16" s="233" customFormat="1" ht="30" customHeight="1" x14ac:dyDescent="0.25">
      <c r="A57" s="253" t="s">
        <v>21</v>
      </c>
      <c r="B57" s="254"/>
      <c r="C57" s="254"/>
      <c r="D57" s="255"/>
      <c r="E57" s="228">
        <f>SUM(E52:E56)</f>
        <v>0</v>
      </c>
      <c r="F57" s="229" t="s">
        <v>22</v>
      </c>
      <c r="G57" s="230">
        <f>SUM(G52:G56)</f>
        <v>0</v>
      </c>
      <c r="H57" s="231"/>
      <c r="I57" s="232"/>
    </row>
  </sheetData>
  <mergeCells count="4">
    <mergeCell ref="A40:G40"/>
    <mergeCell ref="H40:I41"/>
    <mergeCell ref="A42:K42"/>
    <mergeCell ref="A57:D57"/>
  </mergeCells>
  <phoneticPr fontId="45" type="noConversion"/>
  <printOptions horizontalCentered="1"/>
  <pageMargins left="0.7" right="0.5" top="1.5" bottom="1" header="1" footer="0.5"/>
  <pageSetup scale="6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O59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3" sqref="F33"/>
    </sheetView>
  </sheetViews>
  <sheetFormatPr defaultColWidth="14.28515625" defaultRowHeight="15" x14ac:dyDescent="0.25"/>
  <cols>
    <col min="1" max="1" width="14.7109375" style="94" customWidth="1"/>
    <col min="2" max="2" width="14.28515625" style="94"/>
    <col min="3" max="5" width="14.28515625" style="100"/>
    <col min="6" max="7" width="14.28515625" style="101"/>
    <col min="8" max="8" width="14.28515625" style="100"/>
    <col min="9" max="9" width="14.28515625" style="102"/>
    <col min="10" max="16384" width="14.28515625" style="92"/>
  </cols>
  <sheetData>
    <row r="1" spans="1:13" s="88" customFormat="1" ht="30" x14ac:dyDescent="0.25">
      <c r="A1" s="75" t="s">
        <v>0</v>
      </c>
      <c r="B1" s="3" t="s">
        <v>28</v>
      </c>
      <c r="C1" s="3" t="s">
        <v>5</v>
      </c>
      <c r="D1" s="3" t="s">
        <v>1</v>
      </c>
      <c r="E1" s="3" t="s">
        <v>2</v>
      </c>
      <c r="F1" s="4" t="s">
        <v>6</v>
      </c>
      <c r="G1" s="4" t="s">
        <v>7</v>
      </c>
      <c r="H1" s="3" t="s">
        <v>3</v>
      </c>
      <c r="I1" s="2" t="s">
        <v>4</v>
      </c>
      <c r="J1" s="2" t="s">
        <v>11</v>
      </c>
    </row>
    <row r="2" spans="1:13" s="88" customFormat="1" x14ac:dyDescent="0.25">
      <c r="A2" s="74"/>
      <c r="B2" s="3" t="s">
        <v>25</v>
      </c>
      <c r="C2" s="3" t="s">
        <v>25</v>
      </c>
      <c r="D2" s="3" t="s">
        <v>25</v>
      </c>
      <c r="E2" s="3" t="s">
        <v>25</v>
      </c>
      <c r="F2" s="4"/>
      <c r="G2" s="4"/>
      <c r="H2" s="3" t="s">
        <v>27</v>
      </c>
      <c r="I2" s="2"/>
      <c r="J2" s="73"/>
    </row>
    <row r="3" spans="1:13" x14ac:dyDescent="0.25">
      <c r="A3" s="18">
        <v>45931</v>
      </c>
      <c r="B3" s="77">
        <v>71</v>
      </c>
      <c r="C3" s="77">
        <v>15</v>
      </c>
      <c r="D3" s="77">
        <v>0</v>
      </c>
      <c r="E3" s="77">
        <v>143</v>
      </c>
      <c r="F3" s="77">
        <v>0.01</v>
      </c>
      <c r="G3" s="77">
        <v>0</v>
      </c>
      <c r="H3" s="77">
        <v>300</v>
      </c>
      <c r="I3" s="77"/>
      <c r="J3" s="76"/>
      <c r="K3" s="90"/>
      <c r="L3" s="91"/>
      <c r="M3" s="91"/>
    </row>
    <row r="4" spans="1:13" x14ac:dyDescent="0.25">
      <c r="A4" s="18">
        <f>A3+1</f>
        <v>45932</v>
      </c>
      <c r="B4" s="77">
        <v>0</v>
      </c>
      <c r="C4" s="77">
        <v>0</v>
      </c>
      <c r="D4" s="77">
        <v>0</v>
      </c>
      <c r="E4" s="77">
        <v>152</v>
      </c>
      <c r="F4" s="77">
        <v>0.02</v>
      </c>
      <c r="G4" s="77">
        <v>0</v>
      </c>
      <c r="H4" s="77">
        <v>300</v>
      </c>
      <c r="I4" s="77"/>
      <c r="J4" s="76"/>
      <c r="K4" s="90"/>
      <c r="L4" s="91"/>
      <c r="M4" s="91"/>
    </row>
    <row r="5" spans="1:13" x14ac:dyDescent="0.25">
      <c r="A5" s="18">
        <f t="shared" ref="A5:A33" si="0">A4+1</f>
        <v>45933</v>
      </c>
      <c r="B5" s="77">
        <v>0</v>
      </c>
      <c r="C5" s="77">
        <v>0</v>
      </c>
      <c r="D5" s="77">
        <v>72</v>
      </c>
      <c r="E5" s="77">
        <v>145</v>
      </c>
      <c r="F5" s="77">
        <v>0.02</v>
      </c>
      <c r="G5" s="77">
        <v>0</v>
      </c>
      <c r="H5" s="77">
        <v>300</v>
      </c>
      <c r="I5" s="77"/>
      <c r="J5" s="76"/>
      <c r="K5" s="90"/>
      <c r="L5" s="91"/>
      <c r="M5" s="91"/>
    </row>
    <row r="6" spans="1:13" x14ac:dyDescent="0.25">
      <c r="A6" s="18">
        <f t="shared" si="0"/>
        <v>45934</v>
      </c>
      <c r="B6" s="77">
        <v>0</v>
      </c>
      <c r="C6" s="77">
        <v>0</v>
      </c>
      <c r="D6" s="77">
        <v>86</v>
      </c>
      <c r="E6" s="77">
        <v>159</v>
      </c>
      <c r="F6" s="77">
        <v>0.02</v>
      </c>
      <c r="G6" s="77">
        <v>0</v>
      </c>
      <c r="H6" s="77">
        <v>299</v>
      </c>
      <c r="I6" s="77"/>
      <c r="J6" s="76"/>
      <c r="K6" s="90"/>
      <c r="L6" s="91"/>
      <c r="M6" s="91"/>
    </row>
    <row r="7" spans="1:13" x14ac:dyDescent="0.25">
      <c r="A7" s="18">
        <f t="shared" si="0"/>
        <v>45935</v>
      </c>
      <c r="B7" s="77">
        <v>0</v>
      </c>
      <c r="C7" s="77">
        <v>0</v>
      </c>
      <c r="D7" s="77">
        <v>101</v>
      </c>
      <c r="E7" s="77">
        <v>160</v>
      </c>
      <c r="F7" s="77">
        <v>0</v>
      </c>
      <c r="G7" s="77">
        <v>0</v>
      </c>
      <c r="H7" s="77">
        <v>300</v>
      </c>
      <c r="I7" s="77"/>
      <c r="J7" s="76"/>
      <c r="K7" s="90"/>
      <c r="L7" s="91"/>
      <c r="M7" s="91"/>
    </row>
    <row r="8" spans="1:13" x14ac:dyDescent="0.25">
      <c r="A8" s="18">
        <f t="shared" si="0"/>
        <v>45936</v>
      </c>
      <c r="B8" s="77">
        <v>0</v>
      </c>
      <c r="C8" s="77">
        <v>0</v>
      </c>
      <c r="D8" s="77">
        <v>50</v>
      </c>
      <c r="E8" s="77">
        <v>178</v>
      </c>
      <c r="F8" s="77">
        <v>0</v>
      </c>
      <c r="G8" s="77">
        <v>0</v>
      </c>
      <c r="H8" s="77">
        <v>299</v>
      </c>
      <c r="I8" s="77"/>
      <c r="J8" s="76"/>
      <c r="K8" s="90"/>
      <c r="L8" s="91"/>
      <c r="M8" s="91"/>
    </row>
    <row r="9" spans="1:13" x14ac:dyDescent="0.25">
      <c r="A9" s="18">
        <f t="shared" si="0"/>
        <v>45937</v>
      </c>
      <c r="B9" s="77">
        <v>0</v>
      </c>
      <c r="C9" s="77">
        <v>0</v>
      </c>
      <c r="D9" s="77">
        <v>72</v>
      </c>
      <c r="E9" s="77">
        <v>152</v>
      </c>
      <c r="F9" s="77">
        <v>0</v>
      </c>
      <c r="G9" s="77">
        <v>0</v>
      </c>
      <c r="H9" s="77">
        <v>248</v>
      </c>
      <c r="I9" s="77"/>
      <c r="J9" s="76" t="s">
        <v>31</v>
      </c>
      <c r="K9" s="90"/>
      <c r="L9" s="91"/>
      <c r="M9" s="91"/>
    </row>
    <row r="10" spans="1:13" x14ac:dyDescent="0.25">
      <c r="A10" s="18">
        <f t="shared" si="0"/>
        <v>45938</v>
      </c>
      <c r="B10" s="77">
        <v>0</v>
      </c>
      <c r="C10" s="77">
        <v>0</v>
      </c>
      <c r="D10" s="77">
        <v>79</v>
      </c>
      <c r="E10" s="77">
        <v>125</v>
      </c>
      <c r="F10" s="77">
        <v>0</v>
      </c>
      <c r="G10" s="77">
        <v>0</v>
      </c>
      <c r="H10" s="77">
        <v>141</v>
      </c>
      <c r="I10" s="77"/>
      <c r="J10" s="76"/>
      <c r="K10" s="90"/>
      <c r="L10" s="91"/>
      <c r="M10" s="91"/>
    </row>
    <row r="11" spans="1:13" x14ac:dyDescent="0.25">
      <c r="A11" s="18">
        <f t="shared" si="0"/>
        <v>45939</v>
      </c>
      <c r="B11" s="77">
        <v>0</v>
      </c>
      <c r="C11" s="77">
        <v>0</v>
      </c>
      <c r="D11" s="77">
        <v>76</v>
      </c>
      <c r="E11" s="77">
        <v>128</v>
      </c>
      <c r="F11" s="77">
        <v>0</v>
      </c>
      <c r="G11" s="77">
        <v>0</v>
      </c>
      <c r="H11" s="77">
        <v>141</v>
      </c>
      <c r="I11" s="77"/>
      <c r="J11" s="76"/>
      <c r="K11" s="90"/>
      <c r="L11" s="91"/>
      <c r="M11" s="91"/>
    </row>
    <row r="12" spans="1:13" x14ac:dyDescent="0.25">
      <c r="A12" s="18">
        <f t="shared" si="0"/>
        <v>45940</v>
      </c>
      <c r="B12" s="77">
        <v>0</v>
      </c>
      <c r="C12" s="77">
        <v>0</v>
      </c>
      <c r="D12" s="77">
        <v>114</v>
      </c>
      <c r="E12" s="77">
        <v>128</v>
      </c>
      <c r="F12" s="77">
        <v>0</v>
      </c>
      <c r="G12" s="77">
        <v>0</v>
      </c>
      <c r="H12" s="77">
        <v>153</v>
      </c>
      <c r="I12" s="77"/>
      <c r="J12" s="76" t="s">
        <v>32</v>
      </c>
      <c r="K12" s="90"/>
      <c r="L12" s="91"/>
      <c r="M12" s="89"/>
    </row>
    <row r="13" spans="1:13" x14ac:dyDescent="0.25">
      <c r="A13" s="18">
        <f t="shared" si="0"/>
        <v>45941</v>
      </c>
      <c r="B13" s="77">
        <v>0</v>
      </c>
      <c r="C13" s="77">
        <v>0</v>
      </c>
      <c r="D13" s="77">
        <v>159</v>
      </c>
      <c r="E13" s="77">
        <v>129</v>
      </c>
      <c r="F13" s="77">
        <v>0.12</v>
      </c>
      <c r="G13" s="77">
        <v>0</v>
      </c>
      <c r="H13" s="77">
        <v>159</v>
      </c>
      <c r="I13" s="77"/>
      <c r="J13" s="76"/>
      <c r="K13" s="90"/>
      <c r="L13" s="91"/>
      <c r="M13" s="91"/>
    </row>
    <row r="14" spans="1:13" x14ac:dyDescent="0.25">
      <c r="A14" s="18">
        <f t="shared" si="0"/>
        <v>45942</v>
      </c>
      <c r="B14" s="77">
        <v>0</v>
      </c>
      <c r="C14" s="77">
        <v>0</v>
      </c>
      <c r="D14" s="77">
        <v>129</v>
      </c>
      <c r="E14" s="77">
        <v>134</v>
      </c>
      <c r="F14" s="77">
        <v>0.01</v>
      </c>
      <c r="G14" s="77">
        <v>0</v>
      </c>
      <c r="H14" s="77">
        <v>159</v>
      </c>
      <c r="I14" s="77"/>
      <c r="J14" s="76"/>
      <c r="K14" s="90"/>
      <c r="L14" s="91"/>
      <c r="M14" s="91"/>
    </row>
    <row r="15" spans="1:13" x14ac:dyDescent="0.25">
      <c r="A15" s="18">
        <f t="shared" si="0"/>
        <v>45943</v>
      </c>
      <c r="B15" s="77">
        <v>0</v>
      </c>
      <c r="C15" s="77">
        <v>0</v>
      </c>
      <c r="D15" s="77">
        <v>131</v>
      </c>
      <c r="E15" s="77">
        <v>142</v>
      </c>
      <c r="F15" s="77">
        <v>7.0000000000000007E-2</v>
      </c>
      <c r="G15" s="77">
        <v>0</v>
      </c>
      <c r="H15" s="77">
        <v>252</v>
      </c>
      <c r="I15" s="77"/>
      <c r="J15" s="76"/>
      <c r="K15" s="90"/>
    </row>
    <row r="16" spans="1:13" x14ac:dyDescent="0.25">
      <c r="A16" s="18">
        <f t="shared" si="0"/>
        <v>45944</v>
      </c>
      <c r="B16" s="77">
        <v>0</v>
      </c>
      <c r="C16" s="77">
        <v>0</v>
      </c>
      <c r="D16" s="77">
        <v>149</v>
      </c>
      <c r="E16" s="77">
        <v>132</v>
      </c>
      <c r="F16" s="77">
        <v>0.01</v>
      </c>
      <c r="G16" s="77">
        <v>0</v>
      </c>
      <c r="H16" s="77">
        <v>160</v>
      </c>
      <c r="I16" s="77"/>
      <c r="J16" s="76"/>
      <c r="K16" s="90"/>
    </row>
    <row r="17" spans="1:11" x14ac:dyDescent="0.25">
      <c r="A17" s="18">
        <f t="shared" si="0"/>
        <v>45945</v>
      </c>
      <c r="B17" s="77">
        <v>0</v>
      </c>
      <c r="C17" s="77">
        <v>0</v>
      </c>
      <c r="D17" s="77">
        <v>98</v>
      </c>
      <c r="E17" s="77">
        <v>154</v>
      </c>
      <c r="F17" s="77" t="s">
        <v>30</v>
      </c>
      <c r="G17" s="77">
        <v>0</v>
      </c>
      <c r="H17" s="77">
        <v>159</v>
      </c>
      <c r="I17" s="77"/>
      <c r="J17" s="76"/>
      <c r="K17" s="90"/>
    </row>
    <row r="18" spans="1:11" x14ac:dyDescent="0.25">
      <c r="A18" s="18">
        <f t="shared" si="0"/>
        <v>45946</v>
      </c>
      <c r="B18" s="77">
        <v>0</v>
      </c>
      <c r="C18" s="77">
        <v>0</v>
      </c>
      <c r="D18" s="77">
        <v>12</v>
      </c>
      <c r="E18" s="77">
        <v>168</v>
      </c>
      <c r="F18" s="77">
        <v>0</v>
      </c>
      <c r="G18" s="77">
        <v>0</v>
      </c>
      <c r="H18" s="77">
        <v>159</v>
      </c>
      <c r="I18" s="77"/>
      <c r="J18" s="76"/>
      <c r="K18" s="91"/>
    </row>
    <row r="19" spans="1:11" x14ac:dyDescent="0.25">
      <c r="A19" s="18">
        <f t="shared" si="0"/>
        <v>45947</v>
      </c>
      <c r="B19" s="77">
        <v>0</v>
      </c>
      <c r="C19" s="77">
        <v>0</v>
      </c>
      <c r="D19" s="77">
        <v>0</v>
      </c>
      <c r="E19" s="77">
        <v>138</v>
      </c>
      <c r="F19" s="77">
        <v>0</v>
      </c>
      <c r="G19" s="77">
        <v>0</v>
      </c>
      <c r="H19" s="77">
        <v>159</v>
      </c>
      <c r="I19" s="77"/>
      <c r="J19" s="76"/>
      <c r="K19" s="91"/>
    </row>
    <row r="20" spans="1:11" x14ac:dyDescent="0.25">
      <c r="A20" s="18">
        <f t="shared" si="0"/>
        <v>45948</v>
      </c>
      <c r="B20" s="77">
        <v>0</v>
      </c>
      <c r="C20" s="77">
        <v>0</v>
      </c>
      <c r="D20" s="77">
        <v>0</v>
      </c>
      <c r="E20" s="77">
        <v>109</v>
      </c>
      <c r="F20" s="77">
        <v>0</v>
      </c>
      <c r="G20" s="77">
        <v>0</v>
      </c>
      <c r="H20" s="77">
        <v>159</v>
      </c>
      <c r="I20" s="77"/>
      <c r="J20" s="76"/>
      <c r="K20" s="91"/>
    </row>
    <row r="21" spans="1:11" x14ac:dyDescent="0.25">
      <c r="A21" s="18">
        <f t="shared" si="0"/>
        <v>45949</v>
      </c>
      <c r="B21" s="77">
        <v>0</v>
      </c>
      <c r="C21" s="77">
        <v>0</v>
      </c>
      <c r="D21" s="77">
        <v>0</v>
      </c>
      <c r="E21" s="77">
        <v>110</v>
      </c>
      <c r="F21" s="77">
        <v>0.04</v>
      </c>
      <c r="G21" s="77">
        <v>0</v>
      </c>
      <c r="H21" s="77">
        <v>159</v>
      </c>
      <c r="I21" s="77"/>
      <c r="J21" s="76"/>
      <c r="K21" s="91"/>
    </row>
    <row r="22" spans="1:11" x14ac:dyDescent="0.25">
      <c r="A22" s="18">
        <f t="shared" si="0"/>
        <v>45950</v>
      </c>
      <c r="B22" s="77">
        <v>0</v>
      </c>
      <c r="C22" s="77">
        <v>0</v>
      </c>
      <c r="D22" s="77">
        <v>0</v>
      </c>
      <c r="E22" s="77">
        <v>117</v>
      </c>
      <c r="F22" s="77">
        <v>0</v>
      </c>
      <c r="G22" s="77">
        <v>0</v>
      </c>
      <c r="H22" s="77">
        <v>160</v>
      </c>
      <c r="I22" s="77"/>
      <c r="J22" s="76"/>
    </row>
    <row r="23" spans="1:11" x14ac:dyDescent="0.25">
      <c r="A23" s="18">
        <f t="shared" si="0"/>
        <v>45951</v>
      </c>
      <c r="B23" s="77">
        <v>0</v>
      </c>
      <c r="C23" s="77">
        <v>0</v>
      </c>
      <c r="D23" s="77">
        <v>0</v>
      </c>
      <c r="E23" s="77">
        <v>115</v>
      </c>
      <c r="F23" s="77">
        <v>0</v>
      </c>
      <c r="G23" s="77">
        <v>0</v>
      </c>
      <c r="H23" s="77">
        <v>160</v>
      </c>
      <c r="I23" s="77"/>
      <c r="J23" s="76"/>
    </row>
    <row r="24" spans="1:11" x14ac:dyDescent="0.25">
      <c r="A24" s="18">
        <f t="shared" si="0"/>
        <v>45952</v>
      </c>
      <c r="B24" s="77">
        <v>0</v>
      </c>
      <c r="C24" s="77">
        <v>29</v>
      </c>
      <c r="D24" s="77">
        <v>0</v>
      </c>
      <c r="E24" s="77">
        <v>120</v>
      </c>
      <c r="F24" s="77">
        <v>0</v>
      </c>
      <c r="G24" s="77">
        <v>0</v>
      </c>
      <c r="H24" s="77">
        <v>160</v>
      </c>
      <c r="I24" s="77"/>
      <c r="J24" s="76" t="s">
        <v>33</v>
      </c>
    </row>
    <row r="25" spans="1:11" x14ac:dyDescent="0.25">
      <c r="A25" s="18">
        <f t="shared" si="0"/>
        <v>45953</v>
      </c>
      <c r="B25" s="77">
        <v>0</v>
      </c>
      <c r="C25" s="77">
        <v>50</v>
      </c>
      <c r="D25" s="77">
        <v>0</v>
      </c>
      <c r="E25" s="77">
        <v>137</v>
      </c>
      <c r="F25" s="77">
        <v>0</v>
      </c>
      <c r="G25" s="77">
        <v>0</v>
      </c>
      <c r="H25" s="77">
        <v>160</v>
      </c>
      <c r="I25" s="77"/>
      <c r="J25" s="76"/>
    </row>
    <row r="26" spans="1:11" x14ac:dyDescent="0.25">
      <c r="A26" s="18">
        <f t="shared" si="0"/>
        <v>45954</v>
      </c>
      <c r="B26" s="77">
        <v>0</v>
      </c>
      <c r="C26" s="77">
        <v>50</v>
      </c>
      <c r="D26" s="77">
        <v>0</v>
      </c>
      <c r="E26" s="77">
        <v>150</v>
      </c>
      <c r="F26" s="77">
        <v>0</v>
      </c>
      <c r="G26" s="77">
        <v>0</v>
      </c>
      <c r="H26" s="77">
        <v>160</v>
      </c>
      <c r="I26" s="77"/>
      <c r="J26" s="76" t="s">
        <v>34</v>
      </c>
    </row>
    <row r="27" spans="1:11" x14ac:dyDescent="0.25">
      <c r="A27" s="18">
        <f t="shared" si="0"/>
        <v>45955</v>
      </c>
      <c r="B27" s="77">
        <v>0</v>
      </c>
      <c r="C27" s="77">
        <v>23</v>
      </c>
      <c r="D27" s="77">
        <v>0</v>
      </c>
      <c r="E27" s="77">
        <v>143</v>
      </c>
      <c r="F27" s="77">
        <v>0.3</v>
      </c>
      <c r="G27" s="77">
        <v>0</v>
      </c>
      <c r="H27" s="77">
        <v>160</v>
      </c>
      <c r="I27" s="77"/>
      <c r="J27" s="76"/>
    </row>
    <row r="28" spans="1:11" x14ac:dyDescent="0.25">
      <c r="A28" s="18">
        <f t="shared" si="0"/>
        <v>45956</v>
      </c>
      <c r="B28" s="77">
        <v>0</v>
      </c>
      <c r="C28" s="77">
        <v>0</v>
      </c>
      <c r="D28" s="77">
        <v>0</v>
      </c>
      <c r="E28" s="77">
        <v>137</v>
      </c>
      <c r="F28" s="77">
        <v>0.19</v>
      </c>
      <c r="G28" s="77">
        <v>0</v>
      </c>
      <c r="H28" s="77">
        <v>160</v>
      </c>
      <c r="I28" s="77"/>
      <c r="J28" s="76"/>
    </row>
    <row r="29" spans="1:11" x14ac:dyDescent="0.25">
      <c r="A29" s="18">
        <f t="shared" si="0"/>
        <v>45957</v>
      </c>
      <c r="B29" s="77">
        <v>0</v>
      </c>
      <c r="C29" s="77">
        <v>0</v>
      </c>
      <c r="D29" s="77">
        <v>0</v>
      </c>
      <c r="E29" s="77">
        <v>133</v>
      </c>
      <c r="F29" s="77">
        <v>0.05</v>
      </c>
      <c r="G29" s="77">
        <v>0</v>
      </c>
      <c r="H29" s="77">
        <v>159</v>
      </c>
      <c r="I29" s="77"/>
      <c r="J29" s="76"/>
    </row>
    <row r="30" spans="1:11" x14ac:dyDescent="0.25">
      <c r="A30" s="18">
        <f t="shared" si="0"/>
        <v>45958</v>
      </c>
      <c r="B30" s="77">
        <v>0</v>
      </c>
      <c r="C30" s="77">
        <v>0</v>
      </c>
      <c r="D30" s="77">
        <v>0</v>
      </c>
      <c r="E30" s="77">
        <v>127</v>
      </c>
      <c r="F30" s="77">
        <v>0.01</v>
      </c>
      <c r="G30" s="77">
        <v>0</v>
      </c>
      <c r="H30" s="77">
        <v>159</v>
      </c>
      <c r="I30" s="77"/>
      <c r="J30" s="76"/>
    </row>
    <row r="31" spans="1:11" x14ac:dyDescent="0.25">
      <c r="A31" s="18">
        <f t="shared" si="0"/>
        <v>45959</v>
      </c>
      <c r="B31" s="77">
        <v>0</v>
      </c>
      <c r="C31" s="77">
        <v>0</v>
      </c>
      <c r="D31" s="77">
        <v>0</v>
      </c>
      <c r="E31" s="77">
        <v>117</v>
      </c>
      <c r="F31" s="77">
        <v>0</v>
      </c>
      <c r="G31" s="77">
        <v>0</v>
      </c>
      <c r="H31" s="77">
        <v>159</v>
      </c>
      <c r="I31" s="77"/>
      <c r="J31" s="76"/>
    </row>
    <row r="32" spans="1:11" x14ac:dyDescent="0.25">
      <c r="A32" s="18">
        <f t="shared" si="0"/>
        <v>45960</v>
      </c>
      <c r="B32" s="77">
        <v>0</v>
      </c>
      <c r="C32" s="77">
        <v>0</v>
      </c>
      <c r="D32" s="77">
        <v>0</v>
      </c>
      <c r="E32" s="77">
        <v>149</v>
      </c>
      <c r="F32" s="77">
        <v>0</v>
      </c>
      <c r="G32" s="77">
        <v>0</v>
      </c>
      <c r="H32" s="77">
        <v>159</v>
      </c>
      <c r="I32" s="77"/>
      <c r="J32" s="76"/>
    </row>
    <row r="33" spans="1:15" ht="15.75" thickBot="1" x14ac:dyDescent="0.3">
      <c r="A33" s="18">
        <f t="shared" si="0"/>
        <v>45961</v>
      </c>
      <c r="B33" s="77">
        <v>0</v>
      </c>
      <c r="C33" s="77">
        <v>7</v>
      </c>
      <c r="D33" s="77">
        <v>0</v>
      </c>
      <c r="E33" s="77">
        <v>159</v>
      </c>
      <c r="F33" s="77">
        <v>0.01</v>
      </c>
      <c r="G33" s="77">
        <v>0</v>
      </c>
      <c r="H33" s="77">
        <v>159</v>
      </c>
      <c r="I33" s="77"/>
      <c r="J33" s="76" t="s">
        <v>35</v>
      </c>
    </row>
    <row r="34" spans="1:15" ht="15.75" thickTop="1" x14ac:dyDescent="0.25">
      <c r="A34" s="103" t="s">
        <v>8</v>
      </c>
      <c r="B34" s="104">
        <f t="shared" ref="B34:H34" si="1">SUM(B3:B33)</f>
        <v>71</v>
      </c>
      <c r="C34" s="104">
        <f t="shared" si="1"/>
        <v>174</v>
      </c>
      <c r="D34" s="104">
        <f t="shared" si="1"/>
        <v>1328</v>
      </c>
      <c r="E34" s="104">
        <f t="shared" si="1"/>
        <v>4290</v>
      </c>
      <c r="F34" s="104">
        <f t="shared" si="1"/>
        <v>0.88000000000000012</v>
      </c>
      <c r="G34" s="104">
        <f t="shared" si="1"/>
        <v>0</v>
      </c>
      <c r="H34" s="104">
        <f t="shared" si="1"/>
        <v>5921</v>
      </c>
      <c r="I34" s="104" t="s">
        <v>29</v>
      </c>
      <c r="K34" s="93"/>
    </row>
    <row r="35" spans="1:15" s="93" customFormat="1" x14ac:dyDescent="0.25">
      <c r="A35" s="105" t="s">
        <v>9</v>
      </c>
      <c r="B35" s="106">
        <f>SUM(B34+'Oct 2025'!B36)</f>
        <v>71</v>
      </c>
      <c r="C35" s="106">
        <f>SUM(C34+'Oct 2025'!C36)</f>
        <v>174</v>
      </c>
      <c r="D35" s="106">
        <f>SUM(D34+'Oct 2025'!D36)</f>
        <v>1328</v>
      </c>
      <c r="E35" s="106">
        <f>SUM(E34+'Oct 2025'!E36)</f>
        <v>4290</v>
      </c>
      <c r="F35" s="107">
        <f>SUM(F34+'Oct 2025'!F36)</f>
        <v>0.88000000000000012</v>
      </c>
      <c r="G35" s="107">
        <f>SUM(G34+'Oct 2025'!G36)</f>
        <v>0</v>
      </c>
      <c r="H35" s="106">
        <f>SUM(H34+'Oct 2025'!H36)</f>
        <v>5921</v>
      </c>
      <c r="I35" s="107"/>
    </row>
    <row r="36" spans="1:15" s="93" customFormat="1" x14ac:dyDescent="0.25">
      <c r="A36" s="94"/>
      <c r="B36" s="95"/>
      <c r="C36" s="95"/>
      <c r="D36" s="95"/>
      <c r="E36" s="95"/>
      <c r="F36" s="92"/>
      <c r="G36" s="92"/>
      <c r="H36" s="95"/>
      <c r="I36" s="92"/>
      <c r="K36" s="92"/>
    </row>
    <row r="37" spans="1:15" x14ac:dyDescent="0.25">
      <c r="A37" s="92" t="s">
        <v>10</v>
      </c>
      <c r="B37" s="96">
        <f>SUM(B3:B33)*1.9835</f>
        <v>140.82849999999999</v>
      </c>
      <c r="C37" s="96">
        <f>SUM(C3:C33)*1.9835</f>
        <v>345.12900000000002</v>
      </c>
      <c r="D37" s="96">
        <f>SUM(D3:D33)*1.9835</f>
        <v>2634.0880000000002</v>
      </c>
      <c r="E37" s="96">
        <f>SUM(E3:E33)*1.9835</f>
        <v>8509.2150000000001</v>
      </c>
      <c r="F37" s="96"/>
      <c r="G37" s="96"/>
      <c r="H37" s="96"/>
      <c r="I37" s="92"/>
      <c r="J37" s="97"/>
    </row>
    <row r="38" spans="1:15" x14ac:dyDescent="0.25">
      <c r="A38" s="92"/>
      <c r="B38" s="92"/>
      <c r="C38" s="92"/>
      <c r="D38" s="92"/>
      <c r="E38" s="92"/>
      <c r="F38" s="92"/>
      <c r="G38" s="92"/>
      <c r="H38" s="92"/>
      <c r="I38" s="92"/>
    </row>
    <row r="39" spans="1:15" x14ac:dyDescent="0.25">
      <c r="A39" s="92" t="s">
        <v>24</v>
      </c>
      <c r="B39" s="96">
        <f>SUM('Oct 2025'!B40+B37)</f>
        <v>140.82849999999999</v>
      </c>
      <c r="C39" s="96">
        <f>SUM('Oct 2025'!C40+C37)</f>
        <v>345.12900000000002</v>
      </c>
      <c r="D39" s="96">
        <f>SUM('Oct 2025'!D40+D37)</f>
        <v>2634.0880000000002</v>
      </c>
      <c r="E39" s="96">
        <f>SUM('Oct 2025'!E40+E37)</f>
        <v>8509.2150000000001</v>
      </c>
      <c r="F39" s="96"/>
      <c r="G39" s="96"/>
      <c r="H39" s="96"/>
      <c r="I39" s="92"/>
      <c r="J39" s="97"/>
    </row>
    <row r="40" spans="1:15" x14ac:dyDescent="0.25">
      <c r="A40" s="92"/>
      <c r="B40" s="92"/>
      <c r="C40" s="96"/>
      <c r="D40" s="96"/>
      <c r="E40" s="96"/>
      <c r="F40" s="96"/>
      <c r="G40" s="96"/>
      <c r="H40" s="96"/>
      <c r="I40" s="92"/>
      <c r="J40" s="97"/>
    </row>
    <row r="41" spans="1:15" ht="15" customHeight="1" x14ac:dyDescent="0.25">
      <c r="A41" s="259"/>
      <c r="B41" s="259"/>
      <c r="C41" s="259"/>
      <c r="D41" s="259"/>
      <c r="E41" s="259"/>
      <c r="F41" s="259"/>
      <c r="G41" s="260"/>
      <c r="H41" s="261" t="s">
        <v>12</v>
      </c>
      <c r="I41" s="262"/>
      <c r="J41" s="109"/>
      <c r="K41" s="109"/>
    </row>
    <row r="42" spans="1:15" ht="17.45" customHeight="1" x14ac:dyDescent="0.25">
      <c r="A42" s="108"/>
      <c r="B42" s="108"/>
      <c r="C42" s="108"/>
      <c r="D42" s="108"/>
      <c r="E42" s="108"/>
      <c r="F42" s="108"/>
      <c r="G42" s="108"/>
      <c r="H42" s="261"/>
      <c r="I42" s="262"/>
      <c r="J42" s="109"/>
      <c r="K42" s="109"/>
      <c r="L42" s="109"/>
      <c r="M42" s="109"/>
      <c r="N42" s="110"/>
      <c r="O42" s="109"/>
    </row>
    <row r="43" spans="1:15" ht="16.899999999999999" customHeight="1" x14ac:dyDescent="0.25">
      <c r="A43" s="263" t="s">
        <v>23</v>
      </c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109"/>
      <c r="M43" s="109"/>
      <c r="N43" s="110"/>
      <c r="O43" s="109"/>
    </row>
    <row r="44" spans="1:15" ht="13.9" customHeight="1" x14ac:dyDescent="0.25">
      <c r="A44" s="111" t="s">
        <v>17</v>
      </c>
      <c r="B44" s="112"/>
      <c r="C44" s="113"/>
      <c r="D44" s="114"/>
      <c r="E44" s="114"/>
      <c r="F44" s="115"/>
      <c r="G44" s="116"/>
      <c r="H44" s="117"/>
      <c r="I44" s="118"/>
      <c r="J44" s="119"/>
      <c r="K44" s="119"/>
      <c r="L44" s="119"/>
      <c r="M44" s="119"/>
      <c r="N44" s="120"/>
      <c r="O44" s="119"/>
    </row>
    <row r="45" spans="1:15" ht="15.6" customHeight="1" x14ac:dyDescent="0.25">
      <c r="A45" s="121"/>
      <c r="B45" s="122"/>
      <c r="C45" s="113"/>
      <c r="D45" s="114"/>
      <c r="E45" s="114"/>
      <c r="F45" s="123"/>
      <c r="G45" s="116">
        <f>SUM(24-E45)</f>
        <v>24</v>
      </c>
      <c r="H45" s="117">
        <f>SUM(D45+F45)</f>
        <v>0</v>
      </c>
      <c r="I45" s="118">
        <f>SUM(D45/24*E45+H45/24*G45)</f>
        <v>0</v>
      </c>
      <c r="J45" s="119"/>
      <c r="K45" s="119"/>
      <c r="L45" s="119"/>
      <c r="M45" s="119"/>
      <c r="N45" s="120"/>
    </row>
    <row r="46" spans="1:15" x14ac:dyDescent="0.25">
      <c r="A46" s="121"/>
      <c r="B46" s="122"/>
      <c r="C46" s="113"/>
      <c r="D46" s="114"/>
      <c r="E46" s="114"/>
      <c r="F46" s="123"/>
      <c r="G46" s="116">
        <f>SUM(24-E46)</f>
        <v>24</v>
      </c>
      <c r="H46" s="117">
        <f>SUM(D46+F46)</f>
        <v>0</v>
      </c>
      <c r="I46" s="118">
        <f>SUM(D46/24*E46+H46/24*G46)</f>
        <v>0</v>
      </c>
      <c r="J46" s="119"/>
      <c r="K46" s="119"/>
      <c r="L46" s="119"/>
      <c r="M46" s="119"/>
      <c r="N46" s="120"/>
    </row>
    <row r="47" spans="1:15" x14ac:dyDescent="0.25">
      <c r="A47" s="121"/>
      <c r="B47" s="122"/>
      <c r="C47" s="113"/>
      <c r="D47" s="114"/>
      <c r="E47" s="114"/>
      <c r="F47" s="123"/>
      <c r="G47" s="116">
        <f>SUM(24-E47)</f>
        <v>24</v>
      </c>
      <c r="H47" s="117">
        <f>SUM(D47+F47)</f>
        <v>0</v>
      </c>
      <c r="I47" s="118">
        <f>SUM(D47/24*E47+H47/24*G47)</f>
        <v>0</v>
      </c>
      <c r="J47" s="119"/>
      <c r="K47" s="119"/>
      <c r="L47" s="119"/>
      <c r="M47" s="119"/>
      <c r="N47" s="120"/>
    </row>
    <row r="48" spans="1:15" x14ac:dyDescent="0.25">
      <c r="A48" s="121"/>
      <c r="B48" s="122"/>
      <c r="C48" s="113"/>
      <c r="D48" s="114"/>
      <c r="E48" s="114"/>
      <c r="F48" s="123"/>
      <c r="G48" s="116">
        <f>SUM(24-E48)</f>
        <v>24</v>
      </c>
      <c r="H48" s="117">
        <f>SUM(D48+F48)</f>
        <v>0</v>
      </c>
      <c r="I48" s="118">
        <f>SUM(D48/24*E48+H48/24*G48)</f>
        <v>0</v>
      </c>
      <c r="J48" s="119"/>
      <c r="K48" s="119"/>
      <c r="L48" s="119"/>
      <c r="M48" s="119"/>
      <c r="N48" s="120"/>
    </row>
    <row r="49" spans="1:15" x14ac:dyDescent="0.25">
      <c r="A49" s="121"/>
      <c r="B49" s="122"/>
      <c r="C49" s="113"/>
      <c r="D49" s="114"/>
      <c r="E49" s="114"/>
      <c r="F49" s="123"/>
      <c r="G49" s="116">
        <f>SUM(24-E49)</f>
        <v>24</v>
      </c>
      <c r="H49" s="117">
        <f>SUM(D49+F49)</f>
        <v>0</v>
      </c>
      <c r="I49" s="118">
        <f>SUM(D49/24*E49+H49/24*G49)</f>
        <v>0</v>
      </c>
      <c r="J49" s="119"/>
      <c r="K49" s="119"/>
      <c r="L49" s="119"/>
      <c r="M49" s="119"/>
      <c r="N49" s="120"/>
    </row>
    <row r="50" spans="1:15" x14ac:dyDescent="0.25">
      <c r="A50" s="124"/>
      <c r="B50" s="124"/>
      <c r="C50" s="125"/>
      <c r="D50" s="125"/>
      <c r="E50" s="125"/>
      <c r="F50" s="125"/>
      <c r="G50" s="125"/>
      <c r="H50" s="126"/>
      <c r="I50" s="119"/>
      <c r="J50" s="119"/>
      <c r="K50" s="119"/>
      <c r="L50" s="119"/>
      <c r="M50" s="119"/>
      <c r="N50" s="120"/>
    </row>
    <row r="51" spans="1:15" ht="13.15" customHeight="1" thickBot="1" x14ac:dyDescent="0.3">
      <c r="A51" s="127" t="s">
        <v>18</v>
      </c>
      <c r="B51" s="127"/>
      <c r="C51" s="127"/>
      <c r="D51" s="127"/>
      <c r="E51" s="127"/>
      <c r="F51" s="128"/>
      <c r="G51" s="129"/>
      <c r="H51" s="126"/>
      <c r="I51" s="119"/>
      <c r="J51" s="119"/>
      <c r="K51" s="119"/>
      <c r="L51" s="119"/>
      <c r="M51" s="119"/>
      <c r="N51" s="120"/>
      <c r="O51" s="119"/>
    </row>
    <row r="52" spans="1:15" x14ac:dyDescent="0.25">
      <c r="A52" s="130" t="s">
        <v>19</v>
      </c>
      <c r="B52" s="131"/>
      <c r="C52" s="132" t="s">
        <v>13</v>
      </c>
      <c r="D52" s="133" t="s">
        <v>14</v>
      </c>
      <c r="E52" s="133" t="s">
        <v>15</v>
      </c>
      <c r="F52" s="134" t="s">
        <v>16</v>
      </c>
      <c r="G52" s="135" t="s">
        <v>20</v>
      </c>
      <c r="H52" s="136"/>
      <c r="I52" s="137"/>
      <c r="J52" s="138"/>
      <c r="K52" s="138"/>
      <c r="L52" s="119"/>
      <c r="M52" s="119"/>
      <c r="N52" s="120"/>
      <c r="O52" s="119"/>
    </row>
    <row r="53" spans="1:15" x14ac:dyDescent="0.25">
      <c r="A53" s="139"/>
      <c r="B53" s="140"/>
      <c r="C53" s="141"/>
      <c r="D53" s="142"/>
      <c r="E53" s="143"/>
      <c r="F53" s="144"/>
      <c r="G53" s="145"/>
      <c r="H53" s="146"/>
      <c r="I53" s="147"/>
      <c r="J53" s="148"/>
      <c r="K53" s="148"/>
    </row>
    <row r="54" spans="1:15" x14ac:dyDescent="0.25">
      <c r="A54" s="149"/>
      <c r="B54" s="150"/>
      <c r="C54" s="151"/>
      <c r="D54" s="152"/>
      <c r="E54" s="143"/>
      <c r="F54" s="153"/>
      <c r="G54" s="154"/>
      <c r="H54" s="146"/>
      <c r="I54" s="147"/>
    </row>
    <row r="55" spans="1:15" x14ac:dyDescent="0.25">
      <c r="A55" s="149"/>
      <c r="B55" s="150"/>
      <c r="C55" s="151"/>
      <c r="D55" s="152"/>
      <c r="E55" s="143"/>
      <c r="F55" s="155"/>
      <c r="G55" s="154"/>
      <c r="H55" s="146"/>
      <c r="I55" s="147"/>
    </row>
    <row r="56" spans="1:15" x14ac:dyDescent="0.25">
      <c r="A56" s="149"/>
      <c r="B56" s="150"/>
      <c r="C56" s="151"/>
      <c r="D56" s="152"/>
      <c r="E56" s="143"/>
      <c r="F56" s="155"/>
      <c r="G56" s="154"/>
      <c r="H56" s="146"/>
      <c r="I56" s="147"/>
    </row>
    <row r="57" spans="1:15" ht="15.75" thickBot="1" x14ac:dyDescent="0.3">
      <c r="A57" s="156"/>
      <c r="B57" s="157"/>
      <c r="C57" s="158"/>
      <c r="D57" s="159"/>
      <c r="E57" s="160"/>
      <c r="F57" s="159"/>
      <c r="G57" s="161"/>
      <c r="H57" s="146"/>
      <c r="I57" s="147"/>
    </row>
    <row r="58" spans="1:15" ht="15.75" thickBot="1" x14ac:dyDescent="0.3">
      <c r="A58" s="256" t="s">
        <v>21</v>
      </c>
      <c r="B58" s="257"/>
      <c r="C58" s="257"/>
      <c r="D58" s="258"/>
      <c r="E58" s="162">
        <f>SUM(E53:E57)</f>
        <v>0</v>
      </c>
      <c r="F58" s="163" t="s">
        <v>22</v>
      </c>
      <c r="G58" s="164">
        <f>SUM(G53:G57)</f>
        <v>0</v>
      </c>
      <c r="H58" s="165"/>
      <c r="I58" s="98"/>
      <c r="J58" s="99"/>
      <c r="K58" s="99"/>
    </row>
    <row r="59" spans="1:15" s="99" customFormat="1" ht="30" customHeight="1" x14ac:dyDescent="0.25">
      <c r="A59" s="256" t="s">
        <v>21</v>
      </c>
      <c r="B59" s="257"/>
      <c r="C59" s="257"/>
      <c r="D59" s="258"/>
      <c r="E59" s="162">
        <f>SUM(E54:E58)</f>
        <v>0</v>
      </c>
      <c r="F59" s="163" t="s">
        <v>22</v>
      </c>
      <c r="G59" s="164">
        <f>SUM(G54:G58)</f>
        <v>0</v>
      </c>
      <c r="H59" s="165"/>
      <c r="I59" s="98"/>
    </row>
  </sheetData>
  <mergeCells count="5">
    <mergeCell ref="A59:D59"/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8" orientation="portrait" r:id="rId1"/>
  <headerFooter>
    <oddHeader>&amp;C&amp;"-,Bold"&amp;12TULELAKE IRRIGATION DISTRICT &amp;"-,Regular"&amp;11
OPERATING DATA</oddHeader>
    <oddFooter>&amp;L&amp;Z&amp;F</oddFooter>
  </headerFooter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Oct 2026</vt:lpstr>
      <vt:lpstr>Sep 2026</vt:lpstr>
      <vt:lpstr>Aug 2026</vt:lpstr>
      <vt:lpstr>Jul 2026</vt:lpstr>
      <vt:lpstr>Jun 2026</vt:lpstr>
      <vt:lpstr>May 2026</vt:lpstr>
      <vt:lpstr>Apr 2026</vt:lpstr>
      <vt:lpstr>Mar 2026</vt:lpstr>
      <vt:lpstr>Feb 2026</vt:lpstr>
      <vt:lpstr>Jan 2026</vt:lpstr>
      <vt:lpstr>Dec 2025</vt:lpstr>
      <vt:lpstr>Nov 2025</vt:lpstr>
      <vt:lpstr>Oct 2025</vt:lpstr>
      <vt:lpstr>'Apr 2026'!Print_Area</vt:lpstr>
      <vt:lpstr>'Aug 2026'!Print_Area</vt:lpstr>
      <vt:lpstr>'Dec 2025'!Print_Area</vt:lpstr>
      <vt:lpstr>'Feb 2026'!Print_Area</vt:lpstr>
      <vt:lpstr>'Jan 2026'!Print_Area</vt:lpstr>
      <vt:lpstr>'Jul 2026'!Print_Area</vt:lpstr>
      <vt:lpstr>'Jun 2026'!Print_Area</vt:lpstr>
      <vt:lpstr>'Mar 2026'!Print_Area</vt:lpstr>
      <vt:lpstr>'Nov 2025'!Print_Area</vt:lpstr>
      <vt:lpstr>'Oct 2025'!Print_Area</vt:lpstr>
      <vt:lpstr>'Oct 2026'!Print_Area</vt:lpstr>
      <vt:lpstr>'Sep 2026'!Print_Area</vt:lpstr>
    </vt:vector>
  </TitlesOfParts>
  <Company>Bureau of Reclamation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Stromberg, Viktor E</cp:lastModifiedBy>
  <cp:lastPrinted>2023-01-05T19:43:32Z</cp:lastPrinted>
  <dcterms:created xsi:type="dcterms:W3CDTF">2010-05-21T17:05:57Z</dcterms:created>
  <dcterms:modified xsi:type="dcterms:W3CDTF">2026-08-06T20:26:51Z</dcterms:modified>
</cp:coreProperties>
</file>