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2" windowWidth="23052" windowHeight="9708" tabRatio="868"/>
  </bookViews>
  <sheets>
    <sheet name="Sep 2016" sheetId="12" r:id="rId1"/>
    <sheet name="Aug 2016" sheetId="11" r:id="rId2"/>
    <sheet name="Jul 2016" sheetId="10" r:id="rId3"/>
    <sheet name="Jun 2016" sheetId="9" r:id="rId4"/>
    <sheet name="May 2016" sheetId="8" r:id="rId5"/>
    <sheet name="Apr 2016" sheetId="7" r:id="rId6"/>
    <sheet name="Mar 2016" sheetId="6" r:id="rId7"/>
    <sheet name="Feb 2016" sheetId="5" r:id="rId8"/>
    <sheet name="Jan 2016" sheetId="4" r:id="rId9"/>
    <sheet name="Dec 2015" sheetId="3" r:id="rId10"/>
    <sheet name="Nov 2015" sheetId="2" r:id="rId11"/>
    <sheet name="Oct 2015" sheetId="1" r:id="rId12"/>
  </sheets>
  <definedNames>
    <definedName name="_xlnm.Print_Area" localSheetId="5">'Apr 2016'!$A$1:$H$34</definedName>
    <definedName name="_xlnm.Print_Area" localSheetId="1">'Aug 2016'!$A$1:$H$39</definedName>
    <definedName name="_xlnm.Print_Area" localSheetId="7">'Feb 2016'!$A$1:$H$33</definedName>
    <definedName name="_xlnm.Print_Area" localSheetId="8">'Jan 2016'!$A$1:$H$35</definedName>
    <definedName name="_xlnm.Print_Area" localSheetId="2">'Jul 2016'!$A$1:$H$39</definedName>
    <definedName name="_xlnm.Print_Area" localSheetId="3">'Jun 2016'!$A$1:$H$38</definedName>
    <definedName name="_xlnm.Print_Area" localSheetId="6">'Mar 2016'!$A$1:$H$35</definedName>
    <definedName name="_xlnm.Print_Area" localSheetId="10">'Nov 2015'!$A$1:$H$38</definedName>
    <definedName name="_xlnm.Print_Area" localSheetId="11">'Oct 2015'!$A$1:$H$40</definedName>
    <definedName name="_xlnm.Print_Area" localSheetId="0">'Sep 2016'!$A$1:$H$38</definedName>
  </definedNames>
  <calcPr calcId="145621"/>
</workbook>
</file>

<file path=xl/calcChain.xml><?xml version="1.0" encoding="utf-8"?>
<calcChain xmlns="http://schemas.openxmlformats.org/spreadsheetml/2006/main"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G33" i="2"/>
  <c r="G34" i="1"/>
  <c r="G35" i="1" s="1"/>
  <c r="C37" i="1" l="1"/>
  <c r="D37" i="1"/>
  <c r="D39" i="1" s="1"/>
  <c r="B37" i="1"/>
  <c r="B39" i="1" s="1"/>
  <c r="G32" i="5" l="1"/>
  <c r="B33" i="7"/>
  <c r="B36" i="7" s="1"/>
  <c r="C33" i="7"/>
  <c r="C36" i="7" s="1"/>
  <c r="D33" i="7"/>
  <c r="D36" i="7" s="1"/>
  <c r="E33" i="7"/>
  <c r="F33" i="7"/>
  <c r="G33" i="7"/>
  <c r="F44" i="7"/>
  <c r="G44" i="7"/>
  <c r="H44" i="7"/>
  <c r="F45" i="7"/>
  <c r="G45" i="7"/>
  <c r="H45" i="7" s="1"/>
  <c r="F46" i="7"/>
  <c r="H46" i="7" s="1"/>
  <c r="G46" i="7"/>
  <c r="F47" i="7"/>
  <c r="G47" i="7"/>
  <c r="H47" i="7" s="1"/>
  <c r="F48" i="7"/>
  <c r="G48" i="7"/>
  <c r="H48" i="7"/>
  <c r="F52" i="7"/>
  <c r="F53" i="7"/>
  <c r="F57" i="7" s="1"/>
  <c r="F54" i="7"/>
  <c r="F55" i="7"/>
  <c r="F56" i="7"/>
  <c r="D57" i="7"/>
  <c r="B34" i="11"/>
  <c r="C34" i="11"/>
  <c r="D34" i="11"/>
  <c r="E34" i="11"/>
  <c r="F34" i="11"/>
  <c r="G34" i="11"/>
  <c r="F45" i="11"/>
  <c r="G45" i="11"/>
  <c r="F46" i="11"/>
  <c r="G46" i="11"/>
  <c r="F47" i="11"/>
  <c r="G47" i="11"/>
  <c r="F48" i="11"/>
  <c r="G48" i="1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H45" i="3" s="1"/>
  <c r="G45" i="3"/>
  <c r="F46" i="3"/>
  <c r="G46" i="3"/>
  <c r="H46" i="3" s="1"/>
  <c r="F47" i="3"/>
  <c r="G47" i="3"/>
  <c r="H47" i="3"/>
  <c r="F48" i="3"/>
  <c r="G48" i="3"/>
  <c r="H48" i="3" s="1"/>
  <c r="F49" i="3"/>
  <c r="H49" i="3" s="1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H43" i="5" s="1"/>
  <c r="F44" i="5"/>
  <c r="H44" i="5" s="1"/>
  <c r="G44" i="5"/>
  <c r="F45" i="5"/>
  <c r="G45" i="5"/>
  <c r="H45" i="5" s="1"/>
  <c r="F46" i="5"/>
  <c r="G46" i="5"/>
  <c r="H46" i="5"/>
  <c r="F47" i="5"/>
  <c r="G47" i="5"/>
  <c r="H47" i="5" s="1"/>
  <c r="F51" i="5"/>
  <c r="F52" i="5"/>
  <c r="F53" i="5"/>
  <c r="F54" i="5"/>
  <c r="F56" i="5"/>
  <c r="F55" i="5"/>
  <c r="D56" i="5"/>
  <c r="B34" i="4"/>
  <c r="C34" i="4"/>
  <c r="D34" i="4"/>
  <c r="E34" i="4"/>
  <c r="F34" i="4"/>
  <c r="G34" i="4"/>
  <c r="B37" i="4"/>
  <c r="C37" i="4"/>
  <c r="D37" i="4"/>
  <c r="F45" i="4"/>
  <c r="H45" i="4" s="1"/>
  <c r="G45" i="4"/>
  <c r="F46" i="4"/>
  <c r="G46" i="4"/>
  <c r="H46" i="4" s="1"/>
  <c r="F47" i="4"/>
  <c r="G47" i="4"/>
  <c r="H47" i="4"/>
  <c r="F48" i="4"/>
  <c r="G48" i="4"/>
  <c r="H48" i="4" s="1"/>
  <c r="F49" i="4"/>
  <c r="H49" i="4" s="1"/>
  <c r="G49" i="4"/>
  <c r="F53" i="4"/>
  <c r="F58" i="4" s="1"/>
  <c r="F54" i="4"/>
  <c r="F55" i="4"/>
  <c r="F56" i="4"/>
  <c r="F57" i="4"/>
  <c r="D58" i="4"/>
  <c r="B34" i="10"/>
  <c r="C34" i="10"/>
  <c r="D34" i="10"/>
  <c r="E34" i="10"/>
  <c r="F34" i="10"/>
  <c r="G34" i="10"/>
  <c r="B37" i="10"/>
  <c r="C37" i="10"/>
  <c r="D37" i="10"/>
  <c r="F45" i="10"/>
  <c r="G45" i="10"/>
  <c r="H45" i="10" s="1"/>
  <c r="F46" i="10"/>
  <c r="G46" i="10"/>
  <c r="H46" i="10"/>
  <c r="F47" i="10"/>
  <c r="G47" i="10"/>
  <c r="H47" i="10" s="1"/>
  <c r="F48" i="10"/>
  <c r="H48" i="10" s="1"/>
  <c r="G48" i="10"/>
  <c r="F49" i="10"/>
  <c r="G49" i="10"/>
  <c r="H49" i="10" s="1"/>
  <c r="F53" i="10"/>
  <c r="F54" i="10"/>
  <c r="F58" i="10"/>
  <c r="F55" i="10"/>
  <c r="F56" i="10"/>
  <c r="F57" i="10"/>
  <c r="D58" i="10"/>
  <c r="B33" i="9"/>
  <c r="B36" i="9"/>
  <c r="C36" i="9"/>
  <c r="D36" i="9"/>
  <c r="F44" i="9"/>
  <c r="G44" i="9"/>
  <c r="H44" i="9"/>
  <c r="F45" i="9"/>
  <c r="G45" i="9"/>
  <c r="H45" i="9" s="1"/>
  <c r="F46" i="9"/>
  <c r="H46" i="9" s="1"/>
  <c r="G46" i="9"/>
  <c r="F47" i="9"/>
  <c r="G47" i="9"/>
  <c r="H47" i="9" s="1"/>
  <c r="F48" i="9"/>
  <c r="G48" i="9"/>
  <c r="H48" i="9"/>
  <c r="F52" i="9"/>
  <c r="F53" i="9"/>
  <c r="F57" i="9" s="1"/>
  <c r="F54" i="9"/>
  <c r="F55" i="9"/>
  <c r="F56" i="9"/>
  <c r="D57" i="9"/>
  <c r="B34" i="6"/>
  <c r="C34" i="6"/>
  <c r="D34" i="6"/>
  <c r="E34" i="6"/>
  <c r="F34" i="6"/>
  <c r="G34" i="6"/>
  <c r="B37" i="6"/>
  <c r="C37" i="6"/>
  <c r="D37" i="6"/>
  <c r="F45" i="6"/>
  <c r="G45" i="6"/>
  <c r="H45" i="6" s="1"/>
  <c r="F46" i="6"/>
  <c r="H46" i="6" s="1"/>
  <c r="G46" i="6"/>
  <c r="F47" i="6"/>
  <c r="G47" i="6"/>
  <c r="H47" i="6" s="1"/>
  <c r="F48" i="6"/>
  <c r="G48" i="6"/>
  <c r="H48" i="6"/>
  <c r="F49" i="6"/>
  <c r="G49" i="6"/>
  <c r="H49" i="6" s="1"/>
  <c r="F53" i="6"/>
  <c r="F58" i="6" s="1"/>
  <c r="F54" i="6"/>
  <c r="F55" i="6"/>
  <c r="F56" i="6"/>
  <c r="F57" i="6"/>
  <c r="D58" i="6"/>
  <c r="B34" i="8"/>
  <c r="C34" i="8"/>
  <c r="D34" i="8"/>
  <c r="E34" i="8"/>
  <c r="F34" i="8"/>
  <c r="G34" i="8"/>
  <c r="B37" i="8"/>
  <c r="C37" i="8"/>
  <c r="D37" i="8"/>
  <c r="F45" i="8"/>
  <c r="H45" i="8" s="1"/>
  <c r="G45" i="8"/>
  <c r="F46" i="8"/>
  <c r="G46" i="8"/>
  <c r="H46" i="8" s="1"/>
  <c r="F47" i="8"/>
  <c r="G47" i="8"/>
  <c r="H47" i="8"/>
  <c r="F48" i="8"/>
  <c r="G48" i="8"/>
  <c r="H48" i="8" s="1"/>
  <c r="F49" i="8"/>
  <c r="H49" i="8" s="1"/>
  <c r="G49" i="8"/>
  <c r="F53" i="8"/>
  <c r="F58" i="8" s="1"/>
  <c r="F54" i="8"/>
  <c r="F55" i="8"/>
  <c r="F56" i="8"/>
  <c r="F57" i="8"/>
  <c r="D58" i="8"/>
  <c r="B33" i="2"/>
  <c r="C33" i="2"/>
  <c r="D33" i="2"/>
  <c r="E33" i="2"/>
  <c r="F33" i="2"/>
  <c r="G34" i="2"/>
  <c r="B36" i="2"/>
  <c r="C36" i="2"/>
  <c r="D36" i="2"/>
  <c r="D38" i="2" s="1"/>
  <c r="F44" i="2"/>
  <c r="G44" i="2"/>
  <c r="H44" i="2" s="1"/>
  <c r="F45" i="2"/>
  <c r="H45" i="2" s="1"/>
  <c r="G45" i="2"/>
  <c r="F46" i="2"/>
  <c r="G46" i="2"/>
  <c r="H46" i="2" s="1"/>
  <c r="F47" i="2"/>
  <c r="G47" i="2"/>
  <c r="H47" i="2"/>
  <c r="F48" i="2"/>
  <c r="G48" i="2"/>
  <c r="H48" i="2" s="1"/>
  <c r="D57" i="2"/>
  <c r="F57" i="2"/>
  <c r="B34" i="1"/>
  <c r="B35" i="1" s="1"/>
  <c r="C34" i="1"/>
  <c r="C35" i="1" s="1"/>
  <c r="D34" i="1"/>
  <c r="D35" i="1" s="1"/>
  <c r="E34" i="1"/>
  <c r="E35" i="1" s="1"/>
  <c r="F34" i="1"/>
  <c r="F35" i="1" s="1"/>
  <c r="C39" i="1"/>
  <c r="F45" i="1"/>
  <c r="G45" i="1"/>
  <c r="H45" i="1" s="1"/>
  <c r="F46" i="1"/>
  <c r="G46" i="1"/>
  <c r="H46" i="1"/>
  <c r="F47" i="1"/>
  <c r="G47" i="1"/>
  <c r="H47" i="1" s="1"/>
  <c r="F48" i="1"/>
  <c r="H48" i="1" s="1"/>
  <c r="G48" i="1"/>
  <c r="F49" i="1"/>
  <c r="G49" i="1"/>
  <c r="H49" i="1" s="1"/>
  <c r="D58" i="1"/>
  <c r="F58" i="1"/>
  <c r="F59" i="1" s="1"/>
  <c r="D59" i="1"/>
  <c r="B36" i="12"/>
  <c r="C36" i="12"/>
  <c r="D36" i="12"/>
  <c r="F44" i="12"/>
  <c r="G44" i="12"/>
  <c r="H44" i="12" s="1"/>
  <c r="F45" i="12"/>
  <c r="G45" i="12"/>
  <c r="H45" i="12"/>
  <c r="F46" i="12"/>
  <c r="G46" i="12"/>
  <c r="H46" i="12" s="1"/>
  <c r="F47" i="12"/>
  <c r="H47" i="12" s="1"/>
  <c r="G47" i="12"/>
  <c r="F48" i="12"/>
  <c r="G48" i="12"/>
  <c r="H48" i="12" s="1"/>
  <c r="F52" i="12"/>
  <c r="F53" i="12"/>
  <c r="F54" i="12"/>
  <c r="F57" i="12" s="1"/>
  <c r="F55" i="12"/>
  <c r="F56" i="12"/>
  <c r="D57" i="12"/>
  <c r="D39" i="3" l="1"/>
  <c r="D39" i="4" s="1"/>
  <c r="D37" i="5" s="1"/>
  <c r="D39" i="6" s="1"/>
  <c r="D38" i="7" s="1"/>
  <c r="D39" i="8" s="1"/>
  <c r="D38" i="9" s="1"/>
  <c r="D39" i="10" s="1"/>
  <c r="D39" i="11" s="1"/>
  <c r="D38" i="12" s="1"/>
  <c r="H46" i="11"/>
  <c r="H49" i="11"/>
  <c r="H47" i="11"/>
  <c r="H45" i="11"/>
  <c r="H48" i="11"/>
  <c r="F58" i="11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B38" i="2"/>
  <c r="B39" i="3" s="1"/>
  <c r="B39" i="4" s="1"/>
  <c r="B37" i="5" s="1"/>
  <c r="B39" i="6" s="1"/>
  <c r="B38" i="7" s="1"/>
  <c r="B39" i="8" s="1"/>
  <c r="B38" i="9" s="1"/>
  <c r="B39" i="10" s="1"/>
  <c r="B39" i="11" s="1"/>
  <c r="B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5" i="4" s="1"/>
  <c r="D33" i="5" s="1"/>
  <c r="D35" i="6" s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<sst xmlns="http://schemas.openxmlformats.org/spreadsheetml/2006/main" count="513" uniqueCount="169">
  <si>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</si>
  <si>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</si>
  <si>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</si>
  <si>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</si>
  <si>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</si>
  <si>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</si>
  <si>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</si>
  <si>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</si>
  <si>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</si>
  <si>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</si>
  <si>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</si>
  <si>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</si>
  <si>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</si>
  <si>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</si>
  <si>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</si>
  <si>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</si>
  <si>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</si>
  <si>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</si>
  <si>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</si>
  <si>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</si>
  <si>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</si>
  <si>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</si>
  <si>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</si>
  <si>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</si>
  <si>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</si>
  <si>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</si>
  <si>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</si>
  <si>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</si>
  <si>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 4:30 PM 0/25</t>
  </si>
  <si>
    <t>* 9 AM 25/75</t>
  </si>
  <si>
    <t>* 9 AM 75/25</t>
  </si>
  <si>
    <t>* 1 PM 25/18</t>
  </si>
  <si>
    <t>* 8 AM 18/50 * 1 PM 50/100</t>
  </si>
  <si>
    <t>* 8:30 AM 100/150 *3 PM 150/200</t>
  </si>
  <si>
    <t>* 4:30 PM 200/150</t>
  </si>
  <si>
    <t>* 8:42 AM D Plant Off</t>
  </si>
  <si>
    <t>* 3:30 PM 150/125</t>
  </si>
  <si>
    <t>* 9:30 AM 125/75</t>
  </si>
  <si>
    <t>* 10 AM 75/100 * 2PM 100/125</t>
  </si>
  <si>
    <t>T</t>
  </si>
  <si>
    <t>* 8:45 AM 1 unit at D Plant Started</t>
  </si>
  <si>
    <t>* 2:00 PM 2nd unit at D Plant Started</t>
  </si>
  <si>
    <t>* D-Plant off at approx. 9:00 AM</t>
  </si>
  <si>
    <t>* Start 1 unit at D-Plant approx 10:00 AM</t>
  </si>
  <si>
    <r>
      <t>* Shut 1 unit at D-Plant</t>
    </r>
    <r>
      <rPr>
        <b/>
        <sz val="11"/>
        <color theme="1"/>
        <rFont val="Calibri"/>
        <family val="2"/>
        <scheme val="minor"/>
      </rPr>
      <t xml:space="preserve"> OFF</t>
    </r>
    <r>
      <rPr>
        <sz val="11"/>
        <color theme="1"/>
        <rFont val="Calibri"/>
        <family val="2"/>
        <scheme val="minor"/>
      </rPr>
      <t xml:space="preserve"> apprx 10:00 AM</t>
    </r>
  </si>
  <si>
    <t>* 11:30 AM 0/25</t>
  </si>
  <si>
    <t>* 8 AM 25/50</t>
  </si>
  <si>
    <t>* 11 AM 50/25</t>
  </si>
  <si>
    <t>* 8 AM 25/0</t>
  </si>
  <si>
    <t>* 3:30 PM 0/50</t>
  </si>
  <si>
    <t>* 3.30 PM 50/100</t>
  </si>
  <si>
    <t>* 4 PM 50/25</t>
  </si>
  <si>
    <t>* 1:30 PM 100/50</t>
  </si>
  <si>
    <t>* 9AM 25/75 * 2 PM 75/100 * 4 PM 100/150</t>
  </si>
  <si>
    <t>*12pm 150/250</t>
  </si>
  <si>
    <t>* 9 AM 250/200 * 4:30 PM 200/150</t>
  </si>
  <si>
    <t>* 4:30 PM 150/100</t>
  </si>
  <si>
    <t>*20:00 25/75</t>
  </si>
  <si>
    <t>*14:30 100/25</t>
  </si>
  <si>
    <t>*09:30 250/200 *13:30 200/150</t>
  </si>
  <si>
    <t>*08:00 75/25 *23:30 25/75</t>
  </si>
  <si>
    <t>*08:00 250/300 *14:30 300/250</t>
  </si>
  <si>
    <t>*07:00 100/150 *14:00 150/250</t>
  </si>
  <si>
    <t>*07:00 250/200 *14:00 200/250</t>
  </si>
  <si>
    <t>*08:00 150/100</t>
  </si>
  <si>
    <t>*16:00 75/125</t>
  </si>
  <si>
    <t>*07:00 125/75 *16:30 75/25</t>
  </si>
  <si>
    <t>*16:30 25/50</t>
  </si>
  <si>
    <t>*07:00 50/25</t>
  </si>
  <si>
    <t>*09:00 25/0</t>
  </si>
  <si>
    <t>*07:00 0/100</t>
  </si>
  <si>
    <t>*12:30 100/150 *15:00 150/200</t>
  </si>
  <si>
    <t>*08:00 200/100 *08:30 100/25</t>
  </si>
  <si>
    <t>*14:30 25/0</t>
  </si>
  <si>
    <t>* 9 AM 2 Units ON</t>
  </si>
  <si>
    <t>*07:00* 0/0</t>
  </si>
  <si>
    <t>ANDERSON-ROSE SPILL</t>
  </si>
  <si>
    <t>*07:00 0/50 *14:00 50/100 *17:00 100/150</t>
  </si>
  <si>
    <t>*07:00 150/100</t>
  </si>
  <si>
    <t>*07:00 100/200</t>
  </si>
  <si>
    <t>*188</t>
  </si>
  <si>
    <t>* Corrected from 190</t>
  </si>
  <si>
    <t>*07:00   0/0</t>
  </si>
  <si>
    <t>*14:30 200/250</t>
  </si>
  <si>
    <t>* 16:00 250/200</t>
  </si>
  <si>
    <t>*17:30 200/150</t>
  </si>
  <si>
    <t>* 8:00 AM 2 Units Off</t>
  </si>
  <si>
    <t>*09:30 150/200  *11:30 200/300 *15:30 300/350 *20:00 350/400</t>
  </si>
  <si>
    <t>* 17:30 400/500</t>
  </si>
  <si>
    <t>* 07:00 500/400 * 17:00 400/450</t>
  </si>
  <si>
    <t>* 14:30 450/350</t>
  </si>
  <si>
    <t>* 10:00 350/450 * 17:00 450/400</t>
  </si>
  <si>
    <t>* 07:00 400/350 * 17:00 350/400</t>
  </si>
  <si>
    <t>* 13:00 400/450</t>
  </si>
  <si>
    <t>* 20:30 450/350</t>
  </si>
  <si>
    <t>* 09:00 350/250 *15:00 250/150</t>
  </si>
  <si>
    <t>* 08:30 150/100 * 14:00 100/50</t>
  </si>
  <si>
    <t>* 09:00 50/100</t>
  </si>
  <si>
    <t>* 08:00 100/150 *15:30 150/250</t>
  </si>
  <si>
    <t>* 09:00 250/150 *16:00 150/250</t>
  </si>
  <si>
    <t>* 08:30 250/400 *15:00 400/500</t>
  </si>
  <si>
    <t>* 07:00 500/350 * 17:00 350/300</t>
  </si>
  <si>
    <t>* 17:00 300/250</t>
  </si>
  <si>
    <t>* 07:00 250/350 * 14:00 350/450</t>
  </si>
  <si>
    <t>* 07:00 450/350 * 17:00 350/300</t>
  </si>
  <si>
    <t>* 11:30 300/400</t>
  </si>
  <si>
    <t>* 08:00 400/350</t>
  </si>
  <si>
    <t>* 16:00 350/250</t>
  </si>
  <si>
    <t>* 15:00 250/200 *17:00 200/150</t>
  </si>
  <si>
    <t>* 17:00 150/200</t>
  </si>
  <si>
    <t>* 15:30 200/250</t>
  </si>
  <si>
    <t>* 10:00 250/350 * 17:30 350/300</t>
  </si>
  <si>
    <t>* 17:30 300/250</t>
  </si>
  <si>
    <t>* 07:00 200/300</t>
  </si>
  <si>
    <t>* 18:00 250/200</t>
  </si>
  <si>
    <t>* 09:00 300/250</t>
  </si>
  <si>
    <t>* 18:00 250/300</t>
  </si>
  <si>
    <t>* 07:30 300/400 *15:00 400/250</t>
  </si>
  <si>
    <t>*09:00 250/300 *15:30 300/200</t>
  </si>
  <si>
    <t>*20:30 200/150</t>
  </si>
  <si>
    <t>*18:30 150/200</t>
  </si>
  <si>
    <t>* 16:00 200/250</t>
  </si>
  <si>
    <t>* 15:30 250/350</t>
  </si>
  <si>
    <t>* 03:00 350/450  *09:00 450/350</t>
  </si>
  <si>
    <t>* 15:00 350/300</t>
  </si>
  <si>
    <t>* 10:00 300/250  *15:00 250/200</t>
  </si>
  <si>
    <t>* 07:30 300/350 *08:00 350/400 * 15:00 400/300</t>
  </si>
  <si>
    <t>* 15:00 300/200</t>
  </si>
  <si>
    <t>* 09:30 250/350 * 17:30 350/300</t>
  </si>
  <si>
    <t>* 07:00 300/250 * 18:00 250/300</t>
  </si>
  <si>
    <t>* 18:00 200/150</t>
  </si>
  <si>
    <t>* 0700 150/250 * 1700 250/200</t>
  </si>
  <si>
    <t>*0700 200/300 *1500 300/200 *1700 200/150</t>
  </si>
  <si>
    <t>* 07:00 150/200 *18:00 200/250</t>
  </si>
  <si>
    <t>*11:00 250/200</t>
  </si>
  <si>
    <t>*0900 200/300</t>
  </si>
  <si>
    <t>*1800 300/250</t>
  </si>
  <si>
    <t>*0700 250/300 *1700 300/250</t>
  </si>
  <si>
    <t>*0700 250/200 *1500 200/300</t>
  </si>
  <si>
    <t>*0700 300/200 *1800 200/300</t>
  </si>
  <si>
    <t>*0800 300/200</t>
  </si>
  <si>
    <t>*0700 200/300</t>
  </si>
  <si>
    <t>*0700 300/250 *1800 250/200</t>
  </si>
  <si>
    <t>*0700 200/250</t>
  </si>
  <si>
    <t>*1800 250/300</t>
  </si>
  <si>
    <t>*1500 300/250</t>
  </si>
  <si>
    <t>*0900 250/200</t>
  </si>
  <si>
    <t>*0700 200/250 *1600 250/200</t>
  </si>
  <si>
    <t>*1600 200/150</t>
  </si>
  <si>
    <t>*1800 150/200</t>
  </si>
  <si>
    <t>*0600 250/300 *1400 300/250</t>
  </si>
  <si>
    <t>*0800 250/200 *1400 200/150</t>
  </si>
  <si>
    <t>*1000 150/250 * 1600 250/150</t>
  </si>
  <si>
    <t>*1400 150/100</t>
  </si>
  <si>
    <t>*0700 100/200</t>
  </si>
  <si>
    <t>*10:30 200/150 *14:00 150/100</t>
  </si>
  <si>
    <t>*16:00 100/50</t>
  </si>
  <si>
    <t>*16:00 50/100</t>
  </si>
  <si>
    <t>08:00 100/50</t>
  </si>
  <si>
    <t>*1400 50/100</t>
  </si>
  <si>
    <t>* 08:30 100/200 *1600 200/150</t>
  </si>
  <si>
    <t>* 0730 150/100</t>
  </si>
  <si>
    <t>* 0930 100/50</t>
  </si>
  <si>
    <t>* 0800 50/20</t>
  </si>
  <si>
    <t>* 1330 20/0</t>
  </si>
  <si>
    <t>* Start 1 unit D-Plant Apprx. 0900</t>
  </si>
  <si>
    <t>* 1600 0/50</t>
  </si>
  <si>
    <t>* 0700 50/20</t>
  </si>
  <si>
    <t>* 0930 20/0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</si>
</sst>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_);[Red]\(0\)"/>
    <numFmt numFmtId="167" formatCode="h:mm;@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21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4" fontId="21" fillId="0" borderId="1" xfId="3" applyNumberFormat="1" applyFont="1" applyFill="1" applyBorder="1" applyAlignment="1">
      <alignment horizontal="right" wrapText="1"/>
    </xf>
    <xf numFmtId="14" fontId="22" fillId="2" borderId="20" xfId="1" applyNumberFormat="1" applyFont="1" applyFill="1" applyBorder="1" applyAlignment="1">
      <alignment horizontal="center" wrapText="1"/>
    </xf>
    <xf numFmtId="3" fontId="22" fillId="2" borderId="1" xfId="1" applyNumberFormat="1" applyFont="1" applyFill="1" applyBorder="1" applyAlignment="1">
      <alignment horizontal="center" wrapText="1"/>
    </xf>
    <xf numFmtId="2" fontId="22" fillId="2" borderId="1" xfId="1" applyNumberFormat="1" applyFont="1" applyFill="1" applyBorder="1" applyAlignment="1">
      <alignment horizontal="center" wrapText="1"/>
    </xf>
    <xf numFmtId="4" fontId="22" fillId="2" borderId="1" xfId="1" applyNumberFormat="1" applyFont="1" applyFill="1" applyBorder="1" applyAlignment="1">
      <alignment horizontal="center" wrapText="1"/>
    </xf>
    <xf numFmtId="14" fontId="22" fillId="2" borderId="19" xfId="1" applyNumberFormat="1" applyFont="1" applyFill="1" applyBorder="1" applyAlignment="1">
      <alignment wrapText="1"/>
    </xf>
    <xf numFmtId="3" fontId="23" fillId="0" borderId="1" xfId="3" applyNumberFormat="1" applyFont="1" applyFill="1" applyBorder="1" applyAlignment="1">
      <alignment horizontal="right" wrapText="1"/>
    </xf>
    <xf numFmtId="2" fontId="23" fillId="0" borderId="1" xfId="3" applyNumberFormat="1" applyFont="1" applyFill="1" applyBorder="1" applyAlignment="1">
      <alignment horizontal="right" wrapText="1"/>
    </xf>
    <xf numFmtId="14" fontId="22" fillId="0" borderId="2" xfId="0" applyNumberFormat="1" applyFont="1" applyBorder="1"/>
    <xf numFmtId="14" fontId="22" fillId="0" borderId="1" xfId="0" applyNumberFormat="1" applyFont="1" applyBorder="1"/>
    <xf numFmtId="3" fontId="22" fillId="0" borderId="1" xfId="0" applyNumberFormat="1" applyFont="1" applyBorder="1"/>
    <xf numFmtId="4" fontId="22" fillId="0" borderId="1" xfId="0" applyNumberFormat="1" applyFont="1" applyBorder="1"/>
    <xf numFmtId="14" fontId="23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4" fillId="0" borderId="0" xfId="0" applyFont="1"/>
    <xf numFmtId="20" fontId="24" fillId="0" borderId="0" xfId="0" applyNumberFormat="1" applyFont="1"/>
    <xf numFmtId="1" fontId="1" fillId="0" borderId="28" xfId="3" applyNumberFormat="1" applyFont="1" applyFill="1" applyBorder="1" applyAlignment="1">
      <alignment horizontal="right" wrapText="1"/>
    </xf>
    <xf numFmtId="18" fontId="24" fillId="0" borderId="0" xfId="0" applyNumberFormat="1" applyFont="1"/>
    <xf numFmtId="0" fontId="24" fillId="0" borderId="0" xfId="0" applyFont="1" applyFill="1" applyBorder="1"/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abSelected="1"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C32" sqref="C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6.3320312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42614</v>
      </c>
      <c r="B3" s="25">
        <v>163</v>
      </c>
      <c r="C3" s="25">
        <v>0</v>
      </c>
      <c r="D3" s="25">
        <v>300</v>
      </c>
      <c r="E3" s="26">
        <v>0</v>
      </c>
      <c r="F3" s="26">
        <v>0</v>
      </c>
      <c r="G3" s="25">
        <v>0</v>
      </c>
      <c r="H3" s="27">
        <v>4034.62</v>
      </c>
      <c r="I3" s="107" t="s">
        <v>149</v>
      </c>
    </row>
    <row r="4" spans="1:9" x14ac:dyDescent="0.3">
      <c r="A4" s="28">
        <v>42615</v>
      </c>
      <c r="B4" s="25">
        <v>235</v>
      </c>
      <c r="C4" s="25">
        <v>0</v>
      </c>
      <c r="D4" s="25">
        <v>337</v>
      </c>
      <c r="E4" s="26">
        <v>0</v>
      </c>
      <c r="F4" s="26">
        <v>0</v>
      </c>
      <c r="G4" s="25">
        <v>0</v>
      </c>
      <c r="H4" s="27">
        <v>4034.61</v>
      </c>
      <c r="I4" s="107" t="s">
        <v>143</v>
      </c>
    </row>
    <row r="5" spans="1:9" x14ac:dyDescent="0.3">
      <c r="A5" s="28">
        <v>42616</v>
      </c>
      <c r="B5" s="25">
        <v>267</v>
      </c>
      <c r="C5" s="25">
        <v>0</v>
      </c>
      <c r="D5" s="25">
        <v>328</v>
      </c>
      <c r="E5" s="26">
        <v>0</v>
      </c>
      <c r="F5" s="26">
        <v>0</v>
      </c>
      <c r="G5" s="25">
        <v>0</v>
      </c>
      <c r="H5" s="27">
        <v>4034.61</v>
      </c>
      <c r="I5" s="107" t="s">
        <v>150</v>
      </c>
    </row>
    <row r="6" spans="1:9" x14ac:dyDescent="0.3">
      <c r="A6" s="28">
        <v>42617</v>
      </c>
      <c r="B6" s="25">
        <v>196</v>
      </c>
      <c r="C6" s="25">
        <v>15</v>
      </c>
      <c r="D6" s="25">
        <v>330</v>
      </c>
      <c r="E6" s="26">
        <v>0</v>
      </c>
      <c r="F6" s="26">
        <v>0</v>
      </c>
      <c r="G6" s="25">
        <v>0</v>
      </c>
      <c r="H6" s="27">
        <v>4034.61</v>
      </c>
      <c r="I6" s="111" t="s">
        <v>151</v>
      </c>
    </row>
    <row r="7" spans="1:9" x14ac:dyDescent="0.3">
      <c r="A7" s="28">
        <v>42618</v>
      </c>
      <c r="B7" s="25">
        <v>175</v>
      </c>
      <c r="C7" s="25">
        <v>4</v>
      </c>
      <c r="D7" s="25">
        <v>278</v>
      </c>
      <c r="E7" s="26">
        <v>0</v>
      </c>
      <c r="F7" s="26">
        <v>0</v>
      </c>
      <c r="G7" s="25">
        <v>0</v>
      </c>
      <c r="H7" s="27">
        <v>4034.61</v>
      </c>
      <c r="I7" s="111" t="s">
        <v>152</v>
      </c>
    </row>
    <row r="8" spans="1:9" x14ac:dyDescent="0.3">
      <c r="A8" s="28">
        <v>42619</v>
      </c>
      <c r="B8" s="25">
        <v>129</v>
      </c>
      <c r="C8" s="25">
        <v>0</v>
      </c>
      <c r="D8" s="25">
        <v>235</v>
      </c>
      <c r="E8" s="26">
        <v>0</v>
      </c>
      <c r="F8" s="26">
        <v>0</v>
      </c>
      <c r="G8" s="25">
        <v>0</v>
      </c>
      <c r="H8" s="27">
        <v>4034.62</v>
      </c>
      <c r="I8" s="111" t="s">
        <v>153</v>
      </c>
    </row>
    <row r="9" spans="1:9" x14ac:dyDescent="0.3">
      <c r="A9" s="28">
        <v>42620</v>
      </c>
      <c r="B9" s="25">
        <v>100</v>
      </c>
      <c r="C9" s="25">
        <v>0</v>
      </c>
      <c r="D9" s="25">
        <v>214</v>
      </c>
      <c r="E9" s="26">
        <v>0</v>
      </c>
      <c r="F9" s="26">
        <v>0</v>
      </c>
      <c r="G9" s="25">
        <v>0</v>
      </c>
      <c r="H9" s="27">
        <v>4034.62</v>
      </c>
    </row>
    <row r="10" spans="1:9" x14ac:dyDescent="0.3">
      <c r="A10" s="28">
        <v>42621</v>
      </c>
      <c r="B10" s="25">
        <v>171</v>
      </c>
      <c r="C10" s="25">
        <v>0</v>
      </c>
      <c r="D10" s="25">
        <v>217</v>
      </c>
      <c r="E10" s="26">
        <v>0</v>
      </c>
      <c r="F10" s="26">
        <v>0</v>
      </c>
      <c r="G10" s="25">
        <v>0</v>
      </c>
      <c r="H10" s="27">
        <v>4034.62</v>
      </c>
      <c r="I10" s="111" t="s">
        <v>154</v>
      </c>
    </row>
    <row r="11" spans="1:9" x14ac:dyDescent="0.3">
      <c r="A11" s="28">
        <v>42622</v>
      </c>
      <c r="B11" s="25">
        <v>151</v>
      </c>
      <c r="C11" s="25">
        <v>0</v>
      </c>
      <c r="D11" s="25">
        <v>216</v>
      </c>
      <c r="E11" s="26">
        <v>0</v>
      </c>
      <c r="F11" s="26">
        <v>0</v>
      </c>
      <c r="G11" s="25">
        <v>0</v>
      </c>
      <c r="H11" s="27">
        <v>4034.62</v>
      </c>
      <c r="I11" s="107" t="s">
        <v>155</v>
      </c>
    </row>
    <row r="12" spans="1:9" x14ac:dyDescent="0.3">
      <c r="A12" s="28">
        <v>42623</v>
      </c>
      <c r="B12" s="25">
        <v>83</v>
      </c>
      <c r="C12" s="25">
        <v>11</v>
      </c>
      <c r="D12" s="25">
        <v>191</v>
      </c>
      <c r="E12" s="26">
        <v>0</v>
      </c>
      <c r="F12" s="26">
        <v>0</v>
      </c>
      <c r="G12" s="25">
        <v>0</v>
      </c>
      <c r="H12" s="27">
        <v>4034.61</v>
      </c>
      <c r="I12" s="107" t="s">
        <v>156</v>
      </c>
    </row>
    <row r="13" spans="1:9" x14ac:dyDescent="0.3">
      <c r="A13" s="28">
        <v>42624</v>
      </c>
      <c r="B13" s="25">
        <v>67</v>
      </c>
      <c r="C13" s="25">
        <v>1</v>
      </c>
      <c r="D13" s="25">
        <v>208</v>
      </c>
      <c r="E13" s="26">
        <v>0</v>
      </c>
      <c r="F13" s="26">
        <v>0</v>
      </c>
      <c r="G13" s="25">
        <v>0</v>
      </c>
      <c r="H13" s="27">
        <v>4034.61</v>
      </c>
      <c r="I13" s="107" t="s">
        <v>157</v>
      </c>
    </row>
    <row r="14" spans="1:9" x14ac:dyDescent="0.3">
      <c r="A14" s="28">
        <v>42625</v>
      </c>
      <c r="B14" s="25">
        <v>67</v>
      </c>
      <c r="C14" s="25">
        <v>3</v>
      </c>
      <c r="D14" s="25">
        <v>262</v>
      </c>
      <c r="E14" s="26">
        <v>0</v>
      </c>
      <c r="F14" s="26">
        <v>0</v>
      </c>
      <c r="G14" s="25">
        <v>0</v>
      </c>
      <c r="H14" s="27">
        <v>4034.63</v>
      </c>
      <c r="I14" s="107" t="s">
        <v>158</v>
      </c>
    </row>
    <row r="15" spans="1:9" x14ac:dyDescent="0.3">
      <c r="A15" s="28">
        <v>42626</v>
      </c>
      <c r="B15" s="25">
        <v>71</v>
      </c>
      <c r="C15" s="25">
        <v>0</v>
      </c>
      <c r="D15" s="25">
        <v>276</v>
      </c>
      <c r="E15" s="26">
        <v>0</v>
      </c>
      <c r="F15" s="26">
        <v>0</v>
      </c>
      <c r="G15" s="25">
        <v>0</v>
      </c>
      <c r="H15" s="27">
        <v>4034.64</v>
      </c>
      <c r="I15" s="107" t="s">
        <v>159</v>
      </c>
    </row>
    <row r="16" spans="1:9" x14ac:dyDescent="0.3">
      <c r="A16" s="28">
        <v>42627</v>
      </c>
      <c r="B16" s="25">
        <v>100</v>
      </c>
      <c r="C16" s="25">
        <v>0</v>
      </c>
      <c r="D16" s="25">
        <v>253</v>
      </c>
      <c r="E16" s="26">
        <v>0</v>
      </c>
      <c r="F16" s="26">
        <v>0</v>
      </c>
      <c r="G16" s="25">
        <v>0</v>
      </c>
      <c r="H16" s="27">
        <v>4034.65</v>
      </c>
      <c r="I16" s="107"/>
    </row>
    <row r="17" spans="1:9" x14ac:dyDescent="0.3">
      <c r="A17" s="28">
        <v>42628</v>
      </c>
      <c r="B17" s="25">
        <v>148</v>
      </c>
      <c r="C17" s="25">
        <v>0</v>
      </c>
      <c r="D17" s="25">
        <v>195</v>
      </c>
      <c r="E17" s="26">
        <v>0</v>
      </c>
      <c r="F17" s="26">
        <v>0</v>
      </c>
      <c r="G17" s="25">
        <v>0</v>
      </c>
      <c r="H17" s="27">
        <v>4034.66</v>
      </c>
      <c r="I17" s="107" t="s">
        <v>160</v>
      </c>
    </row>
    <row r="18" spans="1:9" x14ac:dyDescent="0.3">
      <c r="A18" s="28">
        <v>42629</v>
      </c>
      <c r="B18" s="25">
        <v>116</v>
      </c>
      <c r="C18" s="25">
        <v>0</v>
      </c>
      <c r="D18" s="25">
        <v>183</v>
      </c>
      <c r="E18" s="26">
        <v>0</v>
      </c>
      <c r="F18" s="26">
        <v>0</v>
      </c>
      <c r="G18" s="25">
        <v>0</v>
      </c>
      <c r="H18" s="27">
        <v>4034.67</v>
      </c>
      <c r="I18" s="107" t="s">
        <v>161</v>
      </c>
    </row>
    <row r="19" spans="1:9" x14ac:dyDescent="0.3">
      <c r="A19" s="28">
        <v>42630</v>
      </c>
      <c r="B19" s="25">
        <v>70</v>
      </c>
      <c r="C19" s="25">
        <v>28</v>
      </c>
      <c r="D19" s="25">
        <v>197</v>
      </c>
      <c r="E19" s="26">
        <v>0</v>
      </c>
      <c r="F19" s="26">
        <v>0</v>
      </c>
      <c r="G19" s="25">
        <v>0</v>
      </c>
      <c r="H19" s="27">
        <v>4034.69</v>
      </c>
      <c r="I19" s="107" t="s">
        <v>162</v>
      </c>
    </row>
    <row r="20" spans="1:9" x14ac:dyDescent="0.3">
      <c r="A20" s="28">
        <v>42631</v>
      </c>
      <c r="B20" s="25">
        <v>30</v>
      </c>
      <c r="C20" s="25">
        <v>45</v>
      </c>
      <c r="D20" s="25">
        <v>188</v>
      </c>
      <c r="E20" s="26">
        <v>0</v>
      </c>
      <c r="F20" s="26">
        <v>0</v>
      </c>
      <c r="G20" s="25">
        <v>0</v>
      </c>
      <c r="H20" s="27">
        <v>4034.7</v>
      </c>
      <c r="I20" s="107" t="s">
        <v>163</v>
      </c>
    </row>
    <row r="21" spans="1:9" x14ac:dyDescent="0.3">
      <c r="A21" s="28">
        <v>42632</v>
      </c>
      <c r="B21" s="25">
        <v>11</v>
      </c>
      <c r="C21" s="25">
        <v>16</v>
      </c>
      <c r="D21" s="25">
        <v>168</v>
      </c>
      <c r="E21" s="26">
        <v>0</v>
      </c>
      <c r="F21" s="26">
        <v>0</v>
      </c>
      <c r="G21" s="25">
        <v>0</v>
      </c>
      <c r="H21" s="27">
        <v>4034.7</v>
      </c>
      <c r="I21" s="107" t="s">
        <v>164</v>
      </c>
    </row>
    <row r="22" spans="1:9" x14ac:dyDescent="0.3">
      <c r="A22" s="28">
        <v>42633</v>
      </c>
      <c r="B22" s="25">
        <v>0</v>
      </c>
      <c r="C22" s="25">
        <v>0</v>
      </c>
      <c r="D22" s="25">
        <v>167</v>
      </c>
      <c r="E22" s="26">
        <v>0</v>
      </c>
      <c r="F22" s="26">
        <v>0</v>
      </c>
      <c r="G22" s="25">
        <v>0</v>
      </c>
      <c r="H22" s="27">
        <v>4034.71</v>
      </c>
      <c r="I22" s="107"/>
    </row>
    <row r="23" spans="1:9" x14ac:dyDescent="0.3">
      <c r="A23" s="28">
        <v>42634</v>
      </c>
      <c r="B23" s="25">
        <v>0</v>
      </c>
      <c r="C23" s="25">
        <v>0</v>
      </c>
      <c r="D23" s="25">
        <v>180</v>
      </c>
      <c r="E23" s="26">
        <v>0</v>
      </c>
      <c r="F23" s="26">
        <v>0</v>
      </c>
      <c r="G23" s="25">
        <v>0</v>
      </c>
      <c r="H23" s="27">
        <v>4034.72</v>
      </c>
      <c r="I23" s="107"/>
    </row>
    <row r="24" spans="1:9" x14ac:dyDescent="0.3">
      <c r="A24" s="28">
        <v>42635</v>
      </c>
      <c r="B24" s="25">
        <v>0</v>
      </c>
      <c r="C24" s="25">
        <v>0</v>
      </c>
      <c r="D24" s="25">
        <v>166</v>
      </c>
      <c r="E24" s="26">
        <v>0.02</v>
      </c>
      <c r="F24" s="26">
        <v>0</v>
      </c>
      <c r="G24" s="25">
        <v>0</v>
      </c>
      <c r="H24" s="27">
        <v>4034.73</v>
      </c>
      <c r="I24" s="107"/>
    </row>
    <row r="25" spans="1:9" x14ac:dyDescent="0.3">
      <c r="A25" s="28">
        <v>42636</v>
      </c>
      <c r="B25" s="25">
        <v>0</v>
      </c>
      <c r="C25" s="25">
        <v>0</v>
      </c>
      <c r="D25" s="25">
        <v>166</v>
      </c>
      <c r="E25" s="26">
        <v>0.01</v>
      </c>
      <c r="F25" s="26">
        <v>0</v>
      </c>
      <c r="G25" s="25">
        <v>0</v>
      </c>
      <c r="H25" s="27">
        <v>4034.74</v>
      </c>
      <c r="I25" s="107"/>
    </row>
    <row r="26" spans="1:9" x14ac:dyDescent="0.3">
      <c r="A26" s="28">
        <v>42637</v>
      </c>
      <c r="B26" s="25">
        <v>0</v>
      </c>
      <c r="C26" s="25">
        <v>0</v>
      </c>
      <c r="D26" s="25">
        <v>148</v>
      </c>
      <c r="E26" s="26">
        <v>0.01</v>
      </c>
      <c r="F26" s="26">
        <v>0</v>
      </c>
      <c r="G26" s="25">
        <v>0</v>
      </c>
      <c r="H26" s="27">
        <v>4034.74</v>
      </c>
      <c r="I26" s="107"/>
    </row>
    <row r="27" spans="1:9" x14ac:dyDescent="0.3">
      <c r="A27" s="28">
        <v>42638</v>
      </c>
      <c r="B27" s="25">
        <v>0</v>
      </c>
      <c r="C27" s="25">
        <v>8</v>
      </c>
      <c r="D27" s="25">
        <v>147</v>
      </c>
      <c r="E27" s="26">
        <v>0</v>
      </c>
      <c r="F27" s="26">
        <v>0</v>
      </c>
      <c r="G27" s="25">
        <v>0</v>
      </c>
      <c r="H27" s="27">
        <v>4034.75</v>
      </c>
      <c r="I27" s="107"/>
    </row>
    <row r="28" spans="1:9" x14ac:dyDescent="0.3">
      <c r="A28" s="28">
        <v>42639</v>
      </c>
      <c r="B28" s="25">
        <v>0</v>
      </c>
      <c r="C28" s="25">
        <v>12</v>
      </c>
      <c r="D28" s="25">
        <v>161</v>
      </c>
      <c r="E28" s="26">
        <v>0</v>
      </c>
      <c r="F28" s="26">
        <v>0</v>
      </c>
      <c r="G28" s="25">
        <v>103</v>
      </c>
      <c r="H28" s="27">
        <v>4034.77</v>
      </c>
      <c r="I28" s="107" t="s">
        <v>165</v>
      </c>
    </row>
    <row r="29" spans="1:9" x14ac:dyDescent="0.3">
      <c r="A29" s="28">
        <v>42640</v>
      </c>
      <c r="B29" s="13">
        <v>0</v>
      </c>
      <c r="C29" s="13">
        <v>0</v>
      </c>
      <c r="D29" s="13">
        <v>141</v>
      </c>
      <c r="E29" s="26">
        <v>0</v>
      </c>
      <c r="F29" s="26">
        <v>0</v>
      </c>
      <c r="G29" s="13">
        <v>160</v>
      </c>
      <c r="H29" s="15">
        <v>4034.75</v>
      </c>
      <c r="I29" s="107"/>
    </row>
    <row r="30" spans="1:9" x14ac:dyDescent="0.3">
      <c r="A30" s="28">
        <v>42641</v>
      </c>
      <c r="B30" s="105">
        <v>17</v>
      </c>
      <c r="C30" s="13">
        <v>0</v>
      </c>
      <c r="D30" s="13">
        <v>151</v>
      </c>
      <c r="E30" s="26">
        <v>0</v>
      </c>
      <c r="F30" s="26">
        <v>0</v>
      </c>
      <c r="G30" s="13">
        <v>160</v>
      </c>
      <c r="H30" s="15">
        <v>4034.75</v>
      </c>
      <c r="I30" s="107" t="s">
        <v>166</v>
      </c>
    </row>
    <row r="31" spans="1:9" x14ac:dyDescent="0.3">
      <c r="A31" s="28">
        <v>42642</v>
      </c>
      <c r="B31" s="105">
        <v>29</v>
      </c>
      <c r="C31" s="13">
        <v>0</v>
      </c>
      <c r="D31" s="13">
        <v>160</v>
      </c>
      <c r="E31" s="26">
        <v>0</v>
      </c>
      <c r="F31" s="26">
        <v>0</v>
      </c>
      <c r="G31" s="13">
        <v>160</v>
      </c>
      <c r="H31" s="15">
        <v>4034.74</v>
      </c>
      <c r="I31" s="107" t="s">
        <v>167</v>
      </c>
    </row>
    <row r="32" spans="1:9" ht="15" thickBot="1" x14ac:dyDescent="0.35">
      <c r="A32" s="28">
        <v>42643</v>
      </c>
      <c r="B32" s="105">
        <v>8</v>
      </c>
      <c r="C32" s="13">
        <v>0</v>
      </c>
      <c r="D32" s="13">
        <v>153</v>
      </c>
      <c r="E32" s="14">
        <v>0</v>
      </c>
      <c r="F32" s="26">
        <v>0</v>
      </c>
      <c r="G32" s="13">
        <v>160</v>
      </c>
      <c r="H32" s="15">
        <v>4034.73</v>
      </c>
      <c r="I32" s="107" t="s">
        <v>168</v>
      </c>
    </row>
    <row r="33" spans="1:14" s="11" customFormat="1" ht="15" thickTop="1" x14ac:dyDescent="0.3">
      <c r="A33" s="16" t="s">
        <v>8</v>
      </c>
      <c r="B33" s="17">
        <f t="shared" ref="B33:G33" si="0">SUM(B3:B32)</f>
        <v>2404</v>
      </c>
      <c r="C33" s="17">
        <f t="shared" si="0"/>
        <v>143</v>
      </c>
      <c r="D33" s="17">
        <f t="shared" si="0"/>
        <v>6316</v>
      </c>
      <c r="E33" s="18">
        <f t="shared" si="0"/>
        <v>0.04</v>
      </c>
      <c r="F33" s="18">
        <f t="shared" si="0"/>
        <v>0</v>
      </c>
      <c r="G33" s="17">
        <f t="shared" si="0"/>
        <v>743</v>
      </c>
      <c r="H33" s="18"/>
    </row>
    <row r="34" spans="1:14" s="11" customFormat="1" x14ac:dyDescent="0.3">
      <c r="A34" s="19" t="s">
        <v>9</v>
      </c>
      <c r="B34" s="20">
        <f>SUM(B33+'Aug 2016'!B35)</f>
        <v>33664</v>
      </c>
      <c r="C34" s="20">
        <f>SUM(C33+'Aug 2016'!C35)</f>
        <v>6346</v>
      </c>
      <c r="D34" s="20">
        <f>SUM(D33+'Aug 2016'!D35)</f>
        <v>61560</v>
      </c>
      <c r="E34" s="21">
        <f>SUM(E33+'Aug 2016'!E35)</f>
        <v>12.51</v>
      </c>
      <c r="F34" s="21">
        <f>SUM(F33+'Aug 2016'!F35)</f>
        <v>22.689999999999998</v>
      </c>
      <c r="G34" s="20">
        <f>SUM(G33+'Aug 2016'!G35)</f>
        <v>21925</v>
      </c>
      <c r="H34" s="21"/>
    </row>
    <row r="36" spans="1:14" x14ac:dyDescent="0.3">
      <c r="A36" t="s">
        <v>10</v>
      </c>
      <c r="B36" s="23">
        <f>SUM(B3:B32)*1.9835</f>
        <v>4768.3339999999998</v>
      </c>
      <c r="C36" s="23">
        <f>SUM(C3:C32)*1.9835</f>
        <v>283.64050000000003</v>
      </c>
      <c r="D36" s="23">
        <f>SUM(D3:D32)*1.9835</f>
        <v>12527.786</v>
      </c>
      <c r="E36" s="23"/>
      <c r="F36" s="23"/>
      <c r="G36" s="23"/>
    </row>
    <row r="37" spans="1:14" x14ac:dyDescent="0.3">
      <c r="B37" s="23"/>
      <c r="C37" s="23"/>
      <c r="D37" s="24"/>
      <c r="E37" s="23"/>
      <c r="F37" s="23"/>
      <c r="G37" s="23"/>
    </row>
    <row r="38" spans="1:14" x14ac:dyDescent="0.3">
      <c r="A38" t="s">
        <v>24</v>
      </c>
      <c r="B38" s="23">
        <f>SUM(B36+'Aug 2016'!B39)</f>
        <v>69093.239000000001</v>
      </c>
      <c r="C38" s="23">
        <f>SUM(C36+'Aug 2016'!C39)</f>
        <v>13830.945500000002</v>
      </c>
      <c r="D38" s="23">
        <f>SUM(D36+'Aug 2016'!D39)</f>
        <v>129056.42749999999</v>
      </c>
      <c r="E38" s="23"/>
      <c r="F38" s="23"/>
      <c r="G38" s="23"/>
    </row>
    <row r="40" spans="1:14" ht="17.399999999999999" customHeight="1" x14ac:dyDescent="0.3">
      <c r="A40" s="112"/>
      <c r="B40" s="112"/>
      <c r="C40" s="112"/>
      <c r="D40" s="112"/>
      <c r="E40" s="112"/>
      <c r="F40" s="113"/>
      <c r="G40" s="114" t="s">
        <v>12</v>
      </c>
      <c r="H40" s="115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14"/>
      <c r="H41" s="115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16" t="s">
        <v>23</v>
      </c>
      <c r="B42" s="116"/>
      <c r="C42" s="116"/>
      <c r="D42" s="116"/>
      <c r="E42" s="116"/>
      <c r="F42" s="116"/>
      <c r="G42" s="116"/>
      <c r="H42" s="116"/>
      <c r="I42" s="117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18" t="s">
        <v>21</v>
      </c>
      <c r="B57" s="119"/>
      <c r="C57" s="120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N58"/>
  <sheetViews>
    <sheetView showOutlineSymbols="0"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E32" sqref="E32"/>
    </sheetView>
  </sheetViews>
  <sheetFormatPr defaultRowHeight="14.4" outlineLevelRow="2" x14ac:dyDescent="0.3"/>
  <cols>
    <col min="1" max="1" width="13.5546875" bestFit="1" customWidth="1"/>
    <col min="2" max="8" width="11.6640625" customWidth="1"/>
    <col min="9" max="9" width="27.332031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outlineLevel="1" x14ac:dyDescent="0.3">
      <c r="A3" s="12">
        <v>42583</v>
      </c>
      <c r="B3" s="25">
        <v>217</v>
      </c>
      <c r="C3" s="25">
        <v>0</v>
      </c>
      <c r="D3" s="25">
        <v>398</v>
      </c>
      <c r="E3" s="26">
        <v>0</v>
      </c>
      <c r="F3" s="26">
        <v>0</v>
      </c>
      <c r="G3" s="25">
        <v>0</v>
      </c>
      <c r="H3" s="27">
        <v>4034.64</v>
      </c>
      <c r="I3" s="107" t="s">
        <v>121</v>
      </c>
    </row>
    <row r="4" spans="1:9" outlineLevel="2" x14ac:dyDescent="0.3">
      <c r="A4" s="12">
        <v>42584</v>
      </c>
      <c r="B4" s="25">
        <v>250</v>
      </c>
      <c r="C4" s="25">
        <v>0</v>
      </c>
      <c r="D4" s="25">
        <v>408</v>
      </c>
      <c r="E4" s="26">
        <v>0</v>
      </c>
      <c r="F4" s="26">
        <v>0</v>
      </c>
      <c r="G4" s="25">
        <v>0</v>
      </c>
      <c r="H4" s="27">
        <v>4034.63</v>
      </c>
      <c r="I4" s="107"/>
    </row>
    <row r="5" spans="1:9" outlineLevel="2" x14ac:dyDescent="0.3">
      <c r="A5" s="12">
        <v>42585</v>
      </c>
      <c r="B5" s="25">
        <v>297</v>
      </c>
      <c r="C5" s="25">
        <v>0</v>
      </c>
      <c r="D5" s="25">
        <v>413</v>
      </c>
      <c r="E5" s="26">
        <v>0</v>
      </c>
      <c r="F5" s="26">
        <v>0</v>
      </c>
      <c r="G5" s="25">
        <v>0</v>
      </c>
      <c r="H5" s="27">
        <v>4034.62</v>
      </c>
      <c r="I5" s="107" t="s">
        <v>128</v>
      </c>
    </row>
    <row r="6" spans="1:9" outlineLevel="2" x14ac:dyDescent="0.3">
      <c r="A6" s="12">
        <v>42586</v>
      </c>
      <c r="B6" s="25">
        <v>277</v>
      </c>
      <c r="C6" s="25">
        <v>0</v>
      </c>
      <c r="D6" s="25">
        <v>421</v>
      </c>
      <c r="E6" s="26">
        <v>0</v>
      </c>
      <c r="F6" s="26">
        <v>0</v>
      </c>
      <c r="G6" s="25">
        <v>0</v>
      </c>
      <c r="H6" s="27">
        <v>4034.62</v>
      </c>
      <c r="I6" s="107" t="s">
        <v>129</v>
      </c>
    </row>
    <row r="7" spans="1:9" outlineLevel="2" x14ac:dyDescent="0.3">
      <c r="A7" s="12">
        <v>42587</v>
      </c>
      <c r="B7" s="25">
        <v>262</v>
      </c>
      <c r="C7" s="25">
        <v>0</v>
      </c>
      <c r="D7" s="25">
        <v>393</v>
      </c>
      <c r="E7" s="26">
        <v>0</v>
      </c>
      <c r="F7" s="26">
        <v>0</v>
      </c>
      <c r="G7" s="25">
        <v>0</v>
      </c>
      <c r="H7" s="27">
        <v>4034.62</v>
      </c>
      <c r="I7" s="107" t="s">
        <v>127</v>
      </c>
    </row>
    <row r="8" spans="1:9" outlineLevel="2" x14ac:dyDescent="0.3">
      <c r="A8" s="12">
        <v>42588</v>
      </c>
      <c r="B8" s="25">
        <v>188</v>
      </c>
      <c r="C8" s="25">
        <v>0</v>
      </c>
      <c r="D8" s="25">
        <v>346</v>
      </c>
      <c r="E8" s="26" t="s">
        <v>39</v>
      </c>
      <c r="F8" s="26">
        <v>0</v>
      </c>
      <c r="G8" s="25">
        <v>0</v>
      </c>
      <c r="H8" s="27">
        <v>4034.61</v>
      </c>
      <c r="I8" s="107" t="s">
        <v>130</v>
      </c>
    </row>
    <row r="9" spans="1:9" outlineLevel="2" x14ac:dyDescent="0.3">
      <c r="A9" s="12">
        <v>42589</v>
      </c>
      <c r="B9" s="25">
        <v>206</v>
      </c>
      <c r="C9" s="25">
        <v>0</v>
      </c>
      <c r="D9" s="25">
        <v>318</v>
      </c>
      <c r="E9" s="26">
        <v>0</v>
      </c>
      <c r="F9" s="26">
        <v>0</v>
      </c>
      <c r="G9" s="25">
        <v>0</v>
      </c>
      <c r="H9" s="27">
        <v>4034.61</v>
      </c>
      <c r="I9" s="107" t="s">
        <v>131</v>
      </c>
    </row>
    <row r="10" spans="1:9" outlineLevel="2" x14ac:dyDescent="0.3">
      <c r="A10" s="12">
        <v>42590</v>
      </c>
      <c r="B10" s="25">
        <v>200</v>
      </c>
      <c r="C10" s="25">
        <v>0</v>
      </c>
      <c r="D10" s="25">
        <v>321</v>
      </c>
      <c r="E10" s="26">
        <v>0</v>
      </c>
      <c r="F10" s="26">
        <v>0</v>
      </c>
      <c r="G10" s="25">
        <v>0</v>
      </c>
      <c r="H10" s="27">
        <v>4034.62</v>
      </c>
      <c r="I10" s="107"/>
    </row>
    <row r="11" spans="1:9" outlineLevel="2" x14ac:dyDescent="0.3">
      <c r="A11" s="12">
        <v>42591</v>
      </c>
      <c r="B11" s="25">
        <v>200</v>
      </c>
      <c r="C11" s="25">
        <v>0</v>
      </c>
      <c r="D11" s="25">
        <v>361</v>
      </c>
      <c r="E11" s="26">
        <v>0</v>
      </c>
      <c r="F11" s="26">
        <v>0</v>
      </c>
      <c r="G11" s="25">
        <v>0</v>
      </c>
      <c r="H11" s="27">
        <v>4034.62</v>
      </c>
      <c r="I11" s="107"/>
    </row>
    <row r="12" spans="1:9" outlineLevel="2" x14ac:dyDescent="0.3">
      <c r="A12" s="12">
        <v>42592</v>
      </c>
      <c r="B12" s="25">
        <v>200</v>
      </c>
      <c r="C12" s="25">
        <v>0</v>
      </c>
      <c r="D12" s="25">
        <v>370</v>
      </c>
      <c r="E12" s="26">
        <v>0</v>
      </c>
      <c r="F12" s="26">
        <v>0</v>
      </c>
      <c r="G12" s="25">
        <v>0</v>
      </c>
      <c r="H12" s="27">
        <v>4034.63</v>
      </c>
      <c r="I12" s="107"/>
    </row>
    <row r="13" spans="1:9" outlineLevel="2" x14ac:dyDescent="0.3">
      <c r="A13" s="12">
        <v>42593</v>
      </c>
      <c r="B13" s="25">
        <v>200</v>
      </c>
      <c r="C13" s="25">
        <v>0</v>
      </c>
      <c r="D13" s="25">
        <v>372</v>
      </c>
      <c r="E13" s="26">
        <v>0</v>
      </c>
      <c r="F13" s="26">
        <v>0</v>
      </c>
      <c r="G13" s="25">
        <v>0</v>
      </c>
      <c r="H13" s="27">
        <v>4034.62</v>
      </c>
      <c r="I13" s="107"/>
    </row>
    <row r="14" spans="1:9" outlineLevel="2" x14ac:dyDescent="0.3">
      <c r="A14" s="12">
        <v>42594</v>
      </c>
      <c r="B14" s="25">
        <v>219</v>
      </c>
      <c r="C14" s="25">
        <v>0</v>
      </c>
      <c r="D14" s="25">
        <v>372</v>
      </c>
      <c r="E14" s="26">
        <v>0</v>
      </c>
      <c r="F14" s="26">
        <v>0</v>
      </c>
      <c r="G14" s="25">
        <v>0</v>
      </c>
      <c r="H14" s="27">
        <v>4034.62</v>
      </c>
      <c r="I14" s="107" t="s">
        <v>132</v>
      </c>
    </row>
    <row r="15" spans="1:9" outlineLevel="2" x14ac:dyDescent="0.3">
      <c r="A15" s="12">
        <v>42595</v>
      </c>
      <c r="B15" s="25">
        <v>150</v>
      </c>
      <c r="C15" s="25">
        <v>0</v>
      </c>
      <c r="D15" s="25">
        <v>307</v>
      </c>
      <c r="E15" s="26">
        <v>0</v>
      </c>
      <c r="F15" s="26">
        <v>0</v>
      </c>
      <c r="G15" s="25">
        <v>0</v>
      </c>
      <c r="H15" s="27">
        <v>4034.63</v>
      </c>
      <c r="I15" s="107"/>
    </row>
    <row r="16" spans="1:9" outlineLevel="2" x14ac:dyDescent="0.3">
      <c r="A16" s="12">
        <v>42596</v>
      </c>
      <c r="B16" s="25">
        <v>198</v>
      </c>
      <c r="C16" s="25">
        <v>0</v>
      </c>
      <c r="D16" s="25">
        <v>308</v>
      </c>
      <c r="E16" s="26">
        <v>0</v>
      </c>
      <c r="F16" s="26">
        <v>0</v>
      </c>
      <c r="G16" s="25">
        <v>0</v>
      </c>
      <c r="H16" s="27">
        <v>4034.62</v>
      </c>
      <c r="I16" s="107" t="s">
        <v>133</v>
      </c>
    </row>
    <row r="17" spans="1:9" outlineLevel="2" x14ac:dyDescent="0.3">
      <c r="A17" s="12">
        <v>42597</v>
      </c>
      <c r="B17" s="25">
        <v>223</v>
      </c>
      <c r="C17" s="25">
        <v>0</v>
      </c>
      <c r="D17" s="25">
        <v>357</v>
      </c>
      <c r="E17" s="26">
        <v>0</v>
      </c>
      <c r="F17" s="26">
        <v>0</v>
      </c>
      <c r="G17" s="25">
        <v>0</v>
      </c>
      <c r="H17" s="27">
        <v>4034.62</v>
      </c>
      <c r="I17" s="107" t="s">
        <v>134</v>
      </c>
    </row>
    <row r="18" spans="1:9" outlineLevel="2" x14ac:dyDescent="0.3">
      <c r="A18" s="12">
        <v>42598</v>
      </c>
      <c r="B18" s="25">
        <v>200</v>
      </c>
      <c r="C18" s="25">
        <v>0</v>
      </c>
      <c r="D18" s="25">
        <v>401</v>
      </c>
      <c r="E18" s="26">
        <v>0</v>
      </c>
      <c r="F18" s="26">
        <v>0</v>
      </c>
      <c r="G18" s="25">
        <v>0</v>
      </c>
      <c r="H18" s="27">
        <v>4034.62</v>
      </c>
      <c r="I18" s="107"/>
    </row>
    <row r="19" spans="1:9" outlineLevel="2" x14ac:dyDescent="0.3">
      <c r="A19" s="12">
        <v>42599</v>
      </c>
      <c r="B19" s="25">
        <v>263</v>
      </c>
      <c r="C19" s="25">
        <v>0</v>
      </c>
      <c r="D19" s="25">
        <v>432</v>
      </c>
      <c r="E19" s="26">
        <v>0</v>
      </c>
      <c r="F19" s="26">
        <v>0</v>
      </c>
      <c r="G19" s="25">
        <v>0</v>
      </c>
      <c r="H19" s="27">
        <v>4034.63</v>
      </c>
      <c r="I19" s="107" t="s">
        <v>135</v>
      </c>
    </row>
    <row r="20" spans="1:9" outlineLevel="2" x14ac:dyDescent="0.3">
      <c r="A20" s="12">
        <v>42600</v>
      </c>
      <c r="B20" s="25">
        <v>288</v>
      </c>
      <c r="C20" s="25">
        <v>0</v>
      </c>
      <c r="D20" s="25">
        <v>434</v>
      </c>
      <c r="E20" s="26">
        <v>0</v>
      </c>
      <c r="F20" s="26">
        <v>0</v>
      </c>
      <c r="G20" s="25">
        <v>0</v>
      </c>
      <c r="H20" s="27">
        <v>4034.62</v>
      </c>
      <c r="I20" s="107" t="s">
        <v>136</v>
      </c>
    </row>
    <row r="21" spans="1:9" outlineLevel="2" x14ac:dyDescent="0.3">
      <c r="A21" s="12">
        <v>42601</v>
      </c>
      <c r="B21" s="25">
        <v>271</v>
      </c>
      <c r="C21" s="25">
        <v>0</v>
      </c>
      <c r="D21" s="25">
        <v>420</v>
      </c>
      <c r="E21" s="26">
        <v>0</v>
      </c>
      <c r="F21" s="26">
        <v>0</v>
      </c>
      <c r="G21" s="25">
        <v>0</v>
      </c>
      <c r="H21" s="27">
        <v>4034.63</v>
      </c>
      <c r="I21" s="107" t="s">
        <v>137</v>
      </c>
    </row>
    <row r="22" spans="1:9" outlineLevel="2" x14ac:dyDescent="0.3">
      <c r="A22" s="12">
        <v>42602</v>
      </c>
      <c r="B22" s="25">
        <v>252</v>
      </c>
      <c r="C22" s="25">
        <v>0</v>
      </c>
      <c r="D22" s="25">
        <v>427</v>
      </c>
      <c r="E22" s="26">
        <v>0</v>
      </c>
      <c r="F22" s="26">
        <v>0</v>
      </c>
      <c r="G22" s="25">
        <v>0</v>
      </c>
      <c r="H22" s="27">
        <v>4034.62</v>
      </c>
      <c r="I22" s="107" t="s">
        <v>138</v>
      </c>
    </row>
    <row r="23" spans="1:9" outlineLevel="2" x14ac:dyDescent="0.3">
      <c r="A23" s="12">
        <v>42603</v>
      </c>
      <c r="B23" s="25">
        <v>254</v>
      </c>
      <c r="C23" s="25">
        <v>0</v>
      </c>
      <c r="D23" s="25">
        <v>453</v>
      </c>
      <c r="E23" s="26">
        <v>0</v>
      </c>
      <c r="F23" s="26">
        <v>0</v>
      </c>
      <c r="G23" s="25">
        <v>0</v>
      </c>
      <c r="H23" s="27">
        <v>4034.62</v>
      </c>
      <c r="I23" s="107" t="s">
        <v>139</v>
      </c>
    </row>
    <row r="24" spans="1:9" outlineLevel="2" x14ac:dyDescent="0.3">
      <c r="A24" s="12">
        <v>42604</v>
      </c>
      <c r="B24" s="25">
        <v>233</v>
      </c>
      <c r="C24" s="25">
        <v>0</v>
      </c>
      <c r="D24" s="25">
        <v>464</v>
      </c>
      <c r="E24" s="26">
        <v>0</v>
      </c>
      <c r="F24" s="26">
        <v>0</v>
      </c>
      <c r="G24" s="25">
        <v>0</v>
      </c>
      <c r="H24" s="27">
        <v>4034.62</v>
      </c>
      <c r="I24" s="107" t="s">
        <v>140</v>
      </c>
    </row>
    <row r="25" spans="1:9" outlineLevel="2" x14ac:dyDescent="0.3">
      <c r="A25" s="12">
        <v>42605</v>
      </c>
      <c r="B25" s="25">
        <v>271</v>
      </c>
      <c r="C25" s="25">
        <v>0</v>
      </c>
      <c r="D25" s="25">
        <v>445</v>
      </c>
      <c r="E25" s="26">
        <v>0</v>
      </c>
      <c r="F25" s="26">
        <v>0</v>
      </c>
      <c r="G25" s="25">
        <v>0</v>
      </c>
      <c r="H25" s="27">
        <v>4034.62</v>
      </c>
      <c r="I25" s="107" t="s">
        <v>141</v>
      </c>
    </row>
    <row r="26" spans="1:9" outlineLevel="2" x14ac:dyDescent="0.3">
      <c r="A26" s="12">
        <v>42606</v>
      </c>
      <c r="B26" s="25">
        <v>300</v>
      </c>
      <c r="C26" s="25">
        <v>0</v>
      </c>
      <c r="D26" s="25">
        <v>439</v>
      </c>
      <c r="E26" s="26">
        <v>0</v>
      </c>
      <c r="F26" s="26">
        <v>0</v>
      </c>
      <c r="G26" s="25">
        <v>0</v>
      </c>
      <c r="H26" s="27">
        <v>4034.62</v>
      </c>
      <c r="I26" s="107"/>
    </row>
    <row r="27" spans="1:9" outlineLevel="2" x14ac:dyDescent="0.3">
      <c r="A27" s="12">
        <v>42607</v>
      </c>
      <c r="B27" s="25">
        <v>252</v>
      </c>
      <c r="C27" s="25">
        <v>0</v>
      </c>
      <c r="D27" s="25">
        <v>435</v>
      </c>
      <c r="E27" s="26">
        <v>0</v>
      </c>
      <c r="F27" s="26">
        <v>0</v>
      </c>
      <c r="G27" s="25">
        <v>0</v>
      </c>
      <c r="H27" s="27">
        <v>4034.63</v>
      </c>
      <c r="I27" s="107" t="s">
        <v>142</v>
      </c>
    </row>
    <row r="28" spans="1:9" outlineLevel="2" x14ac:dyDescent="0.3">
      <c r="A28" s="12">
        <v>42608</v>
      </c>
      <c r="B28" s="25">
        <v>235</v>
      </c>
      <c r="C28" s="25">
        <v>0</v>
      </c>
      <c r="D28" s="25">
        <v>428</v>
      </c>
      <c r="E28" s="26">
        <v>0</v>
      </c>
      <c r="F28" s="26">
        <v>0</v>
      </c>
      <c r="G28" s="25">
        <v>0</v>
      </c>
      <c r="H28" s="27">
        <v>4034.63</v>
      </c>
      <c r="I28" s="107" t="s">
        <v>143</v>
      </c>
    </row>
    <row r="29" spans="1:9" outlineLevel="2" x14ac:dyDescent="0.3">
      <c r="A29" s="12">
        <v>42609</v>
      </c>
      <c r="B29" s="25">
        <v>262</v>
      </c>
      <c r="C29" s="25">
        <v>0</v>
      </c>
      <c r="D29" s="25">
        <v>430</v>
      </c>
      <c r="E29" s="26">
        <v>0</v>
      </c>
      <c r="F29" s="26">
        <v>0</v>
      </c>
      <c r="G29" s="25">
        <v>0</v>
      </c>
      <c r="H29" s="27">
        <v>4034.62</v>
      </c>
      <c r="I29" s="107" t="s">
        <v>144</v>
      </c>
    </row>
    <row r="30" spans="1:9" outlineLevel="2" x14ac:dyDescent="0.3">
      <c r="A30" s="12">
        <v>42610</v>
      </c>
      <c r="B30" s="25">
        <v>281</v>
      </c>
      <c r="C30" s="25">
        <v>0</v>
      </c>
      <c r="D30" s="25">
        <v>404</v>
      </c>
      <c r="E30" s="26">
        <v>0</v>
      </c>
      <c r="F30" s="26">
        <v>0</v>
      </c>
      <c r="G30" s="25">
        <v>0</v>
      </c>
      <c r="H30" s="27">
        <v>4034.62</v>
      </c>
      <c r="I30" s="107" t="s">
        <v>145</v>
      </c>
    </row>
    <row r="31" spans="1:9" outlineLevel="2" x14ac:dyDescent="0.3">
      <c r="A31" s="12">
        <v>42611</v>
      </c>
      <c r="B31" s="25">
        <v>219</v>
      </c>
      <c r="C31" s="25">
        <v>0</v>
      </c>
      <c r="D31" s="25">
        <v>382</v>
      </c>
      <c r="E31" s="26">
        <v>0</v>
      </c>
      <c r="F31" s="26">
        <v>0</v>
      </c>
      <c r="G31" s="25">
        <v>0</v>
      </c>
      <c r="H31" s="27">
        <v>4034.61</v>
      </c>
      <c r="I31" s="107" t="s">
        <v>146</v>
      </c>
    </row>
    <row r="32" spans="1:9" outlineLevel="2" x14ac:dyDescent="0.3">
      <c r="A32" s="12">
        <v>42612</v>
      </c>
      <c r="B32" s="25">
        <v>219</v>
      </c>
      <c r="C32" s="25">
        <v>0</v>
      </c>
      <c r="D32" s="25">
        <v>383</v>
      </c>
      <c r="E32" s="26" t="s">
        <v>39</v>
      </c>
      <c r="F32" s="26">
        <v>0</v>
      </c>
      <c r="G32" s="25">
        <v>0</v>
      </c>
      <c r="H32" s="27">
        <v>4034.61</v>
      </c>
      <c r="I32" s="107" t="s">
        <v>147</v>
      </c>
    </row>
    <row r="33" spans="1:14" ht="15" outlineLevel="2" thickBot="1" x14ac:dyDescent="0.35">
      <c r="A33" s="12">
        <v>42613</v>
      </c>
      <c r="B33" s="25">
        <v>183</v>
      </c>
      <c r="C33" s="25">
        <v>5</v>
      </c>
      <c r="D33" s="25">
        <v>349</v>
      </c>
      <c r="E33" s="26">
        <v>0</v>
      </c>
      <c r="F33" s="26">
        <v>0</v>
      </c>
      <c r="G33" s="25">
        <v>0</v>
      </c>
      <c r="H33" s="27">
        <v>4034.62</v>
      </c>
      <c r="I33" s="107" t="s">
        <v>148</v>
      </c>
    </row>
    <row r="34" spans="1:14" s="11" customFormat="1" ht="15" outlineLevel="1" thickTop="1" x14ac:dyDescent="0.3">
      <c r="A34" s="16" t="s">
        <v>8</v>
      </c>
      <c r="B34" s="17">
        <f t="shared" ref="B34:G34" si="0">SUM(B3:B33)</f>
        <v>7270</v>
      </c>
      <c r="C34" s="17">
        <f t="shared" si="0"/>
        <v>5</v>
      </c>
      <c r="D34" s="17">
        <f t="shared" si="0"/>
        <v>12191</v>
      </c>
      <c r="E34" s="18">
        <f t="shared" si="0"/>
        <v>0</v>
      </c>
      <c r="F34" s="18">
        <f t="shared" si="0"/>
        <v>0</v>
      </c>
      <c r="G34" s="17">
        <f t="shared" si="0"/>
        <v>0</v>
      </c>
      <c r="H34" s="18"/>
    </row>
    <row r="35" spans="1:14" s="11" customFormat="1" outlineLevel="1" x14ac:dyDescent="0.3">
      <c r="A35" s="19" t="s">
        <v>9</v>
      </c>
      <c r="B35" s="20">
        <f>SUM(B34+'Jul 2016'!B35)</f>
        <v>31260</v>
      </c>
      <c r="C35" s="20">
        <f>SUM(C34+'Jul 2016'!C35)</f>
        <v>6203</v>
      </c>
      <c r="D35" s="20">
        <f>SUM(D34+'Jul 2016'!D35)</f>
        <v>55244</v>
      </c>
      <c r="E35" s="21">
        <f>SUM(E34+'Jul 2016'!E35)</f>
        <v>12.47</v>
      </c>
      <c r="F35" s="21">
        <f>SUM(F34+'Jul 2016'!F35)</f>
        <v>22.689999999999998</v>
      </c>
      <c r="G35" s="20">
        <f>SUM(G34+'Jul 2016'!G35)</f>
        <v>21182</v>
      </c>
      <c r="H35" s="21"/>
    </row>
    <row r="36" spans="1:14" outlineLevel="1" x14ac:dyDescent="0.3"/>
    <row r="37" spans="1:14" x14ac:dyDescent="0.3">
      <c r="A37" t="s">
        <v>10</v>
      </c>
      <c r="B37" s="23">
        <f>SUM(B3:B33)*1.9835</f>
        <v>14420.045</v>
      </c>
      <c r="C37" s="23">
        <f>SUM(C3:C33)*1.9835</f>
        <v>9.9175000000000004</v>
      </c>
      <c r="D37" s="23">
        <f>SUM(D3:D33)*1.9835</f>
        <v>24180.8485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SUM(B37+'Jul 2016'!B39)</f>
        <v>64324.904999999999</v>
      </c>
      <c r="C39" s="23">
        <f>SUM(C37+'Jul 2016'!C39)</f>
        <v>13547.305000000002</v>
      </c>
      <c r="D39" s="23">
        <f>SUM(D37+'Jul 2016'!D39)</f>
        <v>116528.6415</v>
      </c>
      <c r="E39" s="23"/>
      <c r="F39" s="23"/>
      <c r="G39" s="23"/>
    </row>
    <row r="41" spans="1:14" ht="17.399999999999999" customHeight="1" x14ac:dyDescent="0.3">
      <c r="A41" s="112"/>
      <c r="B41" s="112"/>
      <c r="C41" s="112"/>
      <c r="D41" s="112"/>
      <c r="E41" s="112"/>
      <c r="F41" s="113"/>
      <c r="G41" s="114" t="s">
        <v>12</v>
      </c>
      <c r="H41" s="115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14"/>
      <c r="H42" s="115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16" t="s">
        <v>23</v>
      </c>
      <c r="B43" s="116"/>
      <c r="C43" s="116"/>
      <c r="D43" s="116"/>
      <c r="E43" s="116"/>
      <c r="F43" s="116"/>
      <c r="G43" s="116"/>
      <c r="H43" s="116"/>
      <c r="I43" s="117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outlineLevel="1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outlineLevel="1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18" t="s">
        <v>21</v>
      </c>
      <c r="B58" s="119"/>
      <c r="C58" s="120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0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42552</v>
      </c>
      <c r="B3" s="25">
        <v>367</v>
      </c>
      <c r="C3" s="25">
        <v>0</v>
      </c>
      <c r="D3" s="25">
        <v>406</v>
      </c>
      <c r="E3" s="26">
        <v>0</v>
      </c>
      <c r="F3" s="26">
        <v>0</v>
      </c>
      <c r="G3" s="25">
        <v>0</v>
      </c>
      <c r="H3" s="27">
        <v>4034.94</v>
      </c>
      <c r="I3" s="110" t="s">
        <v>106</v>
      </c>
    </row>
    <row r="4" spans="1:9" x14ac:dyDescent="0.3">
      <c r="A4" s="28">
        <v>42553</v>
      </c>
      <c r="B4" s="25">
        <v>317</v>
      </c>
      <c r="C4" s="25">
        <v>3</v>
      </c>
      <c r="D4" s="25">
        <v>400</v>
      </c>
      <c r="E4" s="26">
        <v>0</v>
      </c>
      <c r="F4" s="26">
        <v>0</v>
      </c>
      <c r="G4" s="25">
        <v>0</v>
      </c>
      <c r="H4" s="27">
        <v>4034.94</v>
      </c>
      <c r="I4" s="107" t="s">
        <v>107</v>
      </c>
    </row>
    <row r="5" spans="1:9" x14ac:dyDescent="0.3">
      <c r="A5" s="28">
        <v>42554</v>
      </c>
      <c r="B5" s="25">
        <v>217</v>
      </c>
      <c r="C5" s="25">
        <v>6</v>
      </c>
      <c r="D5" s="25">
        <v>358</v>
      </c>
      <c r="E5" s="26">
        <v>0</v>
      </c>
      <c r="F5" s="26">
        <v>0</v>
      </c>
      <c r="G5" s="25">
        <v>0</v>
      </c>
      <c r="H5" s="27">
        <v>4034.94</v>
      </c>
      <c r="I5" s="107" t="s">
        <v>108</v>
      </c>
    </row>
    <row r="6" spans="1:9" x14ac:dyDescent="0.3">
      <c r="A6" s="28">
        <v>42555</v>
      </c>
      <c r="B6" s="25">
        <v>165</v>
      </c>
      <c r="C6" s="25">
        <v>0</v>
      </c>
      <c r="D6" s="25">
        <v>299</v>
      </c>
      <c r="E6" s="26">
        <v>0</v>
      </c>
      <c r="F6" s="26">
        <v>0</v>
      </c>
      <c r="G6" s="25">
        <v>0</v>
      </c>
      <c r="H6" s="27">
        <v>4034.94</v>
      </c>
      <c r="I6" s="107" t="s">
        <v>109</v>
      </c>
    </row>
    <row r="7" spans="1:9" x14ac:dyDescent="0.3">
      <c r="A7" s="28">
        <v>42556</v>
      </c>
      <c r="B7" s="25">
        <v>218</v>
      </c>
      <c r="C7" s="25">
        <v>0</v>
      </c>
      <c r="D7" s="25">
        <v>337</v>
      </c>
      <c r="E7" s="26">
        <v>0</v>
      </c>
      <c r="F7" s="26">
        <v>0</v>
      </c>
      <c r="G7" s="25">
        <v>0</v>
      </c>
      <c r="H7" s="27">
        <v>4034.94</v>
      </c>
      <c r="I7" s="107" t="s">
        <v>110</v>
      </c>
    </row>
    <row r="8" spans="1:9" x14ac:dyDescent="0.3">
      <c r="A8" s="28">
        <v>42557</v>
      </c>
      <c r="B8" s="25">
        <v>250</v>
      </c>
      <c r="C8" s="25">
        <v>0</v>
      </c>
      <c r="D8" s="25">
        <v>360</v>
      </c>
      <c r="E8" s="26">
        <v>0</v>
      </c>
      <c r="F8" s="26">
        <v>0</v>
      </c>
      <c r="G8" s="25">
        <v>0</v>
      </c>
      <c r="H8" s="27">
        <v>4034.94</v>
      </c>
      <c r="I8" s="107"/>
    </row>
    <row r="9" spans="1:9" x14ac:dyDescent="0.3">
      <c r="A9" s="28">
        <v>42558</v>
      </c>
      <c r="B9" s="25">
        <v>295</v>
      </c>
      <c r="C9" s="25">
        <v>0</v>
      </c>
      <c r="D9" s="25">
        <v>383</v>
      </c>
      <c r="E9" s="26">
        <v>0</v>
      </c>
      <c r="F9" s="26">
        <v>0</v>
      </c>
      <c r="G9" s="25">
        <v>0</v>
      </c>
      <c r="H9" s="27">
        <v>4034.93</v>
      </c>
      <c r="I9" s="107" t="s">
        <v>111</v>
      </c>
    </row>
    <row r="10" spans="1:9" x14ac:dyDescent="0.3">
      <c r="A10" s="28">
        <v>42559</v>
      </c>
      <c r="B10" s="25">
        <v>286</v>
      </c>
      <c r="C10" s="25">
        <v>0</v>
      </c>
      <c r="D10" s="25">
        <v>407</v>
      </c>
      <c r="E10" s="26">
        <v>0</v>
      </c>
      <c r="F10" s="26">
        <v>0</v>
      </c>
      <c r="G10" s="25">
        <v>0</v>
      </c>
      <c r="H10" s="27">
        <v>4034.92</v>
      </c>
      <c r="I10" s="107" t="s">
        <v>112</v>
      </c>
    </row>
    <row r="11" spans="1:9" x14ac:dyDescent="0.3">
      <c r="A11" s="28">
        <v>42560</v>
      </c>
      <c r="B11" s="25">
        <v>238</v>
      </c>
      <c r="C11" s="25">
        <v>0</v>
      </c>
      <c r="D11" s="25">
        <v>397</v>
      </c>
      <c r="E11" s="26">
        <v>0.05</v>
      </c>
      <c r="F11" s="26">
        <v>0</v>
      </c>
      <c r="G11" s="25">
        <v>0</v>
      </c>
      <c r="H11" s="27">
        <v>4034.92</v>
      </c>
      <c r="I11" s="107" t="s">
        <v>114</v>
      </c>
    </row>
    <row r="12" spans="1:9" x14ac:dyDescent="0.3">
      <c r="A12" s="28">
        <v>42561</v>
      </c>
      <c r="B12" s="25">
        <v>200</v>
      </c>
      <c r="C12" s="25">
        <v>0</v>
      </c>
      <c r="D12" s="25">
        <v>385</v>
      </c>
      <c r="E12" s="26">
        <v>0.02</v>
      </c>
      <c r="F12" s="26">
        <v>0</v>
      </c>
      <c r="G12" s="25">
        <v>0</v>
      </c>
      <c r="H12" s="27">
        <v>4034.91</v>
      </c>
      <c r="I12" s="107"/>
    </row>
    <row r="13" spans="1:9" x14ac:dyDescent="0.3">
      <c r="A13" s="28">
        <v>42562</v>
      </c>
      <c r="B13" s="25">
        <v>271</v>
      </c>
      <c r="C13" s="25">
        <v>0</v>
      </c>
      <c r="D13" s="25">
        <v>420</v>
      </c>
      <c r="E13" s="26">
        <v>0</v>
      </c>
      <c r="F13" s="26">
        <v>0</v>
      </c>
      <c r="G13" s="25">
        <v>0</v>
      </c>
      <c r="H13" s="27">
        <v>4034.9</v>
      </c>
      <c r="I13" s="107" t="s">
        <v>113</v>
      </c>
    </row>
    <row r="14" spans="1:9" x14ac:dyDescent="0.3">
      <c r="A14" s="28">
        <v>42563</v>
      </c>
      <c r="B14" s="25">
        <v>269</v>
      </c>
      <c r="C14" s="25">
        <v>0</v>
      </c>
      <c r="D14" s="25">
        <v>391</v>
      </c>
      <c r="E14" s="26">
        <v>0</v>
      </c>
      <c r="F14" s="26">
        <v>0</v>
      </c>
      <c r="G14" s="25">
        <v>0</v>
      </c>
      <c r="H14" s="27">
        <v>4034.9</v>
      </c>
      <c r="I14" s="107" t="s">
        <v>115</v>
      </c>
    </row>
    <row r="15" spans="1:9" x14ac:dyDescent="0.3">
      <c r="A15" s="28">
        <v>42564</v>
      </c>
      <c r="B15" s="25">
        <v>263</v>
      </c>
      <c r="C15" s="25">
        <v>0</v>
      </c>
      <c r="D15" s="25">
        <v>395</v>
      </c>
      <c r="E15" s="26">
        <v>0</v>
      </c>
      <c r="F15" s="26">
        <v>0</v>
      </c>
      <c r="G15" s="25">
        <v>0</v>
      </c>
      <c r="H15" s="27">
        <v>4034.92</v>
      </c>
      <c r="I15" s="107" t="s">
        <v>116</v>
      </c>
    </row>
    <row r="16" spans="1:9" x14ac:dyDescent="0.3">
      <c r="A16" s="28">
        <v>42565</v>
      </c>
      <c r="B16" s="25">
        <v>313</v>
      </c>
      <c r="C16" s="25">
        <v>0</v>
      </c>
      <c r="D16" s="25">
        <v>373</v>
      </c>
      <c r="E16" s="26">
        <v>0</v>
      </c>
      <c r="F16" s="26">
        <v>0</v>
      </c>
      <c r="G16" s="25">
        <v>0</v>
      </c>
      <c r="H16" s="27">
        <v>4034.92</v>
      </c>
      <c r="I16" s="107" t="s">
        <v>117</v>
      </c>
    </row>
    <row r="17" spans="1:9" x14ac:dyDescent="0.3">
      <c r="A17" s="28">
        <v>42566</v>
      </c>
      <c r="B17" s="25">
        <v>246</v>
      </c>
      <c r="C17" s="25">
        <v>0</v>
      </c>
      <c r="D17" s="25">
        <v>318</v>
      </c>
      <c r="E17" s="26">
        <v>0</v>
      </c>
      <c r="F17" s="26">
        <v>0</v>
      </c>
      <c r="G17" s="25">
        <v>0</v>
      </c>
      <c r="H17" s="27">
        <v>4034.9</v>
      </c>
      <c r="I17" s="107" t="s">
        <v>118</v>
      </c>
    </row>
    <row r="18" spans="1:9" x14ac:dyDescent="0.3">
      <c r="A18" s="28">
        <v>42567</v>
      </c>
      <c r="B18" s="25">
        <v>193</v>
      </c>
      <c r="C18" s="25">
        <v>9</v>
      </c>
      <c r="D18" s="25">
        <v>319</v>
      </c>
      <c r="E18" s="26">
        <v>0</v>
      </c>
      <c r="F18" s="26">
        <v>0</v>
      </c>
      <c r="G18" s="25">
        <v>0</v>
      </c>
      <c r="H18" s="27">
        <v>4034.88</v>
      </c>
      <c r="I18" s="107" t="s">
        <v>119</v>
      </c>
    </row>
    <row r="19" spans="1:9" x14ac:dyDescent="0.3">
      <c r="A19" s="28">
        <v>42568</v>
      </c>
      <c r="B19" s="25">
        <v>161</v>
      </c>
      <c r="C19" s="25">
        <v>0</v>
      </c>
      <c r="D19" s="25">
        <v>321</v>
      </c>
      <c r="E19" s="26">
        <v>0</v>
      </c>
      <c r="F19" s="26">
        <v>0</v>
      </c>
      <c r="G19" s="25">
        <v>0</v>
      </c>
      <c r="H19" s="27">
        <v>4034.86</v>
      </c>
      <c r="I19" s="107" t="s">
        <v>120</v>
      </c>
    </row>
    <row r="20" spans="1:9" x14ac:dyDescent="0.3">
      <c r="A20" s="28">
        <v>42569</v>
      </c>
      <c r="B20" s="25">
        <v>217</v>
      </c>
      <c r="C20" s="25">
        <v>0</v>
      </c>
      <c r="D20" s="25">
        <v>402</v>
      </c>
      <c r="E20" s="26">
        <v>0</v>
      </c>
      <c r="F20" s="26">
        <v>0</v>
      </c>
      <c r="G20" s="25">
        <v>0</v>
      </c>
      <c r="H20" s="27">
        <v>4034.85</v>
      </c>
      <c r="I20" s="107" t="s">
        <v>121</v>
      </c>
    </row>
    <row r="21" spans="1:9" x14ac:dyDescent="0.3">
      <c r="A21" s="28">
        <v>42570</v>
      </c>
      <c r="B21" s="25">
        <v>285</v>
      </c>
      <c r="C21" s="25">
        <v>0</v>
      </c>
      <c r="D21" s="25">
        <v>421</v>
      </c>
      <c r="E21" s="26">
        <v>0</v>
      </c>
      <c r="F21" s="26">
        <v>0</v>
      </c>
      <c r="G21" s="25">
        <v>0</v>
      </c>
      <c r="H21" s="27">
        <v>4034.84</v>
      </c>
      <c r="I21" s="107" t="s">
        <v>122</v>
      </c>
    </row>
    <row r="22" spans="1:9" x14ac:dyDescent="0.3">
      <c r="A22" s="28">
        <v>42571</v>
      </c>
      <c r="B22" s="25">
        <v>375</v>
      </c>
      <c r="C22" s="25">
        <v>0</v>
      </c>
      <c r="D22" s="25">
        <v>431</v>
      </c>
      <c r="E22" s="26">
        <v>0</v>
      </c>
      <c r="F22" s="26">
        <v>0</v>
      </c>
      <c r="G22" s="25">
        <v>0</v>
      </c>
      <c r="H22" s="27">
        <v>4034.83</v>
      </c>
      <c r="I22" s="107" t="s">
        <v>123</v>
      </c>
    </row>
    <row r="23" spans="1:9" x14ac:dyDescent="0.3">
      <c r="A23" s="28">
        <v>42572</v>
      </c>
      <c r="B23" s="25">
        <v>350</v>
      </c>
      <c r="C23" s="25">
        <v>0</v>
      </c>
      <c r="D23" s="25">
        <v>441</v>
      </c>
      <c r="E23" s="26">
        <v>0</v>
      </c>
      <c r="F23" s="26">
        <v>0</v>
      </c>
      <c r="G23" s="25">
        <v>0</v>
      </c>
      <c r="H23" s="27">
        <v>4034.82</v>
      </c>
      <c r="I23" s="107"/>
    </row>
    <row r="24" spans="1:9" x14ac:dyDescent="0.3">
      <c r="A24" s="28">
        <v>42573</v>
      </c>
      <c r="B24" s="25">
        <v>350</v>
      </c>
      <c r="C24" s="25">
        <v>0</v>
      </c>
      <c r="D24" s="25">
        <v>474</v>
      </c>
      <c r="E24" s="26">
        <v>0</v>
      </c>
      <c r="F24" s="26">
        <v>0</v>
      </c>
      <c r="G24" s="25">
        <v>0</v>
      </c>
      <c r="H24" s="27">
        <v>4034.81</v>
      </c>
      <c r="I24" s="107"/>
    </row>
    <row r="25" spans="1:9" x14ac:dyDescent="0.3">
      <c r="A25" s="28">
        <v>42574</v>
      </c>
      <c r="B25" s="25">
        <v>350</v>
      </c>
      <c r="C25" s="25">
        <v>0</v>
      </c>
      <c r="D25" s="25">
        <v>489</v>
      </c>
      <c r="E25" s="26">
        <v>0</v>
      </c>
      <c r="F25" s="26">
        <v>0</v>
      </c>
      <c r="G25" s="25">
        <v>0</v>
      </c>
      <c r="H25" s="27">
        <v>4034.8</v>
      </c>
      <c r="I25" s="107"/>
    </row>
    <row r="26" spans="1:9" x14ac:dyDescent="0.3">
      <c r="A26" s="28">
        <v>42575</v>
      </c>
      <c r="B26" s="25">
        <v>331</v>
      </c>
      <c r="C26" s="25">
        <v>0</v>
      </c>
      <c r="D26" s="25">
        <v>469</v>
      </c>
      <c r="E26" s="26">
        <v>0</v>
      </c>
      <c r="F26" s="26">
        <v>0</v>
      </c>
      <c r="G26" s="25">
        <v>0</v>
      </c>
      <c r="H26" s="27">
        <v>4034.79</v>
      </c>
      <c r="I26" s="107" t="s">
        <v>124</v>
      </c>
    </row>
    <row r="27" spans="1:9" x14ac:dyDescent="0.3">
      <c r="A27" s="28">
        <v>42576</v>
      </c>
      <c r="B27" s="25">
        <v>300</v>
      </c>
      <c r="C27" s="25">
        <v>0</v>
      </c>
      <c r="D27" s="25">
        <v>462</v>
      </c>
      <c r="E27" s="26">
        <v>0</v>
      </c>
      <c r="F27" s="26">
        <v>0</v>
      </c>
      <c r="G27" s="25">
        <v>0</v>
      </c>
      <c r="H27" s="27">
        <v>4034.78</v>
      </c>
    </row>
    <row r="28" spans="1:9" x14ac:dyDescent="0.3">
      <c r="A28" s="28">
        <v>42577</v>
      </c>
      <c r="B28" s="25">
        <v>252</v>
      </c>
      <c r="C28" s="25">
        <v>24</v>
      </c>
      <c r="D28" s="25">
        <v>450</v>
      </c>
      <c r="E28" s="26">
        <v>0</v>
      </c>
      <c r="F28" s="26">
        <v>0</v>
      </c>
      <c r="G28" s="25">
        <v>0</v>
      </c>
      <c r="H28" s="27">
        <v>4034.75</v>
      </c>
      <c r="I28" s="107" t="s">
        <v>125</v>
      </c>
    </row>
    <row r="29" spans="1:9" x14ac:dyDescent="0.3">
      <c r="A29" s="28">
        <v>42578</v>
      </c>
      <c r="B29" s="25">
        <v>271</v>
      </c>
      <c r="C29" s="25">
        <v>2</v>
      </c>
      <c r="D29" s="25">
        <v>438</v>
      </c>
      <c r="E29" s="26">
        <v>0</v>
      </c>
      <c r="F29" s="26">
        <v>0</v>
      </c>
      <c r="G29" s="25">
        <v>0</v>
      </c>
      <c r="H29" s="27">
        <v>4034.72</v>
      </c>
      <c r="I29" s="107" t="s">
        <v>113</v>
      </c>
    </row>
    <row r="30" spans="1:9" x14ac:dyDescent="0.3">
      <c r="A30" s="28">
        <v>42579</v>
      </c>
      <c r="B30" s="25">
        <v>300</v>
      </c>
      <c r="C30" s="25">
        <v>0</v>
      </c>
      <c r="D30" s="25">
        <v>416</v>
      </c>
      <c r="E30" s="26">
        <v>0</v>
      </c>
      <c r="F30" s="26">
        <v>0</v>
      </c>
      <c r="G30" s="25">
        <v>0</v>
      </c>
      <c r="H30" s="27">
        <v>4034.7</v>
      </c>
      <c r="I30" s="107"/>
    </row>
    <row r="31" spans="1:9" x14ac:dyDescent="0.3">
      <c r="A31" s="28">
        <v>42580</v>
      </c>
      <c r="B31" s="25">
        <v>330</v>
      </c>
      <c r="C31" s="25">
        <v>0</v>
      </c>
      <c r="D31" s="25">
        <v>421</v>
      </c>
      <c r="E31" s="26">
        <v>0</v>
      </c>
      <c r="F31" s="26">
        <v>0</v>
      </c>
      <c r="G31" s="25">
        <v>0</v>
      </c>
      <c r="H31" s="27">
        <v>4034.68</v>
      </c>
      <c r="I31" s="107" t="s">
        <v>126</v>
      </c>
    </row>
    <row r="32" spans="1:9" x14ac:dyDescent="0.3">
      <c r="A32" s="28">
        <v>42581</v>
      </c>
      <c r="B32" s="25">
        <v>263</v>
      </c>
      <c r="C32" s="25">
        <v>0</v>
      </c>
      <c r="D32" s="25">
        <v>373</v>
      </c>
      <c r="E32" s="26">
        <v>0</v>
      </c>
      <c r="F32" s="26">
        <v>0</v>
      </c>
      <c r="G32" s="25">
        <v>0</v>
      </c>
      <c r="H32" s="27">
        <v>4034.66</v>
      </c>
      <c r="I32" s="107" t="s">
        <v>127</v>
      </c>
    </row>
    <row r="33" spans="1:14" ht="15" thickBot="1" x14ac:dyDescent="0.35">
      <c r="A33" s="28">
        <v>42582</v>
      </c>
      <c r="B33" s="25">
        <v>200</v>
      </c>
      <c r="C33" s="25">
        <v>0</v>
      </c>
      <c r="D33" s="25">
        <v>363</v>
      </c>
      <c r="E33" s="26">
        <v>0</v>
      </c>
      <c r="F33" s="26">
        <v>0</v>
      </c>
      <c r="G33" s="25">
        <v>0</v>
      </c>
      <c r="H33" s="27">
        <v>4034.64</v>
      </c>
      <c r="I33" s="107"/>
    </row>
    <row r="34" spans="1:14" s="11" customFormat="1" ht="15" thickTop="1" x14ac:dyDescent="0.3">
      <c r="A34" s="16" t="s">
        <v>8</v>
      </c>
      <c r="B34" s="17">
        <f t="shared" ref="B34:G34" si="0">SUM(B3:B33)</f>
        <v>8443</v>
      </c>
      <c r="C34" s="17">
        <f t="shared" si="0"/>
        <v>44</v>
      </c>
      <c r="D34" s="17">
        <f t="shared" si="0"/>
        <v>12319</v>
      </c>
      <c r="E34" s="18">
        <f t="shared" si="0"/>
        <v>7.0000000000000007E-2</v>
      </c>
      <c r="F34" s="18">
        <f t="shared" si="0"/>
        <v>0</v>
      </c>
      <c r="G34" s="17">
        <f t="shared" si="0"/>
        <v>0</v>
      </c>
      <c r="H34" s="18"/>
    </row>
    <row r="35" spans="1:14" s="11" customFormat="1" x14ac:dyDescent="0.3">
      <c r="A35" s="19" t="s">
        <v>9</v>
      </c>
      <c r="B35" s="20">
        <f>SUM(B34+'Jun 2016'!B34)</f>
        <v>23990</v>
      </c>
      <c r="C35" s="20">
        <f>SUM(C34+'Jun 2016'!C34)</f>
        <v>6198</v>
      </c>
      <c r="D35" s="20">
        <f>SUM(D34+'Jun 2016'!D34)</f>
        <v>43053</v>
      </c>
      <c r="E35" s="21">
        <f>SUM(E34+'Jun 2016'!E34)</f>
        <v>12.47</v>
      </c>
      <c r="F35" s="21">
        <f>SUM(F34+'Jun 2016'!F34)</f>
        <v>22.689999999999998</v>
      </c>
      <c r="G35" s="20">
        <f>SUM(G34+'Jun 2016'!G34)</f>
        <v>21182</v>
      </c>
      <c r="H35" s="21"/>
    </row>
    <row r="37" spans="1:14" x14ac:dyDescent="0.3">
      <c r="A37" t="s">
        <v>10</v>
      </c>
      <c r="B37" s="23">
        <f>SUM(B3:B33)*1.9835</f>
        <v>16746.690500000001</v>
      </c>
      <c r="C37" s="23">
        <f>SUM(C3:C33)*1.9835</f>
        <v>87.274000000000001</v>
      </c>
      <c r="D37" s="23">
        <f>SUM(D3:D33)*1.9835</f>
        <v>24434.736499999999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SUM(B37+'Jun 2016'!B38)</f>
        <v>49904.86</v>
      </c>
      <c r="C39" s="23">
        <f>SUM(C37+'Jun 2016'!C38)</f>
        <v>13537.387500000003</v>
      </c>
      <c r="D39" s="23">
        <f>SUM(D37+'Jun 2016'!D38)</f>
        <v>92347.793000000005</v>
      </c>
      <c r="E39" s="23"/>
      <c r="F39" s="23"/>
      <c r="G39" s="23"/>
    </row>
    <row r="41" spans="1:14" ht="17.399999999999999" customHeight="1" x14ac:dyDescent="0.3">
      <c r="A41" s="112"/>
      <c r="B41" s="112"/>
      <c r="C41" s="112"/>
      <c r="D41" s="112"/>
      <c r="E41" s="112"/>
      <c r="F41" s="113"/>
      <c r="G41" s="114" t="s">
        <v>12</v>
      </c>
      <c r="H41" s="115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14"/>
      <c r="H42" s="115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16" t="s">
        <v>23</v>
      </c>
      <c r="B43" s="116"/>
      <c r="C43" s="116"/>
      <c r="D43" s="116"/>
      <c r="E43" s="116"/>
      <c r="F43" s="116"/>
      <c r="G43" s="116"/>
      <c r="H43" s="116"/>
      <c r="I43" s="117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18" t="s">
        <v>21</v>
      </c>
      <c r="B58" s="119"/>
      <c r="C58" s="120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2.10937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76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42522</v>
      </c>
      <c r="B3" s="25">
        <v>220</v>
      </c>
      <c r="C3" s="25">
        <v>0</v>
      </c>
      <c r="D3" s="25">
        <v>336</v>
      </c>
      <c r="E3" s="26">
        <v>0</v>
      </c>
      <c r="F3" s="26">
        <v>0</v>
      </c>
      <c r="G3" s="25">
        <v>301</v>
      </c>
      <c r="H3" s="27">
        <v>4035.15</v>
      </c>
      <c r="I3" s="107" t="s">
        <v>83</v>
      </c>
    </row>
    <row r="4" spans="1:9" x14ac:dyDescent="0.3">
      <c r="A4" s="28">
        <v>42523</v>
      </c>
      <c r="B4" s="25">
        <v>233</v>
      </c>
      <c r="C4" s="25">
        <v>0</v>
      </c>
      <c r="D4" s="25">
        <v>371</v>
      </c>
      <c r="E4" s="26">
        <v>0</v>
      </c>
      <c r="F4" s="26">
        <v>0</v>
      </c>
      <c r="G4" s="25">
        <v>301</v>
      </c>
      <c r="H4" s="27">
        <v>4035.14</v>
      </c>
      <c r="I4" s="107" t="s">
        <v>84</v>
      </c>
    </row>
    <row r="5" spans="1:9" x14ac:dyDescent="0.3">
      <c r="A5" s="28">
        <v>42524</v>
      </c>
      <c r="B5" s="25">
        <v>200</v>
      </c>
      <c r="C5" s="25">
        <v>0</v>
      </c>
      <c r="D5" s="25">
        <v>368</v>
      </c>
      <c r="E5" s="26">
        <v>0</v>
      </c>
      <c r="F5" s="26">
        <v>0</v>
      </c>
      <c r="G5" s="25">
        <v>301</v>
      </c>
      <c r="H5" s="27">
        <v>4035.1</v>
      </c>
      <c r="I5" s="107"/>
    </row>
    <row r="6" spans="1:9" x14ac:dyDescent="0.3">
      <c r="A6" s="28">
        <v>42525</v>
      </c>
      <c r="B6" s="25">
        <v>200</v>
      </c>
      <c r="C6" s="25">
        <v>0</v>
      </c>
      <c r="D6" s="25">
        <v>367</v>
      </c>
      <c r="E6" s="26">
        <v>0</v>
      </c>
      <c r="F6" s="26">
        <v>0</v>
      </c>
      <c r="G6" s="25">
        <v>301</v>
      </c>
      <c r="H6" s="27">
        <v>4035.06</v>
      </c>
      <c r="I6" s="107"/>
    </row>
    <row r="7" spans="1:9" x14ac:dyDescent="0.3">
      <c r="A7" s="28">
        <v>42526</v>
      </c>
      <c r="B7" s="25">
        <v>186</v>
      </c>
      <c r="C7" s="25">
        <v>0</v>
      </c>
      <c r="D7" s="25">
        <v>331</v>
      </c>
      <c r="E7" s="26">
        <v>0</v>
      </c>
      <c r="F7" s="26">
        <v>0</v>
      </c>
      <c r="G7" s="25">
        <v>301</v>
      </c>
      <c r="H7" s="27">
        <v>4035</v>
      </c>
      <c r="I7" s="107" t="s">
        <v>85</v>
      </c>
    </row>
    <row r="8" spans="1:9" x14ac:dyDescent="0.3">
      <c r="A8" s="28">
        <v>42527</v>
      </c>
      <c r="B8" s="25">
        <v>150</v>
      </c>
      <c r="C8" s="25">
        <v>6</v>
      </c>
      <c r="D8" s="25">
        <v>344</v>
      </c>
      <c r="E8" s="26">
        <v>0</v>
      </c>
      <c r="F8" s="26">
        <v>0</v>
      </c>
      <c r="G8" s="25">
        <v>101</v>
      </c>
      <c r="H8" s="27">
        <v>4035</v>
      </c>
      <c r="I8" s="107" t="s">
        <v>86</v>
      </c>
    </row>
    <row r="9" spans="1:9" x14ac:dyDescent="0.3">
      <c r="A9" s="28">
        <v>42528</v>
      </c>
      <c r="B9" s="25">
        <v>258</v>
      </c>
      <c r="C9" s="25">
        <v>0</v>
      </c>
      <c r="D9" s="25">
        <v>403</v>
      </c>
      <c r="E9" s="26">
        <v>0</v>
      </c>
      <c r="F9" s="26">
        <v>0</v>
      </c>
      <c r="G9" s="25">
        <v>0</v>
      </c>
      <c r="H9" s="27">
        <v>4035</v>
      </c>
      <c r="I9" s="107" t="s">
        <v>87</v>
      </c>
    </row>
    <row r="10" spans="1:9" x14ac:dyDescent="0.3">
      <c r="A10" s="28">
        <v>42529</v>
      </c>
      <c r="B10" s="25">
        <v>427</v>
      </c>
      <c r="C10" s="25">
        <v>0</v>
      </c>
      <c r="D10" s="25">
        <v>496</v>
      </c>
      <c r="E10" s="26">
        <v>0</v>
      </c>
      <c r="F10" s="26">
        <v>0</v>
      </c>
      <c r="G10" s="25">
        <v>0</v>
      </c>
      <c r="H10" s="27">
        <v>4035</v>
      </c>
      <c r="I10" s="107" t="s">
        <v>88</v>
      </c>
    </row>
    <row r="11" spans="1:9" x14ac:dyDescent="0.3">
      <c r="A11" s="28">
        <v>42530</v>
      </c>
      <c r="B11" s="25">
        <v>444</v>
      </c>
      <c r="C11" s="25">
        <v>0</v>
      </c>
      <c r="D11" s="25">
        <v>535</v>
      </c>
      <c r="E11" s="26">
        <v>0</v>
      </c>
      <c r="F11" s="26">
        <v>0</v>
      </c>
      <c r="G11" s="25">
        <v>0</v>
      </c>
      <c r="H11" s="27">
        <v>4035</v>
      </c>
      <c r="I11" s="107" t="s">
        <v>89</v>
      </c>
    </row>
    <row r="12" spans="1:9" x14ac:dyDescent="0.3">
      <c r="A12" s="28">
        <v>42531</v>
      </c>
      <c r="B12" s="109">
        <v>450</v>
      </c>
      <c r="C12" s="25">
        <v>0</v>
      </c>
      <c r="D12" s="25">
        <v>608</v>
      </c>
      <c r="E12" s="26">
        <v>0</v>
      </c>
      <c r="F12" s="26">
        <v>0</v>
      </c>
      <c r="G12" s="25">
        <v>0</v>
      </c>
      <c r="H12" s="27">
        <v>4035</v>
      </c>
    </row>
    <row r="13" spans="1:9" x14ac:dyDescent="0.3">
      <c r="A13" s="28">
        <v>42532</v>
      </c>
      <c r="B13" s="25">
        <v>410</v>
      </c>
      <c r="C13" s="25">
        <v>3</v>
      </c>
      <c r="D13" s="25">
        <v>541</v>
      </c>
      <c r="E13" s="26">
        <v>0</v>
      </c>
      <c r="F13" s="26">
        <v>0</v>
      </c>
      <c r="G13" s="25">
        <v>0</v>
      </c>
      <c r="H13" s="27">
        <v>4034.98</v>
      </c>
      <c r="I13" s="107" t="s">
        <v>90</v>
      </c>
    </row>
    <row r="14" spans="1:9" x14ac:dyDescent="0.3">
      <c r="A14" s="28">
        <v>42533</v>
      </c>
      <c r="B14" s="25">
        <v>394</v>
      </c>
      <c r="C14" s="25">
        <v>3</v>
      </c>
      <c r="D14" s="25">
        <v>514</v>
      </c>
      <c r="E14" s="26">
        <v>0</v>
      </c>
      <c r="F14" s="26">
        <v>0</v>
      </c>
      <c r="G14" s="25">
        <v>0</v>
      </c>
      <c r="H14" s="27">
        <v>4034.98</v>
      </c>
      <c r="I14" s="107" t="s">
        <v>91</v>
      </c>
    </row>
    <row r="15" spans="1:9" x14ac:dyDescent="0.3">
      <c r="A15" s="28">
        <v>42534</v>
      </c>
      <c r="B15" s="25">
        <v>379</v>
      </c>
      <c r="C15" s="25">
        <v>6</v>
      </c>
      <c r="D15" s="25">
        <v>556</v>
      </c>
      <c r="E15" s="26">
        <v>0</v>
      </c>
      <c r="F15" s="26">
        <v>0</v>
      </c>
      <c r="G15" s="25">
        <v>0</v>
      </c>
      <c r="H15" s="27">
        <v>4034.98</v>
      </c>
      <c r="I15" s="107" t="s">
        <v>92</v>
      </c>
    </row>
    <row r="16" spans="1:9" x14ac:dyDescent="0.3">
      <c r="A16" s="28">
        <v>42535</v>
      </c>
      <c r="B16" s="25">
        <v>423</v>
      </c>
      <c r="C16" s="25">
        <v>0</v>
      </c>
      <c r="D16" s="25">
        <v>549</v>
      </c>
      <c r="E16" s="26">
        <v>0</v>
      </c>
      <c r="F16" s="26">
        <v>0</v>
      </c>
      <c r="G16" s="25">
        <v>0</v>
      </c>
      <c r="H16" s="27">
        <v>4034.98</v>
      </c>
      <c r="I16" s="107" t="s">
        <v>93</v>
      </c>
    </row>
    <row r="17" spans="1:9" x14ac:dyDescent="0.3">
      <c r="A17" s="28">
        <v>42536</v>
      </c>
      <c r="B17" s="25">
        <v>450</v>
      </c>
      <c r="C17" s="25">
        <v>0</v>
      </c>
      <c r="D17" s="25">
        <v>513</v>
      </c>
      <c r="E17" s="26">
        <v>0.23</v>
      </c>
      <c r="F17" s="26">
        <v>0</v>
      </c>
      <c r="G17" s="25">
        <v>0</v>
      </c>
      <c r="H17" s="27">
        <v>4034.97</v>
      </c>
      <c r="I17" s="107"/>
    </row>
    <row r="18" spans="1:9" x14ac:dyDescent="0.3">
      <c r="A18" s="28">
        <v>42537</v>
      </c>
      <c r="B18" s="25">
        <v>435</v>
      </c>
      <c r="C18" s="25">
        <v>0</v>
      </c>
      <c r="D18" s="25">
        <v>484</v>
      </c>
      <c r="E18" s="26">
        <v>0.18</v>
      </c>
      <c r="F18" s="26">
        <v>0</v>
      </c>
      <c r="G18" s="25">
        <v>0</v>
      </c>
      <c r="H18" s="27">
        <v>4034.96</v>
      </c>
      <c r="I18" s="107" t="s">
        <v>94</v>
      </c>
    </row>
    <row r="19" spans="1:9" x14ac:dyDescent="0.3">
      <c r="A19" s="28">
        <v>42538</v>
      </c>
      <c r="B19" s="25">
        <v>350</v>
      </c>
      <c r="C19" s="25">
        <v>0</v>
      </c>
      <c r="D19" s="25">
        <v>456</v>
      </c>
      <c r="E19" s="26">
        <v>0.2</v>
      </c>
      <c r="F19" s="26">
        <v>0</v>
      </c>
      <c r="G19" s="25">
        <v>0</v>
      </c>
      <c r="H19" s="27">
        <v>4034.96</v>
      </c>
      <c r="I19" s="107"/>
    </row>
    <row r="20" spans="1:9" x14ac:dyDescent="0.3">
      <c r="A20" s="28">
        <v>42539</v>
      </c>
      <c r="B20" s="25">
        <v>250</v>
      </c>
      <c r="C20" s="25">
        <v>13</v>
      </c>
      <c r="D20" s="25">
        <v>370</v>
      </c>
      <c r="E20" s="26">
        <v>0.8</v>
      </c>
      <c r="F20" s="26">
        <v>0</v>
      </c>
      <c r="G20" s="25">
        <v>0</v>
      </c>
      <c r="H20" s="27">
        <v>4035</v>
      </c>
      <c r="I20" s="107" t="s">
        <v>95</v>
      </c>
    </row>
    <row r="21" spans="1:9" x14ac:dyDescent="0.3">
      <c r="A21" s="28">
        <v>42540</v>
      </c>
      <c r="B21" s="25">
        <v>150</v>
      </c>
      <c r="C21" s="25">
        <v>20</v>
      </c>
      <c r="D21" s="25">
        <v>270</v>
      </c>
      <c r="E21" s="26">
        <v>0.01</v>
      </c>
      <c r="F21" s="26">
        <v>0</v>
      </c>
      <c r="G21" s="25">
        <v>0</v>
      </c>
      <c r="H21" s="27">
        <v>4035.02</v>
      </c>
      <c r="I21" s="107"/>
    </row>
    <row r="22" spans="1:9" x14ac:dyDescent="0.3">
      <c r="A22" s="28">
        <v>42541</v>
      </c>
      <c r="B22" s="25">
        <v>97</v>
      </c>
      <c r="C22" s="25">
        <v>18</v>
      </c>
      <c r="D22" s="25">
        <v>246</v>
      </c>
      <c r="E22" s="26">
        <v>0</v>
      </c>
      <c r="F22" s="26">
        <v>0</v>
      </c>
      <c r="G22" s="25">
        <v>0</v>
      </c>
      <c r="H22" s="27">
        <v>4035.05</v>
      </c>
      <c r="I22" s="107" t="s">
        <v>96</v>
      </c>
    </row>
    <row r="23" spans="1:9" x14ac:dyDescent="0.3">
      <c r="A23" s="28">
        <v>42542</v>
      </c>
      <c r="B23" s="25">
        <v>81</v>
      </c>
      <c r="C23" s="25">
        <v>0</v>
      </c>
      <c r="D23" s="25">
        <v>236</v>
      </c>
      <c r="E23" s="26">
        <v>0</v>
      </c>
      <c r="F23" s="26">
        <v>0</v>
      </c>
      <c r="G23" s="25">
        <v>0</v>
      </c>
      <c r="H23" s="27">
        <v>40235.06</v>
      </c>
      <c r="I23" s="107" t="s">
        <v>97</v>
      </c>
    </row>
    <row r="24" spans="1:9" x14ac:dyDescent="0.3">
      <c r="A24" s="28">
        <v>42543</v>
      </c>
      <c r="B24" s="25">
        <v>169</v>
      </c>
      <c r="C24" s="25">
        <v>0</v>
      </c>
      <c r="D24" s="25">
        <v>250</v>
      </c>
      <c r="E24" s="26">
        <v>0</v>
      </c>
      <c r="F24" s="26">
        <v>0</v>
      </c>
      <c r="G24" s="25">
        <v>0</v>
      </c>
      <c r="H24" s="27">
        <v>4035.07</v>
      </c>
      <c r="I24" s="107" t="s">
        <v>98</v>
      </c>
    </row>
    <row r="25" spans="1:9" x14ac:dyDescent="0.3">
      <c r="A25" s="28">
        <v>42544</v>
      </c>
      <c r="B25" s="25">
        <v>221</v>
      </c>
      <c r="C25" s="25">
        <v>0</v>
      </c>
      <c r="D25" s="25">
        <v>325</v>
      </c>
      <c r="E25" s="26">
        <v>0</v>
      </c>
      <c r="F25" s="26">
        <v>0</v>
      </c>
      <c r="G25" s="25">
        <v>0</v>
      </c>
      <c r="H25" s="27">
        <v>4035.06</v>
      </c>
      <c r="I25" s="107" t="s">
        <v>99</v>
      </c>
    </row>
    <row r="26" spans="1:9" x14ac:dyDescent="0.3">
      <c r="A26" s="28">
        <v>42545</v>
      </c>
      <c r="B26" s="25">
        <v>384</v>
      </c>
      <c r="C26" s="25">
        <v>0</v>
      </c>
      <c r="D26" s="25">
        <v>407</v>
      </c>
      <c r="E26" s="26">
        <v>0</v>
      </c>
      <c r="F26" s="26">
        <v>0</v>
      </c>
      <c r="G26" s="25">
        <v>0</v>
      </c>
      <c r="H26" s="27">
        <v>4035.04</v>
      </c>
      <c r="I26" s="107" t="s">
        <v>100</v>
      </c>
    </row>
    <row r="27" spans="1:9" x14ac:dyDescent="0.3">
      <c r="A27" s="28">
        <v>42546</v>
      </c>
      <c r="B27" s="25">
        <v>379</v>
      </c>
      <c r="C27" s="25">
        <v>0</v>
      </c>
      <c r="D27" s="25">
        <v>448</v>
      </c>
      <c r="E27" s="26">
        <v>0</v>
      </c>
      <c r="F27" s="26">
        <v>0</v>
      </c>
      <c r="G27" s="25">
        <v>0</v>
      </c>
      <c r="H27" s="27">
        <v>4035.02</v>
      </c>
      <c r="I27" s="107" t="s">
        <v>101</v>
      </c>
    </row>
    <row r="28" spans="1:9" x14ac:dyDescent="0.3">
      <c r="A28" s="28">
        <v>42547</v>
      </c>
      <c r="B28" s="25">
        <v>300</v>
      </c>
      <c r="C28" s="25">
        <v>12</v>
      </c>
      <c r="D28" s="25">
        <v>395</v>
      </c>
      <c r="E28" s="26">
        <v>0</v>
      </c>
      <c r="F28" s="26">
        <v>0</v>
      </c>
      <c r="G28" s="25">
        <v>0</v>
      </c>
      <c r="H28" s="27">
        <v>4035</v>
      </c>
      <c r="I28" s="107"/>
    </row>
    <row r="29" spans="1:9" x14ac:dyDescent="0.3">
      <c r="A29" s="28">
        <v>42548</v>
      </c>
      <c r="B29" s="25">
        <v>285</v>
      </c>
      <c r="C29" s="25">
        <v>6</v>
      </c>
      <c r="D29" s="25">
        <v>411</v>
      </c>
      <c r="E29" s="26">
        <v>0</v>
      </c>
      <c r="F29" s="26">
        <v>0</v>
      </c>
      <c r="G29" s="25">
        <v>0</v>
      </c>
      <c r="H29" s="27">
        <v>4035</v>
      </c>
      <c r="I29" s="107" t="s">
        <v>102</v>
      </c>
    </row>
    <row r="30" spans="1:9" x14ac:dyDescent="0.3">
      <c r="A30" s="28">
        <v>42549</v>
      </c>
      <c r="B30" s="25">
        <v>363</v>
      </c>
      <c r="C30" s="25">
        <v>0</v>
      </c>
      <c r="D30" s="25">
        <v>456</v>
      </c>
      <c r="E30" s="26">
        <v>0</v>
      </c>
      <c r="F30" s="26">
        <v>0</v>
      </c>
      <c r="G30" s="25">
        <v>0</v>
      </c>
      <c r="H30" s="27">
        <v>4034.98</v>
      </c>
      <c r="I30" s="107" t="s">
        <v>103</v>
      </c>
    </row>
    <row r="31" spans="1:9" x14ac:dyDescent="0.3">
      <c r="A31" s="28">
        <v>42550</v>
      </c>
      <c r="B31" s="25">
        <v>365</v>
      </c>
      <c r="C31" s="25">
        <v>0</v>
      </c>
      <c r="D31" s="25">
        <v>462</v>
      </c>
      <c r="E31" s="26">
        <v>0</v>
      </c>
      <c r="F31" s="26">
        <v>0</v>
      </c>
      <c r="G31" s="25">
        <v>0</v>
      </c>
      <c r="H31" s="27">
        <v>4034.96</v>
      </c>
      <c r="I31" s="107" t="s">
        <v>104</v>
      </c>
    </row>
    <row r="32" spans="1:9" ht="15" thickBot="1" x14ac:dyDescent="0.35">
      <c r="A32" s="28">
        <v>42551</v>
      </c>
      <c r="B32" s="25">
        <v>352</v>
      </c>
      <c r="C32" s="25">
        <v>0</v>
      </c>
      <c r="D32" s="25">
        <v>437</v>
      </c>
      <c r="E32" s="26">
        <v>0</v>
      </c>
      <c r="F32" s="26">
        <v>0</v>
      </c>
      <c r="G32" s="25">
        <v>0</v>
      </c>
      <c r="H32" s="27">
        <v>4034.95</v>
      </c>
      <c r="I32" s="107" t="s">
        <v>105</v>
      </c>
    </row>
    <row r="33" spans="1:14" s="11" customFormat="1" ht="15" thickTop="1" x14ac:dyDescent="0.3">
      <c r="A33" s="16" t="s">
        <v>8</v>
      </c>
      <c r="B33" s="17">
        <f t="shared" ref="B33:G33" si="0">SUM(B3:B32)</f>
        <v>9005</v>
      </c>
      <c r="C33" s="17">
        <f t="shared" si="0"/>
        <v>87</v>
      </c>
      <c r="D33" s="17">
        <f t="shared" si="0"/>
        <v>12485</v>
      </c>
      <c r="E33" s="18">
        <f t="shared" si="0"/>
        <v>1.4200000000000002</v>
      </c>
      <c r="F33" s="18">
        <f t="shared" si="0"/>
        <v>0</v>
      </c>
      <c r="G33" s="17">
        <f t="shared" si="0"/>
        <v>1606</v>
      </c>
      <c r="H33" s="18"/>
    </row>
    <row r="34" spans="1:14" s="11" customFormat="1" x14ac:dyDescent="0.3">
      <c r="A34" s="19" t="s">
        <v>9</v>
      </c>
      <c r="B34" s="20">
        <f>SUM(B33+'May 2016'!B35)</f>
        <v>15547</v>
      </c>
      <c r="C34" s="20">
        <f>SUM(C33+'May 2016'!C35)</f>
        <v>6154</v>
      </c>
      <c r="D34" s="20">
        <f>SUM(D33+'May 2016'!D35)</f>
        <v>30734</v>
      </c>
      <c r="E34" s="21">
        <f>SUM(E33+'May 2016'!E35)</f>
        <v>12.4</v>
      </c>
      <c r="F34" s="21">
        <f>SUM(F33+'May 2016'!F35)</f>
        <v>22.689999999999998</v>
      </c>
      <c r="G34" s="20">
        <f>SUM(G33+'May 2016'!G35)</f>
        <v>21182</v>
      </c>
      <c r="H34" s="21"/>
    </row>
    <row r="36" spans="1:14" x14ac:dyDescent="0.3">
      <c r="A36" t="s">
        <v>10</v>
      </c>
      <c r="B36" s="23">
        <f>SUM(B3:B32)*1.9835</f>
        <v>17861.4175</v>
      </c>
      <c r="C36" s="23">
        <f>SUM(C3:C32)*1.9835</f>
        <v>172.56450000000001</v>
      </c>
      <c r="D36" s="23">
        <f>SUM(D3:D32)*1.9835</f>
        <v>24763.997500000001</v>
      </c>
      <c r="E36" s="23"/>
      <c r="F36" s="23"/>
      <c r="G36" s="23"/>
      <c r="I36" s="22"/>
    </row>
    <row r="38" spans="1:14" x14ac:dyDescent="0.3">
      <c r="A38" t="s">
        <v>24</v>
      </c>
      <c r="B38" s="23">
        <f>SUM(B36+'May 2016'!B39)</f>
        <v>33158.169500000004</v>
      </c>
      <c r="C38" s="23">
        <f>SUM(C36+'May 2016'!C39)</f>
        <v>13450.113500000003</v>
      </c>
      <c r="D38" s="23">
        <f>SUM(D36+'May 2016'!D39)</f>
        <v>67913.056500000006</v>
      </c>
      <c r="E38" s="23"/>
      <c r="F38" s="23"/>
      <c r="G38" s="23"/>
      <c r="I38" s="22"/>
    </row>
    <row r="40" spans="1:14" ht="17.399999999999999" customHeight="1" x14ac:dyDescent="0.3">
      <c r="A40" s="112"/>
      <c r="B40" s="112"/>
      <c r="C40" s="112"/>
      <c r="D40" s="112"/>
      <c r="E40" s="112"/>
      <c r="F40" s="113"/>
      <c r="G40" s="114" t="s">
        <v>12</v>
      </c>
      <c r="H40" s="115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14"/>
      <c r="H41" s="115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16" t="s">
        <v>23</v>
      </c>
      <c r="B42" s="116"/>
      <c r="C42" s="116"/>
      <c r="D42" s="116"/>
      <c r="E42" s="116"/>
      <c r="F42" s="116"/>
      <c r="G42" s="116"/>
      <c r="H42" s="116"/>
      <c r="I42" s="117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18" t="s">
        <v>21</v>
      </c>
      <c r="B57" s="119"/>
      <c r="C57" s="120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76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42491</v>
      </c>
      <c r="B3" s="25">
        <v>177</v>
      </c>
      <c r="C3" s="25">
        <v>0</v>
      </c>
      <c r="D3" s="25">
        <v>283</v>
      </c>
      <c r="E3" s="26">
        <v>0</v>
      </c>
      <c r="F3" s="26">
        <v>0</v>
      </c>
      <c r="G3" s="25">
        <v>0</v>
      </c>
      <c r="H3" s="27">
        <v>4035.06</v>
      </c>
      <c r="I3" s="107" t="s">
        <v>62</v>
      </c>
    </row>
    <row r="4" spans="1:9" x14ac:dyDescent="0.3">
      <c r="A4" s="12">
        <v>42492</v>
      </c>
      <c r="B4" s="25">
        <v>235</v>
      </c>
      <c r="C4" s="25">
        <v>0</v>
      </c>
      <c r="D4" s="25">
        <v>347</v>
      </c>
      <c r="E4" s="26">
        <v>0</v>
      </c>
      <c r="F4" s="26">
        <v>0</v>
      </c>
      <c r="G4" s="91">
        <v>0</v>
      </c>
      <c r="H4" s="27">
        <v>4035.08</v>
      </c>
      <c r="I4" s="107" t="s">
        <v>63</v>
      </c>
    </row>
    <row r="5" spans="1:9" x14ac:dyDescent="0.3">
      <c r="A5" s="12">
        <v>42493</v>
      </c>
      <c r="B5" s="25">
        <v>250</v>
      </c>
      <c r="C5" s="25">
        <v>0</v>
      </c>
      <c r="D5" s="25">
        <v>372</v>
      </c>
      <c r="E5" s="26">
        <v>0.01</v>
      </c>
      <c r="F5" s="26">
        <v>0</v>
      </c>
      <c r="G5" s="91">
        <v>0</v>
      </c>
      <c r="H5" s="27">
        <v>4035.1</v>
      </c>
      <c r="I5" s="107"/>
    </row>
    <row r="6" spans="1:9" x14ac:dyDescent="0.3">
      <c r="A6" s="12">
        <v>42494</v>
      </c>
      <c r="B6" s="25">
        <v>250</v>
      </c>
      <c r="C6" s="25">
        <v>0</v>
      </c>
      <c r="D6" s="25">
        <v>388</v>
      </c>
      <c r="E6" s="26">
        <v>0.08</v>
      </c>
      <c r="F6" s="26">
        <v>0</v>
      </c>
      <c r="G6" s="25">
        <v>0</v>
      </c>
      <c r="H6" s="27">
        <v>4035.12</v>
      </c>
      <c r="I6" s="107"/>
    </row>
    <row r="7" spans="1:9" x14ac:dyDescent="0.3">
      <c r="A7" s="12">
        <v>42495</v>
      </c>
      <c r="B7" s="25">
        <v>264</v>
      </c>
      <c r="C7" s="25">
        <v>0</v>
      </c>
      <c r="D7" s="25">
        <v>391</v>
      </c>
      <c r="E7" s="26">
        <v>0.11</v>
      </c>
      <c r="F7" s="26">
        <v>0</v>
      </c>
      <c r="G7" s="91">
        <v>0</v>
      </c>
      <c r="H7" s="27">
        <v>4035.14</v>
      </c>
      <c r="I7" s="107" t="s">
        <v>61</v>
      </c>
    </row>
    <row r="8" spans="1:9" x14ac:dyDescent="0.3">
      <c r="A8" s="12">
        <v>42496</v>
      </c>
      <c r="B8" s="25">
        <v>198</v>
      </c>
      <c r="C8" s="25">
        <v>27</v>
      </c>
      <c r="D8" s="25">
        <v>351</v>
      </c>
      <c r="E8" s="26">
        <v>0.08</v>
      </c>
      <c r="F8" s="26">
        <v>0</v>
      </c>
      <c r="G8" s="25">
        <v>0</v>
      </c>
      <c r="H8" s="27">
        <v>4035.16</v>
      </c>
      <c r="I8" s="107" t="s">
        <v>59</v>
      </c>
    </row>
    <row r="9" spans="1:9" x14ac:dyDescent="0.3">
      <c r="A9" s="12">
        <v>42497</v>
      </c>
      <c r="B9" s="25">
        <v>117</v>
      </c>
      <c r="C9" s="25">
        <v>22</v>
      </c>
      <c r="D9" s="25">
        <v>292</v>
      </c>
      <c r="E9" s="26">
        <v>0</v>
      </c>
      <c r="F9" s="26">
        <v>0</v>
      </c>
      <c r="G9" s="25">
        <v>0</v>
      </c>
      <c r="H9" s="27">
        <v>4035.18</v>
      </c>
      <c r="I9" s="107" t="s">
        <v>64</v>
      </c>
    </row>
    <row r="10" spans="1:9" x14ac:dyDescent="0.3">
      <c r="A10" s="12">
        <v>42498</v>
      </c>
      <c r="B10" s="25">
        <v>70</v>
      </c>
      <c r="C10" s="25">
        <v>49</v>
      </c>
      <c r="D10" s="25">
        <v>242</v>
      </c>
      <c r="E10" s="26">
        <v>0</v>
      </c>
      <c r="F10" s="26">
        <v>0</v>
      </c>
      <c r="G10" s="25">
        <v>0</v>
      </c>
      <c r="H10" s="27">
        <v>4035.19</v>
      </c>
      <c r="I10" s="107" t="s">
        <v>58</v>
      </c>
    </row>
    <row r="11" spans="1:9" x14ac:dyDescent="0.3">
      <c r="A11" s="12">
        <v>42499</v>
      </c>
      <c r="B11" s="25">
        <v>33</v>
      </c>
      <c r="C11" s="91">
        <v>7</v>
      </c>
      <c r="D11" s="91">
        <v>213</v>
      </c>
      <c r="E11" s="26">
        <v>0</v>
      </c>
      <c r="F11" s="26">
        <v>0</v>
      </c>
      <c r="G11" s="25">
        <v>0</v>
      </c>
      <c r="H11" s="92">
        <v>4035.2</v>
      </c>
      <c r="I11" s="107" t="s">
        <v>57</v>
      </c>
    </row>
    <row r="12" spans="1:9" x14ac:dyDescent="0.3">
      <c r="A12" s="12">
        <v>42500</v>
      </c>
      <c r="B12" s="25">
        <v>43</v>
      </c>
      <c r="C12" s="25">
        <v>0</v>
      </c>
      <c r="D12" s="25">
        <v>221</v>
      </c>
      <c r="E12" s="26">
        <v>0</v>
      </c>
      <c r="F12" s="26">
        <v>0</v>
      </c>
      <c r="G12" s="25">
        <v>0</v>
      </c>
      <c r="H12" s="92">
        <v>4035.2</v>
      </c>
      <c r="I12" s="107" t="s">
        <v>60</v>
      </c>
    </row>
    <row r="13" spans="1:9" x14ac:dyDescent="0.3">
      <c r="A13" s="12">
        <v>42501</v>
      </c>
      <c r="B13" s="25">
        <v>92</v>
      </c>
      <c r="C13" s="25">
        <v>0</v>
      </c>
      <c r="D13" s="25">
        <v>227</v>
      </c>
      <c r="E13" s="26">
        <v>0</v>
      </c>
      <c r="F13" s="26">
        <v>0</v>
      </c>
      <c r="G13" s="25">
        <v>0</v>
      </c>
      <c r="H13" s="92">
        <v>4035.2</v>
      </c>
      <c r="I13" s="107" t="s">
        <v>65</v>
      </c>
    </row>
    <row r="14" spans="1:9" x14ac:dyDescent="0.3">
      <c r="A14" s="12">
        <v>42502</v>
      </c>
      <c r="B14" s="25">
        <v>74</v>
      </c>
      <c r="C14" s="25">
        <v>0</v>
      </c>
      <c r="D14" s="25">
        <v>207</v>
      </c>
      <c r="E14" s="26">
        <v>0</v>
      </c>
      <c r="F14" s="26">
        <v>0</v>
      </c>
      <c r="G14" s="25">
        <v>0</v>
      </c>
      <c r="H14" s="92">
        <v>4035.2</v>
      </c>
      <c r="I14" s="107" t="s">
        <v>66</v>
      </c>
    </row>
    <row r="15" spans="1:9" x14ac:dyDescent="0.3">
      <c r="A15" s="12">
        <v>42503</v>
      </c>
      <c r="B15" s="25">
        <v>33</v>
      </c>
      <c r="C15" s="25">
        <v>0</v>
      </c>
      <c r="D15" s="25">
        <v>201</v>
      </c>
      <c r="E15" s="26">
        <v>0</v>
      </c>
      <c r="F15" s="26">
        <v>0</v>
      </c>
      <c r="G15" s="25">
        <v>0</v>
      </c>
      <c r="H15" s="92">
        <v>4035.2</v>
      </c>
      <c r="I15" s="107" t="s">
        <v>67</v>
      </c>
    </row>
    <row r="16" spans="1:9" x14ac:dyDescent="0.3">
      <c r="A16" s="12">
        <v>42504</v>
      </c>
      <c r="B16" s="25">
        <v>32</v>
      </c>
      <c r="C16" s="25">
        <v>0</v>
      </c>
      <c r="D16" s="25">
        <v>193</v>
      </c>
      <c r="E16" s="26">
        <v>0.08</v>
      </c>
      <c r="F16" s="26">
        <v>0</v>
      </c>
      <c r="G16" s="25">
        <v>0</v>
      </c>
      <c r="H16" s="92">
        <v>4035.2</v>
      </c>
      <c r="I16" s="107" t="s">
        <v>68</v>
      </c>
    </row>
    <row r="17" spans="1:10" x14ac:dyDescent="0.3">
      <c r="A17" s="12">
        <v>42505</v>
      </c>
      <c r="B17" s="25">
        <v>25</v>
      </c>
      <c r="C17" s="25">
        <v>15</v>
      </c>
      <c r="D17" s="25">
        <v>174</v>
      </c>
      <c r="E17" s="26">
        <v>0.05</v>
      </c>
      <c r="F17" s="26">
        <v>0</v>
      </c>
      <c r="G17" s="25">
        <v>0</v>
      </c>
      <c r="H17" s="92">
        <v>4035.2</v>
      </c>
      <c r="I17" s="107"/>
    </row>
    <row r="18" spans="1:10" x14ac:dyDescent="0.3">
      <c r="A18" s="12">
        <v>42506</v>
      </c>
      <c r="B18" s="25">
        <v>9</v>
      </c>
      <c r="C18" s="25">
        <v>31</v>
      </c>
      <c r="D18" s="25">
        <v>205</v>
      </c>
      <c r="E18" s="26">
        <v>0</v>
      </c>
      <c r="F18" s="26">
        <v>0</v>
      </c>
      <c r="G18" s="25">
        <v>0</v>
      </c>
      <c r="H18" s="27">
        <v>4035.2</v>
      </c>
      <c r="I18" s="107" t="s">
        <v>69</v>
      </c>
    </row>
    <row r="19" spans="1:10" x14ac:dyDescent="0.3">
      <c r="A19" s="12">
        <v>42507</v>
      </c>
      <c r="B19" s="25">
        <v>71</v>
      </c>
      <c r="C19" s="25">
        <v>0</v>
      </c>
      <c r="D19" s="25">
        <v>248</v>
      </c>
      <c r="E19" s="26">
        <v>0</v>
      </c>
      <c r="F19" s="26">
        <v>0</v>
      </c>
      <c r="G19" s="25">
        <v>0</v>
      </c>
      <c r="H19" s="27">
        <v>4035.2</v>
      </c>
      <c r="I19" s="107" t="s">
        <v>70</v>
      </c>
    </row>
    <row r="20" spans="1:10" x14ac:dyDescent="0.3">
      <c r="A20" s="12">
        <v>42508</v>
      </c>
      <c r="B20" s="25">
        <v>143</v>
      </c>
      <c r="C20" s="25">
        <v>0</v>
      </c>
      <c r="D20" s="25">
        <v>278</v>
      </c>
      <c r="E20" s="26">
        <v>0</v>
      </c>
      <c r="F20" s="26">
        <v>0</v>
      </c>
      <c r="G20" s="25">
        <v>0</v>
      </c>
      <c r="H20" s="27">
        <v>4035.2</v>
      </c>
      <c r="I20" s="107" t="s">
        <v>71</v>
      </c>
    </row>
    <row r="21" spans="1:10" x14ac:dyDescent="0.3">
      <c r="A21" s="12">
        <v>42509</v>
      </c>
      <c r="B21" s="25">
        <v>200</v>
      </c>
      <c r="C21" s="25">
        <v>19</v>
      </c>
      <c r="D21" s="25">
        <v>292</v>
      </c>
      <c r="E21" s="26">
        <v>0</v>
      </c>
      <c r="F21" s="26">
        <v>0</v>
      </c>
      <c r="G21" s="25">
        <v>0</v>
      </c>
      <c r="H21" s="27">
        <v>4035.2</v>
      </c>
      <c r="I21" s="107"/>
    </row>
    <row r="22" spans="1:10" x14ac:dyDescent="0.3">
      <c r="A22" s="12">
        <v>42510</v>
      </c>
      <c r="B22" s="25">
        <v>85</v>
      </c>
      <c r="C22" s="25">
        <v>59</v>
      </c>
      <c r="D22" s="25">
        <v>248</v>
      </c>
      <c r="E22" s="26">
        <v>0.26</v>
      </c>
      <c r="F22" s="26">
        <v>0</v>
      </c>
      <c r="G22" s="25">
        <v>0</v>
      </c>
      <c r="H22" s="27">
        <v>4035.23</v>
      </c>
      <c r="I22" s="107" t="s">
        <v>72</v>
      </c>
    </row>
    <row r="23" spans="1:10" x14ac:dyDescent="0.3">
      <c r="A23" s="12">
        <v>42511</v>
      </c>
      <c r="B23" s="25">
        <v>15</v>
      </c>
      <c r="C23" s="25">
        <v>49</v>
      </c>
      <c r="D23" s="25">
        <v>213</v>
      </c>
      <c r="E23" s="26">
        <v>0.1</v>
      </c>
      <c r="F23" s="26">
        <v>0</v>
      </c>
      <c r="G23" s="25">
        <v>0</v>
      </c>
      <c r="H23" s="27">
        <v>4035.27</v>
      </c>
      <c r="I23" s="108" t="s">
        <v>73</v>
      </c>
    </row>
    <row r="24" spans="1:10" x14ac:dyDescent="0.3">
      <c r="A24" s="12">
        <v>42512</v>
      </c>
      <c r="B24" s="25">
        <v>0</v>
      </c>
      <c r="C24" s="25">
        <v>59</v>
      </c>
      <c r="D24" s="25">
        <v>151</v>
      </c>
      <c r="E24" s="26">
        <v>0.06</v>
      </c>
      <c r="F24" s="26">
        <v>0</v>
      </c>
      <c r="G24" s="25">
        <v>0</v>
      </c>
      <c r="H24" s="27">
        <v>4035.3</v>
      </c>
      <c r="I24" s="107"/>
    </row>
    <row r="25" spans="1:10" x14ac:dyDescent="0.3">
      <c r="A25" s="12">
        <v>42513</v>
      </c>
      <c r="B25" s="25">
        <v>0</v>
      </c>
      <c r="C25" s="25">
        <v>95</v>
      </c>
      <c r="D25" s="25">
        <v>113</v>
      </c>
      <c r="E25" s="26">
        <v>0.12</v>
      </c>
      <c r="F25" s="26">
        <v>0</v>
      </c>
      <c r="G25" s="25" t="s">
        <v>80</v>
      </c>
      <c r="H25" s="27">
        <v>4035.33</v>
      </c>
      <c r="I25" s="107" t="s">
        <v>74</v>
      </c>
      <c r="J25" t="s">
        <v>81</v>
      </c>
    </row>
    <row r="26" spans="1:10" x14ac:dyDescent="0.3">
      <c r="A26" s="12">
        <v>42514</v>
      </c>
      <c r="B26" s="25">
        <v>0</v>
      </c>
      <c r="C26" s="25">
        <v>109</v>
      </c>
      <c r="D26" s="25">
        <v>94</v>
      </c>
      <c r="E26" s="26">
        <v>0</v>
      </c>
      <c r="F26" s="26">
        <v>0</v>
      </c>
      <c r="G26" s="25">
        <v>301</v>
      </c>
      <c r="H26" s="27">
        <v>4035.32</v>
      </c>
      <c r="I26" s="107" t="s">
        <v>82</v>
      </c>
    </row>
    <row r="27" spans="1:10" x14ac:dyDescent="0.3">
      <c r="A27" s="12">
        <v>42515</v>
      </c>
      <c r="B27" s="25">
        <v>0</v>
      </c>
      <c r="C27" s="25">
        <v>54</v>
      </c>
      <c r="D27" s="25">
        <v>93</v>
      </c>
      <c r="E27" s="26">
        <v>0</v>
      </c>
      <c r="F27" s="26">
        <v>0</v>
      </c>
      <c r="G27" s="25">
        <v>301</v>
      </c>
      <c r="H27" s="27">
        <v>4035.31</v>
      </c>
      <c r="I27" s="107" t="s">
        <v>75</v>
      </c>
    </row>
    <row r="28" spans="1:10" x14ac:dyDescent="0.3">
      <c r="A28" s="12">
        <v>42516</v>
      </c>
      <c r="B28" s="25">
        <v>0</v>
      </c>
      <c r="C28" s="25">
        <v>34</v>
      </c>
      <c r="D28" s="25">
        <v>117</v>
      </c>
      <c r="E28" s="26">
        <v>0</v>
      </c>
      <c r="F28" s="26">
        <v>0</v>
      </c>
      <c r="G28" s="25">
        <v>301</v>
      </c>
      <c r="H28" s="27">
        <v>4035.3</v>
      </c>
      <c r="I28" s="107"/>
    </row>
    <row r="29" spans="1:10" x14ac:dyDescent="0.3">
      <c r="A29" s="12">
        <v>42517</v>
      </c>
      <c r="B29" s="25">
        <v>0</v>
      </c>
      <c r="C29" s="25">
        <v>3</v>
      </c>
      <c r="D29" s="25">
        <v>140</v>
      </c>
      <c r="E29" s="26">
        <v>0</v>
      </c>
      <c r="F29" s="26">
        <v>0</v>
      </c>
      <c r="G29" s="25">
        <v>301</v>
      </c>
      <c r="H29" s="27">
        <v>4035.28</v>
      </c>
      <c r="I29" s="107"/>
    </row>
    <row r="30" spans="1:10" x14ac:dyDescent="0.3">
      <c r="A30" s="12">
        <v>42518</v>
      </c>
      <c r="B30" s="25">
        <v>0</v>
      </c>
      <c r="C30" s="25">
        <v>0</v>
      </c>
      <c r="D30" s="25">
        <v>150</v>
      </c>
      <c r="E30" s="26">
        <v>0</v>
      </c>
      <c r="F30" s="26">
        <v>0</v>
      </c>
      <c r="G30" s="25">
        <v>301</v>
      </c>
      <c r="H30" s="27">
        <v>4035.26</v>
      </c>
      <c r="I30" s="107"/>
    </row>
    <row r="31" spans="1:10" x14ac:dyDescent="0.3">
      <c r="A31" s="12">
        <v>42519</v>
      </c>
      <c r="B31" s="25">
        <v>71</v>
      </c>
      <c r="C31" s="25">
        <v>0</v>
      </c>
      <c r="D31" s="25">
        <v>200</v>
      </c>
      <c r="E31" s="26">
        <v>0</v>
      </c>
      <c r="F31" s="26">
        <v>0</v>
      </c>
      <c r="G31" s="25">
        <v>301</v>
      </c>
      <c r="H31" s="27">
        <v>4035.24</v>
      </c>
      <c r="I31" s="107" t="s">
        <v>77</v>
      </c>
    </row>
    <row r="32" spans="1:10" x14ac:dyDescent="0.3">
      <c r="A32" s="12">
        <v>42520</v>
      </c>
      <c r="B32" s="25">
        <v>115</v>
      </c>
      <c r="C32" s="25">
        <v>0</v>
      </c>
      <c r="D32" s="25">
        <v>265</v>
      </c>
      <c r="E32" s="26">
        <v>0</v>
      </c>
      <c r="F32" s="26">
        <v>0</v>
      </c>
      <c r="G32" s="25">
        <v>301</v>
      </c>
      <c r="H32" s="27">
        <v>4035.22</v>
      </c>
      <c r="I32" s="107" t="s">
        <v>78</v>
      </c>
    </row>
    <row r="33" spans="1:15" ht="15" thickBot="1" x14ac:dyDescent="0.35">
      <c r="A33" s="12">
        <v>42521</v>
      </c>
      <c r="B33" s="25">
        <v>171</v>
      </c>
      <c r="C33" s="25">
        <v>0</v>
      </c>
      <c r="D33" s="25">
        <v>283</v>
      </c>
      <c r="E33" s="26">
        <v>0</v>
      </c>
      <c r="F33" s="26">
        <v>0</v>
      </c>
      <c r="G33" s="25">
        <v>301</v>
      </c>
      <c r="H33" s="27">
        <v>4035.2</v>
      </c>
      <c r="I33" s="107" t="s">
        <v>79</v>
      </c>
    </row>
    <row r="34" spans="1:15" s="11" customFormat="1" ht="15" thickTop="1" x14ac:dyDescent="0.3">
      <c r="A34" s="16" t="s">
        <v>8</v>
      </c>
      <c r="B34" s="17">
        <f t="shared" ref="B34:G34" si="0">SUM(B3:B33)</f>
        <v>2773</v>
      </c>
      <c r="C34" s="17">
        <f t="shared" si="0"/>
        <v>632</v>
      </c>
      <c r="D34" s="17">
        <f t="shared" si="0"/>
        <v>7192</v>
      </c>
      <c r="E34" s="18">
        <f t="shared" si="0"/>
        <v>0.95000000000000007</v>
      </c>
      <c r="F34" s="18">
        <f t="shared" si="0"/>
        <v>0</v>
      </c>
      <c r="G34" s="17">
        <f t="shared" si="0"/>
        <v>2408</v>
      </c>
      <c r="H34" s="18"/>
    </row>
    <row r="35" spans="1:15" s="11" customFormat="1" x14ac:dyDescent="0.3">
      <c r="A35" s="19" t="s">
        <v>9</v>
      </c>
      <c r="B35" s="20">
        <f>SUM(B34+'Apr 2016'!B34)</f>
        <v>6542</v>
      </c>
      <c r="C35" s="20">
        <f>SUM(C34+'Apr 2016'!C34)</f>
        <v>6067</v>
      </c>
      <c r="D35" s="20">
        <f>SUM(D34+'Apr 2016'!D34)</f>
        <v>18249</v>
      </c>
      <c r="E35" s="21">
        <f>SUM(E34+'Apr 2016'!E34)</f>
        <v>10.98</v>
      </c>
      <c r="F35" s="21">
        <f>SUM(F34+'Apr 2016'!F34)</f>
        <v>22.689999999999998</v>
      </c>
      <c r="G35" s="20">
        <f>SUM(G34+'Apr 2016'!G34)</f>
        <v>19576</v>
      </c>
      <c r="H35" s="21"/>
    </row>
    <row r="37" spans="1:15" x14ac:dyDescent="0.3">
      <c r="A37" t="s">
        <v>10</v>
      </c>
      <c r="B37" s="23">
        <f>SUM(B3:B33)*1.9835</f>
        <v>5500.2455</v>
      </c>
      <c r="C37" s="23">
        <f>SUM(C3:C33)*1.9835</f>
        <v>1253.5720000000001</v>
      </c>
      <c r="D37" s="23">
        <f>SUM(D3:D33)*1.9835</f>
        <v>14265.332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SUM(B37+'Apr 2016'!B38)</f>
        <v>15296.752</v>
      </c>
      <c r="C39" s="23">
        <f>SUM(C37+'Apr 2016'!C38)</f>
        <v>13277.549000000003</v>
      </c>
      <c r="D39" s="23">
        <f>SUM(D37+'Apr 2016'!D38)</f>
        <v>43149.059000000001</v>
      </c>
      <c r="E39" s="23"/>
      <c r="F39" s="23"/>
      <c r="G39" s="23"/>
      <c r="I39" s="22"/>
    </row>
    <row r="40" spans="1:15" x14ac:dyDescent="0.3">
      <c r="I40" s="34"/>
    </row>
    <row r="41" spans="1:15" ht="17.399999999999999" customHeight="1" x14ac:dyDescent="0.3">
      <c r="A41" s="112"/>
      <c r="B41" s="112"/>
      <c r="C41" s="112"/>
      <c r="D41" s="112"/>
      <c r="E41" s="112"/>
      <c r="F41" s="113"/>
      <c r="G41" s="114" t="s">
        <v>12</v>
      </c>
      <c r="H41" s="115"/>
      <c r="I41" s="34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4"/>
      <c r="H42" s="115"/>
      <c r="I42" s="34"/>
      <c r="J42" s="30"/>
      <c r="K42" s="30"/>
      <c r="L42" s="30"/>
      <c r="M42" s="30"/>
      <c r="N42" s="31"/>
      <c r="O42" s="30"/>
    </row>
    <row r="43" spans="1:15" ht="13.95" customHeight="1" thickBot="1" x14ac:dyDescent="0.35">
      <c r="A43" s="116" t="s">
        <v>23</v>
      </c>
      <c r="B43" s="116"/>
      <c r="C43" s="116"/>
      <c r="D43" s="116"/>
      <c r="E43" s="116"/>
      <c r="F43" s="116"/>
      <c r="G43" s="116"/>
      <c r="H43" s="116"/>
      <c r="I43" s="117"/>
      <c r="J43" s="117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6" x14ac:dyDescent="0.3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6" x14ac:dyDescent="0.3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6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3">
      <c r="A58" s="118" t="s">
        <v>21</v>
      </c>
      <c r="B58" s="119"/>
      <c r="C58" s="120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0" sqref="H30:H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42461</v>
      </c>
      <c r="B3" s="25">
        <v>50</v>
      </c>
      <c r="C3" s="25">
        <v>0</v>
      </c>
      <c r="D3" s="25">
        <v>64</v>
      </c>
      <c r="E3" s="26">
        <v>0</v>
      </c>
      <c r="F3" s="26">
        <v>0</v>
      </c>
      <c r="G3" s="25">
        <v>0</v>
      </c>
      <c r="H3" s="27">
        <v>4035</v>
      </c>
      <c r="I3" s="107"/>
    </row>
    <row r="4" spans="1:9" x14ac:dyDescent="0.3">
      <c r="A4" s="12">
        <v>42462</v>
      </c>
      <c r="B4" s="25">
        <v>50</v>
      </c>
      <c r="C4" s="25">
        <v>0</v>
      </c>
      <c r="D4" s="25">
        <v>64</v>
      </c>
      <c r="E4" s="26">
        <v>0</v>
      </c>
      <c r="F4" s="26">
        <v>0</v>
      </c>
      <c r="G4" s="25">
        <v>0</v>
      </c>
      <c r="H4" s="27">
        <v>4035</v>
      </c>
      <c r="I4" s="107"/>
    </row>
    <row r="5" spans="1:9" x14ac:dyDescent="0.3">
      <c r="A5" s="12">
        <v>42463</v>
      </c>
      <c r="B5" s="25">
        <v>36</v>
      </c>
      <c r="C5" s="25">
        <v>0</v>
      </c>
      <c r="D5" s="25">
        <v>68</v>
      </c>
      <c r="E5" s="26">
        <v>0</v>
      </c>
      <c r="F5" s="26">
        <v>0</v>
      </c>
      <c r="G5" s="25">
        <v>0</v>
      </c>
      <c r="H5" s="27">
        <v>4035</v>
      </c>
      <c r="I5" s="107" t="s">
        <v>47</v>
      </c>
    </row>
    <row r="6" spans="1:9" x14ac:dyDescent="0.3">
      <c r="A6" s="12">
        <v>42464</v>
      </c>
      <c r="B6" s="25">
        <v>25</v>
      </c>
      <c r="C6" s="25">
        <v>0</v>
      </c>
      <c r="D6" s="25">
        <v>54</v>
      </c>
      <c r="E6" s="26">
        <v>0</v>
      </c>
      <c r="F6" s="26">
        <v>0</v>
      </c>
      <c r="G6" s="25">
        <v>0</v>
      </c>
      <c r="H6" s="27">
        <v>4035</v>
      </c>
      <c r="I6" s="107"/>
    </row>
    <row r="7" spans="1:9" x14ac:dyDescent="0.3">
      <c r="A7" s="12">
        <v>42465</v>
      </c>
      <c r="B7" s="25">
        <v>25</v>
      </c>
      <c r="C7" s="25">
        <v>0</v>
      </c>
      <c r="D7" s="25">
        <v>57</v>
      </c>
      <c r="E7" s="26">
        <v>0</v>
      </c>
      <c r="F7" s="26">
        <v>0</v>
      </c>
      <c r="G7" s="25">
        <v>0</v>
      </c>
      <c r="H7" s="27">
        <v>4035</v>
      </c>
      <c r="I7" s="107"/>
    </row>
    <row r="8" spans="1:9" x14ac:dyDescent="0.3">
      <c r="A8" s="12">
        <v>42466</v>
      </c>
      <c r="B8" s="25">
        <v>25</v>
      </c>
      <c r="C8" s="25">
        <v>0</v>
      </c>
      <c r="D8" s="25">
        <v>57</v>
      </c>
      <c r="E8" s="26">
        <v>0</v>
      </c>
      <c r="F8" s="26">
        <v>0</v>
      </c>
      <c r="G8" s="25">
        <v>0</v>
      </c>
      <c r="H8" s="27">
        <v>4035</v>
      </c>
      <c r="I8" s="107"/>
    </row>
    <row r="9" spans="1:9" x14ac:dyDescent="0.3">
      <c r="A9" s="12">
        <v>42467</v>
      </c>
      <c r="B9" s="25">
        <v>25</v>
      </c>
      <c r="C9" s="25">
        <v>0</v>
      </c>
      <c r="D9" s="25">
        <v>52</v>
      </c>
      <c r="E9" s="26">
        <v>0</v>
      </c>
      <c r="F9" s="26">
        <v>0</v>
      </c>
      <c r="G9" s="25">
        <v>0</v>
      </c>
      <c r="H9" s="27">
        <v>4035</v>
      </c>
      <c r="I9" s="107"/>
    </row>
    <row r="10" spans="1:9" x14ac:dyDescent="0.3">
      <c r="A10" s="12">
        <v>42468</v>
      </c>
      <c r="B10" s="25">
        <v>25</v>
      </c>
      <c r="C10" s="25">
        <v>0</v>
      </c>
      <c r="D10" s="25">
        <v>56</v>
      </c>
      <c r="E10" s="26">
        <v>0</v>
      </c>
      <c r="F10" s="26">
        <v>0</v>
      </c>
      <c r="G10" s="25">
        <v>0</v>
      </c>
      <c r="H10" s="27">
        <v>4035.02</v>
      </c>
      <c r="I10" s="107"/>
    </row>
    <row r="11" spans="1:9" x14ac:dyDescent="0.3">
      <c r="A11" s="12">
        <v>42469</v>
      </c>
      <c r="B11" s="25">
        <v>25</v>
      </c>
      <c r="C11" s="25">
        <v>0</v>
      </c>
      <c r="D11" s="25">
        <v>62</v>
      </c>
      <c r="E11" s="26">
        <v>0.49</v>
      </c>
      <c r="F11" s="26">
        <v>0</v>
      </c>
      <c r="G11" s="25">
        <v>0</v>
      </c>
      <c r="H11" s="27">
        <v>4035.04</v>
      </c>
      <c r="I11" s="107"/>
    </row>
    <row r="12" spans="1:9" x14ac:dyDescent="0.3">
      <c r="A12" s="12">
        <v>42470</v>
      </c>
      <c r="B12" s="25">
        <v>8</v>
      </c>
      <c r="C12" s="25">
        <v>33</v>
      </c>
      <c r="D12" s="25">
        <v>69</v>
      </c>
      <c r="E12" s="26">
        <v>0.19</v>
      </c>
      <c r="F12" s="26">
        <v>0</v>
      </c>
      <c r="G12" s="25">
        <v>0</v>
      </c>
      <c r="H12" s="27">
        <v>4035.04</v>
      </c>
      <c r="I12" s="107" t="s">
        <v>48</v>
      </c>
    </row>
    <row r="13" spans="1:9" x14ac:dyDescent="0.3">
      <c r="A13" s="12">
        <v>42471</v>
      </c>
      <c r="B13" s="25">
        <v>0</v>
      </c>
      <c r="C13" s="25">
        <v>35</v>
      </c>
      <c r="D13" s="25">
        <v>84</v>
      </c>
      <c r="E13" s="26">
        <v>0.02</v>
      </c>
      <c r="F13" s="26">
        <v>0</v>
      </c>
      <c r="G13" s="25">
        <v>0</v>
      </c>
      <c r="H13" s="27">
        <v>4035.06</v>
      </c>
      <c r="I13" s="107"/>
    </row>
    <row r="14" spans="1:9" x14ac:dyDescent="0.3">
      <c r="A14" s="12">
        <v>42472</v>
      </c>
      <c r="B14" s="25">
        <v>0</v>
      </c>
      <c r="C14" s="25">
        <v>49</v>
      </c>
      <c r="D14" s="25">
        <v>68</v>
      </c>
      <c r="E14" s="26">
        <v>0.31</v>
      </c>
      <c r="F14" s="26">
        <v>0</v>
      </c>
      <c r="G14" s="25">
        <v>0</v>
      </c>
      <c r="H14" s="27">
        <v>4035.08</v>
      </c>
      <c r="I14" s="107"/>
    </row>
    <row r="15" spans="1:9" x14ac:dyDescent="0.3">
      <c r="A15" s="12">
        <v>42473</v>
      </c>
      <c r="B15" s="25">
        <v>0</v>
      </c>
      <c r="C15" s="25">
        <v>83</v>
      </c>
      <c r="D15" s="25">
        <v>61</v>
      </c>
      <c r="E15" s="26">
        <v>0.3</v>
      </c>
      <c r="F15" s="26">
        <v>0</v>
      </c>
      <c r="G15" s="25">
        <v>0</v>
      </c>
      <c r="H15" s="27">
        <v>4035.09</v>
      </c>
      <c r="I15" s="107"/>
    </row>
    <row r="16" spans="1:9" x14ac:dyDescent="0.3">
      <c r="A16" s="12">
        <v>42474</v>
      </c>
      <c r="B16" s="25">
        <v>0</v>
      </c>
      <c r="C16" s="25">
        <v>106</v>
      </c>
      <c r="D16" s="25">
        <v>63</v>
      </c>
      <c r="E16" s="26">
        <v>0.13</v>
      </c>
      <c r="F16" s="26">
        <v>0</v>
      </c>
      <c r="G16" s="25">
        <v>0</v>
      </c>
      <c r="H16" s="27">
        <v>4035.1</v>
      </c>
      <c r="I16" s="107"/>
    </row>
    <row r="17" spans="1:9" x14ac:dyDescent="0.3">
      <c r="A17" s="12">
        <v>42475</v>
      </c>
      <c r="B17" s="25">
        <v>0</v>
      </c>
      <c r="C17" s="25">
        <v>101</v>
      </c>
      <c r="D17" s="25">
        <v>63</v>
      </c>
      <c r="E17" s="26">
        <v>0.17</v>
      </c>
      <c r="F17" s="26">
        <v>0</v>
      </c>
      <c r="G17" s="25">
        <v>0</v>
      </c>
      <c r="H17" s="27">
        <v>4035.11</v>
      </c>
      <c r="I17" s="107"/>
    </row>
    <row r="18" spans="1:9" x14ac:dyDescent="0.3">
      <c r="A18" s="12">
        <v>42476</v>
      </c>
      <c r="B18" s="25">
        <v>0</v>
      </c>
      <c r="C18" s="25">
        <v>79</v>
      </c>
      <c r="D18" s="25">
        <v>58</v>
      </c>
      <c r="E18" s="26">
        <v>0.01</v>
      </c>
      <c r="F18" s="26">
        <v>0</v>
      </c>
      <c r="G18" s="25">
        <v>0</v>
      </c>
      <c r="H18" s="27">
        <v>4035.12</v>
      </c>
      <c r="I18" s="107"/>
    </row>
    <row r="19" spans="1:9" x14ac:dyDescent="0.3">
      <c r="A19" s="12">
        <v>42477</v>
      </c>
      <c r="B19" s="25">
        <v>0</v>
      </c>
      <c r="C19" s="25">
        <v>62</v>
      </c>
      <c r="D19" s="25">
        <v>58</v>
      </c>
      <c r="E19" s="26">
        <v>0</v>
      </c>
      <c r="F19" s="26">
        <v>0</v>
      </c>
      <c r="G19" s="25">
        <v>0</v>
      </c>
      <c r="H19" s="27">
        <v>4035.14</v>
      </c>
      <c r="I19" s="107"/>
    </row>
    <row r="20" spans="1:9" x14ac:dyDescent="0.3">
      <c r="A20" s="12">
        <v>42478</v>
      </c>
      <c r="B20" s="25">
        <v>0</v>
      </c>
      <c r="C20" s="25">
        <v>47</v>
      </c>
      <c r="D20" s="25">
        <v>67</v>
      </c>
      <c r="E20" s="26">
        <v>0</v>
      </c>
      <c r="F20" s="26">
        <v>0</v>
      </c>
      <c r="G20" s="25">
        <v>0</v>
      </c>
      <c r="H20" s="27">
        <v>4035.16</v>
      </c>
      <c r="I20" s="107"/>
    </row>
    <row r="21" spans="1:9" x14ac:dyDescent="0.3">
      <c r="A21" s="12">
        <v>42479</v>
      </c>
      <c r="B21" s="25">
        <v>0</v>
      </c>
      <c r="C21" s="25">
        <v>32</v>
      </c>
      <c r="D21" s="25">
        <v>102</v>
      </c>
      <c r="E21" s="26">
        <v>0</v>
      </c>
      <c r="F21" s="26">
        <v>0</v>
      </c>
      <c r="G21" s="25">
        <v>0</v>
      </c>
      <c r="H21" s="27">
        <v>4035.16</v>
      </c>
      <c r="I21" s="107"/>
    </row>
    <row r="22" spans="1:9" x14ac:dyDescent="0.3">
      <c r="A22" s="12">
        <v>42480</v>
      </c>
      <c r="B22" s="25">
        <v>0</v>
      </c>
      <c r="C22" s="25">
        <v>0</v>
      </c>
      <c r="D22" s="25">
        <v>143</v>
      </c>
      <c r="E22" s="26">
        <v>0</v>
      </c>
      <c r="F22" s="26">
        <v>0</v>
      </c>
      <c r="G22" s="25">
        <v>0</v>
      </c>
      <c r="H22" s="27">
        <v>4035.16</v>
      </c>
      <c r="I22" s="107"/>
    </row>
    <row r="23" spans="1:9" x14ac:dyDescent="0.3">
      <c r="A23" s="12">
        <v>42481</v>
      </c>
      <c r="B23" s="25">
        <v>18</v>
      </c>
      <c r="C23" s="25">
        <v>0</v>
      </c>
      <c r="D23" s="25">
        <v>150</v>
      </c>
      <c r="E23" s="26">
        <v>0</v>
      </c>
      <c r="F23" s="26">
        <v>0</v>
      </c>
      <c r="G23" s="25">
        <v>0</v>
      </c>
      <c r="H23" s="27">
        <v>4035.16</v>
      </c>
      <c r="I23" s="107" t="s">
        <v>49</v>
      </c>
    </row>
    <row r="24" spans="1:9" x14ac:dyDescent="0.3">
      <c r="A24" s="12">
        <v>42482</v>
      </c>
      <c r="B24" s="25">
        <v>68</v>
      </c>
      <c r="C24" s="25">
        <v>0</v>
      </c>
      <c r="D24" s="25">
        <v>187</v>
      </c>
      <c r="E24" s="26">
        <v>0.14000000000000001</v>
      </c>
      <c r="F24" s="26">
        <v>0</v>
      </c>
      <c r="G24" s="25">
        <v>0</v>
      </c>
      <c r="H24" s="27">
        <v>4035.16</v>
      </c>
      <c r="I24" s="107" t="s">
        <v>50</v>
      </c>
    </row>
    <row r="25" spans="1:9" x14ac:dyDescent="0.3">
      <c r="A25" s="12">
        <v>42483</v>
      </c>
      <c r="B25" s="25">
        <v>78</v>
      </c>
      <c r="C25" s="25">
        <v>0</v>
      </c>
      <c r="D25" s="25">
        <v>181</v>
      </c>
      <c r="E25" s="26">
        <v>0</v>
      </c>
      <c r="F25" s="26">
        <v>0</v>
      </c>
      <c r="G25" s="25">
        <v>0</v>
      </c>
      <c r="H25" s="27">
        <v>4035.16</v>
      </c>
      <c r="I25" s="107" t="s">
        <v>52</v>
      </c>
    </row>
    <row r="26" spans="1:9" x14ac:dyDescent="0.3">
      <c r="A26" s="12">
        <v>42484</v>
      </c>
      <c r="B26" s="25">
        <v>42</v>
      </c>
      <c r="C26" s="25">
        <v>0</v>
      </c>
      <c r="D26" s="25">
        <v>172</v>
      </c>
      <c r="E26" s="26" t="s">
        <v>39</v>
      </c>
      <c r="F26" s="26">
        <v>0</v>
      </c>
      <c r="G26" s="25">
        <v>0</v>
      </c>
      <c r="H26" s="27">
        <v>4035.16</v>
      </c>
      <c r="I26" s="107" t="s">
        <v>51</v>
      </c>
    </row>
    <row r="27" spans="1:9" x14ac:dyDescent="0.3">
      <c r="A27" s="12">
        <v>42485</v>
      </c>
      <c r="B27" s="25">
        <v>25</v>
      </c>
      <c r="C27" s="25">
        <v>0</v>
      </c>
      <c r="D27" s="25">
        <v>200</v>
      </c>
      <c r="E27" s="26">
        <v>0</v>
      </c>
      <c r="F27" s="26">
        <v>0</v>
      </c>
      <c r="G27" s="25">
        <v>0</v>
      </c>
      <c r="H27" s="27">
        <v>4035.13</v>
      </c>
      <c r="I27" s="107"/>
    </row>
    <row r="28" spans="1:9" x14ac:dyDescent="0.3">
      <c r="A28" s="12">
        <v>42486</v>
      </c>
      <c r="B28" s="25">
        <v>25</v>
      </c>
      <c r="C28" s="25">
        <v>0</v>
      </c>
      <c r="D28" s="25">
        <v>207</v>
      </c>
      <c r="E28" s="26">
        <v>0</v>
      </c>
      <c r="F28" s="26">
        <v>0</v>
      </c>
      <c r="G28" s="25">
        <v>0</v>
      </c>
      <c r="H28" s="27">
        <v>4035.1</v>
      </c>
      <c r="I28" s="107"/>
    </row>
    <row r="29" spans="1:9" x14ac:dyDescent="0.3">
      <c r="A29" s="12">
        <v>42487</v>
      </c>
      <c r="B29" s="25">
        <v>83</v>
      </c>
      <c r="C29" s="25">
        <v>0</v>
      </c>
      <c r="D29" s="25">
        <v>231</v>
      </c>
      <c r="E29" s="26">
        <v>0</v>
      </c>
      <c r="F29" s="26">
        <v>0</v>
      </c>
      <c r="G29" s="25">
        <v>0</v>
      </c>
      <c r="H29" s="27">
        <v>4035.08</v>
      </c>
      <c r="I29" s="107" t="s">
        <v>53</v>
      </c>
    </row>
    <row r="30" spans="1:9" x14ac:dyDescent="0.3">
      <c r="A30" s="12">
        <v>42488</v>
      </c>
      <c r="B30" s="25">
        <v>200</v>
      </c>
      <c r="C30" s="25">
        <v>0</v>
      </c>
      <c r="D30" s="25">
        <v>271</v>
      </c>
      <c r="E30" s="26">
        <v>0.46</v>
      </c>
      <c r="F30" s="26">
        <v>0</v>
      </c>
      <c r="G30" s="25">
        <v>0</v>
      </c>
      <c r="H30" s="27">
        <v>4035.06</v>
      </c>
      <c r="I30" s="107" t="s">
        <v>54</v>
      </c>
    </row>
    <row r="31" spans="1:9" x14ac:dyDescent="0.3">
      <c r="A31" s="12">
        <v>42489</v>
      </c>
      <c r="B31" s="25">
        <v>203</v>
      </c>
      <c r="C31" s="25">
        <v>0</v>
      </c>
      <c r="D31" s="25">
        <v>270</v>
      </c>
      <c r="E31" s="26">
        <v>0.01</v>
      </c>
      <c r="F31" s="26">
        <v>0</v>
      </c>
      <c r="G31" s="25">
        <v>0</v>
      </c>
      <c r="H31" s="27">
        <v>4035.06</v>
      </c>
      <c r="I31" s="107" t="s">
        <v>55</v>
      </c>
    </row>
    <row r="32" spans="1:9" ht="15" thickBot="1" x14ac:dyDescent="0.35">
      <c r="A32" s="12">
        <v>42490</v>
      </c>
      <c r="B32" s="25">
        <v>134</v>
      </c>
      <c r="C32" s="25">
        <v>0</v>
      </c>
      <c r="D32" s="25">
        <v>266</v>
      </c>
      <c r="E32" s="26">
        <v>0</v>
      </c>
      <c r="F32" s="26">
        <v>0</v>
      </c>
      <c r="G32" s="25">
        <v>0</v>
      </c>
      <c r="H32" s="27">
        <v>4035.06</v>
      </c>
      <c r="I32" s="107" t="s">
        <v>56</v>
      </c>
    </row>
    <row r="33" spans="1:15" s="11" customFormat="1" ht="15" thickTop="1" x14ac:dyDescent="0.3">
      <c r="A33" s="16" t="s">
        <v>8</v>
      </c>
      <c r="B33" s="17">
        <f t="shared" ref="B33:G33" si="0">SUM(B3:B32)</f>
        <v>1170</v>
      </c>
      <c r="C33" s="17">
        <f t="shared" si="0"/>
        <v>627</v>
      </c>
      <c r="D33" s="17">
        <f t="shared" si="0"/>
        <v>3505</v>
      </c>
      <c r="E33" s="18">
        <f t="shared" si="0"/>
        <v>2.2299999999999995</v>
      </c>
      <c r="F33" s="18">
        <f t="shared" si="0"/>
        <v>0</v>
      </c>
      <c r="G33" s="17">
        <f t="shared" si="0"/>
        <v>0</v>
      </c>
      <c r="H33" s="18"/>
      <c r="I33"/>
    </row>
    <row r="34" spans="1:15" s="11" customFormat="1" x14ac:dyDescent="0.3">
      <c r="A34" s="19" t="s">
        <v>9</v>
      </c>
      <c r="B34" s="20">
        <f>SUM(B33+'Mar 2016'!B35)</f>
        <v>3769</v>
      </c>
      <c r="C34" s="20">
        <f>SUM(C33+'Mar 2016'!C35)</f>
        <v>5435</v>
      </c>
      <c r="D34" s="20">
        <f>SUM(D33+'Mar 2016'!D35)</f>
        <v>11057</v>
      </c>
      <c r="E34" s="21">
        <f>SUM(E33+'Mar 2016'!E35)</f>
        <v>10.030000000000001</v>
      </c>
      <c r="F34" s="21">
        <f>SUM(F33+'Mar 2016'!F35)</f>
        <v>22.689999999999998</v>
      </c>
      <c r="G34" s="20">
        <f>SUM(G33+'Mar 2016'!G35)</f>
        <v>17168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SUM(B3:B33)*1.9835</f>
        <v>4641.3900000000003</v>
      </c>
      <c r="C36" s="23">
        <f>SUM(C3:C33)*1.9835</f>
        <v>2487.3090000000002</v>
      </c>
      <c r="D36" s="23">
        <f>SUM(D3:D33)*1.9835</f>
        <v>13904.335000000001</v>
      </c>
      <c r="E36" s="23"/>
      <c r="F36" s="23"/>
      <c r="G36" s="23"/>
      <c r="I36" s="22"/>
    </row>
    <row r="38" spans="1:15" x14ac:dyDescent="0.3">
      <c r="A38" t="s">
        <v>24</v>
      </c>
      <c r="B38" s="23">
        <f>SUM(B36+'Mar 2016'!B39)</f>
        <v>9796.5064999999995</v>
      </c>
      <c r="C38" s="23">
        <f>SUM(C36+'Mar 2016'!C39)</f>
        <v>12023.977000000003</v>
      </c>
      <c r="D38" s="23">
        <f>SUM(D36+'Mar 2016'!D39)</f>
        <v>28883.726999999999</v>
      </c>
      <c r="E38" s="23"/>
      <c r="F38" s="23"/>
      <c r="G38" s="23"/>
      <c r="I38" s="22"/>
    </row>
    <row r="39" spans="1:15" x14ac:dyDescent="0.3"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12"/>
      <c r="B40" s="112"/>
      <c r="C40" s="112"/>
      <c r="D40" s="112"/>
      <c r="E40" s="112"/>
      <c r="F40" s="113"/>
      <c r="G40" s="114" t="s">
        <v>12</v>
      </c>
      <c r="H40" s="115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14"/>
      <c r="H41" s="115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17" t="s">
        <v>23</v>
      </c>
      <c r="B42" s="117"/>
      <c r="C42" s="117"/>
      <c r="D42" s="117"/>
      <c r="E42" s="117"/>
      <c r="F42" s="117"/>
      <c r="G42" s="117"/>
      <c r="H42" s="117"/>
      <c r="I42" s="117"/>
      <c r="J42" s="117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3">
      <c r="A57" s="118" t="s">
        <v>21</v>
      </c>
      <c r="B57" s="119"/>
      <c r="C57" s="120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42430</v>
      </c>
      <c r="B3" s="13">
        <v>0</v>
      </c>
      <c r="C3" s="13">
        <v>20</v>
      </c>
      <c r="D3" s="13">
        <v>0</v>
      </c>
      <c r="E3" s="14">
        <v>0.01</v>
      </c>
      <c r="F3" s="14">
        <v>0</v>
      </c>
      <c r="G3" s="13">
        <v>0</v>
      </c>
      <c r="H3" s="15">
        <v>4034.68</v>
      </c>
    </row>
    <row r="4" spans="1:9" x14ac:dyDescent="0.3">
      <c r="A4" s="12">
        <v>42431</v>
      </c>
      <c r="B4" s="13">
        <v>0</v>
      </c>
      <c r="C4" s="13">
        <v>20</v>
      </c>
      <c r="D4" s="13">
        <v>0</v>
      </c>
      <c r="E4" s="106" t="s">
        <v>39</v>
      </c>
      <c r="F4" s="14">
        <v>0</v>
      </c>
      <c r="G4" s="13">
        <v>0</v>
      </c>
      <c r="H4" s="15">
        <v>4034.7</v>
      </c>
    </row>
    <row r="5" spans="1:9" x14ac:dyDescent="0.3">
      <c r="A5" s="12">
        <v>42432</v>
      </c>
      <c r="B5" s="13">
        <v>0</v>
      </c>
      <c r="C5" s="13">
        <v>20</v>
      </c>
      <c r="D5" s="13">
        <v>0</v>
      </c>
      <c r="E5" s="14">
        <v>0.01</v>
      </c>
      <c r="F5" s="14">
        <v>0</v>
      </c>
      <c r="G5" s="13">
        <v>0</v>
      </c>
      <c r="H5" s="15">
        <v>4034.72</v>
      </c>
    </row>
    <row r="6" spans="1:9" x14ac:dyDescent="0.3">
      <c r="A6" s="12">
        <v>42433</v>
      </c>
      <c r="B6" s="13">
        <v>0</v>
      </c>
      <c r="C6" s="13">
        <v>20</v>
      </c>
      <c r="D6" s="13">
        <v>0</v>
      </c>
      <c r="E6" s="14">
        <v>0.04</v>
      </c>
      <c r="F6" s="14">
        <v>0</v>
      </c>
      <c r="G6" s="13">
        <v>0</v>
      </c>
      <c r="H6" s="15">
        <v>4034.74</v>
      </c>
    </row>
    <row r="7" spans="1:9" x14ac:dyDescent="0.3">
      <c r="A7" s="12">
        <v>42434</v>
      </c>
      <c r="B7" s="13">
        <v>0</v>
      </c>
      <c r="C7" s="13">
        <v>20</v>
      </c>
      <c r="D7" s="13">
        <v>0</v>
      </c>
      <c r="E7" s="14">
        <v>0.06</v>
      </c>
      <c r="F7" s="14">
        <v>0</v>
      </c>
      <c r="G7" s="13">
        <v>0</v>
      </c>
      <c r="H7" s="15">
        <v>4034.76</v>
      </c>
    </row>
    <row r="8" spans="1:9" x14ac:dyDescent="0.3">
      <c r="A8" s="12">
        <v>42435</v>
      </c>
      <c r="B8" s="13">
        <v>0</v>
      </c>
      <c r="C8" s="13">
        <v>20</v>
      </c>
      <c r="D8" s="13">
        <v>0</v>
      </c>
      <c r="E8" s="14">
        <v>0.75</v>
      </c>
      <c r="F8" s="106">
        <v>0</v>
      </c>
      <c r="G8" s="13">
        <v>0</v>
      </c>
      <c r="H8" s="15">
        <v>4034.8</v>
      </c>
    </row>
    <row r="9" spans="1:9" x14ac:dyDescent="0.3">
      <c r="A9" s="12">
        <v>42436</v>
      </c>
      <c r="B9" s="13">
        <v>0</v>
      </c>
      <c r="C9" s="13">
        <v>36</v>
      </c>
      <c r="D9" s="13">
        <v>0</v>
      </c>
      <c r="E9" s="14">
        <v>0.02</v>
      </c>
      <c r="F9" s="14">
        <v>0</v>
      </c>
      <c r="G9" s="105">
        <v>94</v>
      </c>
      <c r="H9" s="15">
        <v>4034.84</v>
      </c>
      <c r="I9" t="s">
        <v>43</v>
      </c>
    </row>
    <row r="10" spans="1:9" x14ac:dyDescent="0.3">
      <c r="A10" s="12">
        <v>42437</v>
      </c>
      <c r="B10" s="13">
        <v>0</v>
      </c>
      <c r="C10" s="13">
        <v>38</v>
      </c>
      <c r="D10" s="13">
        <v>0</v>
      </c>
      <c r="E10" s="14">
        <v>0.03</v>
      </c>
      <c r="F10" s="14">
        <v>0</v>
      </c>
      <c r="G10" s="13">
        <v>160</v>
      </c>
      <c r="H10" s="15">
        <v>4034.86</v>
      </c>
    </row>
    <row r="11" spans="1:9" x14ac:dyDescent="0.3">
      <c r="A11" s="12">
        <v>42438</v>
      </c>
      <c r="B11" s="13">
        <v>0</v>
      </c>
      <c r="C11" s="13">
        <v>30</v>
      </c>
      <c r="D11" s="13">
        <v>0</v>
      </c>
      <c r="E11" s="14">
        <v>0.08</v>
      </c>
      <c r="F11" s="14">
        <v>0.5</v>
      </c>
      <c r="G11" s="13">
        <v>160</v>
      </c>
      <c r="H11" s="15">
        <v>4034.86</v>
      </c>
    </row>
    <row r="12" spans="1:9" x14ac:dyDescent="0.3">
      <c r="A12" s="12">
        <v>42439</v>
      </c>
      <c r="B12" s="13">
        <v>0</v>
      </c>
      <c r="C12" s="13">
        <v>30</v>
      </c>
      <c r="D12" s="13">
        <v>0</v>
      </c>
      <c r="E12" s="106" t="s">
        <v>39</v>
      </c>
      <c r="F12" s="14">
        <v>0</v>
      </c>
      <c r="G12" s="13">
        <v>160</v>
      </c>
      <c r="H12" s="15">
        <v>4034.86</v>
      </c>
    </row>
    <row r="13" spans="1:9" x14ac:dyDescent="0.3">
      <c r="A13" s="12">
        <v>42440</v>
      </c>
      <c r="B13" s="13">
        <v>0</v>
      </c>
      <c r="C13" s="13">
        <v>30</v>
      </c>
      <c r="D13" s="13">
        <v>0</v>
      </c>
      <c r="E13" s="14">
        <v>0</v>
      </c>
      <c r="F13" s="14">
        <v>0</v>
      </c>
      <c r="G13" s="13">
        <v>160</v>
      </c>
      <c r="H13" s="15">
        <v>4034.86</v>
      </c>
    </row>
    <row r="14" spans="1:9" x14ac:dyDescent="0.3">
      <c r="A14" s="12">
        <v>42441</v>
      </c>
      <c r="B14" s="13">
        <v>0</v>
      </c>
      <c r="C14" s="13">
        <v>30</v>
      </c>
      <c r="D14" s="13">
        <v>0</v>
      </c>
      <c r="E14" s="14">
        <v>0.01</v>
      </c>
      <c r="F14" s="14">
        <v>0</v>
      </c>
      <c r="G14" s="13">
        <v>160</v>
      </c>
      <c r="H14" s="15">
        <v>4034.86</v>
      </c>
    </row>
    <row r="15" spans="1:9" x14ac:dyDescent="0.3">
      <c r="A15" s="12">
        <v>42442</v>
      </c>
      <c r="B15" s="13">
        <v>0</v>
      </c>
      <c r="C15" s="13">
        <v>13</v>
      </c>
      <c r="D15" s="13">
        <v>0</v>
      </c>
      <c r="E15" s="14">
        <v>0.2</v>
      </c>
      <c r="F15" s="14">
        <v>0</v>
      </c>
      <c r="G15" s="13">
        <v>160</v>
      </c>
      <c r="H15" s="15">
        <v>4034.86</v>
      </c>
    </row>
    <row r="16" spans="1:9" x14ac:dyDescent="0.3">
      <c r="A16" s="12">
        <v>42443</v>
      </c>
      <c r="B16" s="13">
        <v>0</v>
      </c>
      <c r="C16" s="13">
        <v>17</v>
      </c>
      <c r="D16" s="13">
        <v>35</v>
      </c>
      <c r="E16" s="14">
        <v>0.16</v>
      </c>
      <c r="F16" s="14">
        <v>0.5</v>
      </c>
      <c r="G16" s="105">
        <v>65</v>
      </c>
      <c r="H16" s="15">
        <v>4034.88</v>
      </c>
      <c r="I16" t="s">
        <v>44</v>
      </c>
    </row>
    <row r="17" spans="1:9" x14ac:dyDescent="0.3">
      <c r="A17" s="12">
        <v>42444</v>
      </c>
      <c r="B17" s="13">
        <v>0</v>
      </c>
      <c r="C17" s="13">
        <v>0</v>
      </c>
      <c r="D17" s="13">
        <v>38</v>
      </c>
      <c r="E17" s="14">
        <v>0</v>
      </c>
      <c r="F17" s="14">
        <v>0</v>
      </c>
      <c r="G17" s="13">
        <v>0</v>
      </c>
      <c r="H17" s="15">
        <v>4034.88</v>
      </c>
    </row>
    <row r="18" spans="1:9" x14ac:dyDescent="0.3">
      <c r="A18" s="12">
        <v>42445</v>
      </c>
      <c r="B18" s="13">
        <v>0</v>
      </c>
      <c r="C18" s="13">
        <v>0</v>
      </c>
      <c r="D18" s="13">
        <v>35</v>
      </c>
      <c r="E18" s="14">
        <v>0</v>
      </c>
      <c r="F18" s="14">
        <v>0</v>
      </c>
      <c r="G18" s="13">
        <v>0</v>
      </c>
      <c r="H18" s="15">
        <v>4034.88</v>
      </c>
    </row>
    <row r="19" spans="1:9" x14ac:dyDescent="0.3">
      <c r="A19" s="12">
        <v>42446</v>
      </c>
      <c r="B19" s="13">
        <v>0</v>
      </c>
      <c r="C19" s="13">
        <v>0</v>
      </c>
      <c r="D19" s="13">
        <v>32</v>
      </c>
      <c r="E19" s="14">
        <v>0</v>
      </c>
      <c r="F19" s="14">
        <v>0</v>
      </c>
      <c r="G19" s="13">
        <v>0</v>
      </c>
      <c r="H19" s="15">
        <v>4034.88</v>
      </c>
    </row>
    <row r="20" spans="1:9" x14ac:dyDescent="0.3">
      <c r="A20" s="12">
        <v>42447</v>
      </c>
      <c r="B20" s="13">
        <v>0</v>
      </c>
      <c r="C20" s="13">
        <v>0</v>
      </c>
      <c r="D20" s="13">
        <v>31</v>
      </c>
      <c r="E20" s="14">
        <v>0</v>
      </c>
      <c r="F20" s="14">
        <v>0</v>
      </c>
      <c r="G20" s="13">
        <v>0</v>
      </c>
      <c r="H20" s="15">
        <v>4034.88</v>
      </c>
    </row>
    <row r="21" spans="1:9" x14ac:dyDescent="0.3">
      <c r="A21" s="12">
        <v>42448</v>
      </c>
      <c r="B21" s="13">
        <v>0</v>
      </c>
      <c r="C21" s="13">
        <v>0</v>
      </c>
      <c r="D21" s="13">
        <v>31</v>
      </c>
      <c r="E21" s="14">
        <v>0</v>
      </c>
      <c r="F21" s="14">
        <v>0</v>
      </c>
      <c r="G21" s="13">
        <v>0</v>
      </c>
      <c r="H21" s="15">
        <v>4034.88</v>
      </c>
    </row>
    <row r="22" spans="1:9" x14ac:dyDescent="0.3">
      <c r="A22" s="12">
        <v>42449</v>
      </c>
      <c r="B22" s="13">
        <v>0</v>
      </c>
      <c r="C22" s="13">
        <v>0</v>
      </c>
      <c r="D22" s="25">
        <v>29</v>
      </c>
      <c r="E22" s="14">
        <v>0</v>
      </c>
      <c r="F22" s="14">
        <v>0</v>
      </c>
      <c r="G22" s="13">
        <v>0</v>
      </c>
      <c r="H22" s="15">
        <v>4034.88</v>
      </c>
    </row>
    <row r="23" spans="1:9" x14ac:dyDescent="0.3">
      <c r="A23" s="12">
        <v>42450</v>
      </c>
      <c r="B23" s="25">
        <v>0</v>
      </c>
      <c r="C23" s="25">
        <v>0</v>
      </c>
      <c r="D23" s="25">
        <v>28</v>
      </c>
      <c r="E23" s="26">
        <v>0.14000000000000001</v>
      </c>
      <c r="F23" s="26">
        <v>0</v>
      </c>
      <c r="G23" s="13">
        <v>0</v>
      </c>
      <c r="H23" s="27">
        <v>4034.9</v>
      </c>
    </row>
    <row r="24" spans="1:9" x14ac:dyDescent="0.3">
      <c r="A24" s="12">
        <v>42451</v>
      </c>
      <c r="B24" s="25">
        <v>0</v>
      </c>
      <c r="C24" s="25">
        <v>0</v>
      </c>
      <c r="D24" s="25">
        <v>28</v>
      </c>
      <c r="E24" s="26">
        <v>0.01</v>
      </c>
      <c r="F24" s="26" t="s">
        <v>39</v>
      </c>
      <c r="G24" s="13">
        <v>0</v>
      </c>
      <c r="H24" s="27">
        <v>4034.92</v>
      </c>
    </row>
    <row r="25" spans="1:9" x14ac:dyDescent="0.3">
      <c r="A25" s="12">
        <v>42452</v>
      </c>
      <c r="B25" s="25">
        <v>13</v>
      </c>
      <c r="C25" s="25">
        <v>0</v>
      </c>
      <c r="D25" s="25">
        <v>30</v>
      </c>
      <c r="E25" s="26">
        <v>0</v>
      </c>
      <c r="F25" s="26">
        <v>0</v>
      </c>
      <c r="G25" s="13">
        <v>0</v>
      </c>
      <c r="H25" s="27">
        <v>4034.94</v>
      </c>
      <c r="I25" t="s">
        <v>45</v>
      </c>
    </row>
    <row r="26" spans="1:9" x14ac:dyDescent="0.3">
      <c r="A26" s="12">
        <v>42453</v>
      </c>
      <c r="B26" s="25">
        <v>25</v>
      </c>
      <c r="C26" s="25">
        <v>0</v>
      </c>
      <c r="D26" s="25">
        <v>40</v>
      </c>
      <c r="E26" s="26">
        <v>0</v>
      </c>
      <c r="F26" s="26">
        <v>0</v>
      </c>
      <c r="G26" s="13">
        <v>0</v>
      </c>
      <c r="H26" s="27">
        <v>4034.96</v>
      </c>
    </row>
    <row r="27" spans="1:9" x14ac:dyDescent="0.3">
      <c r="A27" s="12">
        <v>42454</v>
      </c>
      <c r="B27" s="25">
        <v>25</v>
      </c>
      <c r="C27" s="25">
        <v>0</v>
      </c>
      <c r="D27" s="25">
        <v>44</v>
      </c>
      <c r="E27" s="26">
        <v>0</v>
      </c>
      <c r="F27" s="26">
        <v>0</v>
      </c>
      <c r="G27" s="13">
        <v>0</v>
      </c>
      <c r="H27" s="27">
        <v>4034.98</v>
      </c>
    </row>
    <row r="28" spans="1:9" x14ac:dyDescent="0.3">
      <c r="A28" s="12">
        <v>42455</v>
      </c>
      <c r="B28" s="25">
        <v>25</v>
      </c>
      <c r="C28" s="25">
        <v>0</v>
      </c>
      <c r="D28" s="25">
        <v>36</v>
      </c>
      <c r="E28" s="26">
        <v>0</v>
      </c>
      <c r="F28" s="26">
        <v>0</v>
      </c>
      <c r="G28" s="13">
        <v>0</v>
      </c>
      <c r="H28" s="27">
        <v>4034.98</v>
      </c>
    </row>
    <row r="29" spans="1:9" x14ac:dyDescent="0.3">
      <c r="A29" s="12">
        <v>42456</v>
      </c>
      <c r="B29" s="25">
        <v>25</v>
      </c>
      <c r="C29" s="25">
        <v>0</v>
      </c>
      <c r="D29" s="25">
        <v>38</v>
      </c>
      <c r="E29" s="26">
        <v>0.06</v>
      </c>
      <c r="F29" s="26">
        <v>0</v>
      </c>
      <c r="G29" s="13">
        <v>0</v>
      </c>
      <c r="H29" s="27">
        <v>4034.98</v>
      </c>
    </row>
    <row r="30" spans="1:9" x14ac:dyDescent="0.3">
      <c r="A30" s="12">
        <v>42457</v>
      </c>
      <c r="B30" s="105">
        <v>42</v>
      </c>
      <c r="C30" s="25">
        <v>0</v>
      </c>
      <c r="D30" s="13">
        <v>38</v>
      </c>
      <c r="E30" s="14">
        <v>0</v>
      </c>
      <c r="F30" s="26">
        <v>0</v>
      </c>
      <c r="G30" s="13">
        <v>0</v>
      </c>
      <c r="H30" s="15">
        <v>4034.98</v>
      </c>
      <c r="I30" t="s">
        <v>46</v>
      </c>
    </row>
    <row r="31" spans="1:9" x14ac:dyDescent="0.3">
      <c r="A31" s="12">
        <v>42458</v>
      </c>
      <c r="B31" s="105">
        <v>50</v>
      </c>
      <c r="C31" s="25">
        <v>0</v>
      </c>
      <c r="D31" s="13">
        <v>57</v>
      </c>
      <c r="E31" s="14">
        <v>0</v>
      </c>
      <c r="F31" s="26">
        <v>0</v>
      </c>
      <c r="G31" s="13">
        <v>0</v>
      </c>
      <c r="H31" s="15">
        <v>4035</v>
      </c>
    </row>
    <row r="32" spans="1:9" x14ac:dyDescent="0.3">
      <c r="A32" s="12">
        <v>42459</v>
      </c>
      <c r="B32" s="13">
        <v>50</v>
      </c>
      <c r="C32" s="25">
        <v>0</v>
      </c>
      <c r="D32" s="13">
        <v>66</v>
      </c>
      <c r="E32" s="14">
        <v>0</v>
      </c>
      <c r="F32" s="26">
        <v>0</v>
      </c>
      <c r="G32" s="13">
        <v>0</v>
      </c>
      <c r="H32" s="15">
        <v>4035</v>
      </c>
    </row>
    <row r="33" spans="1:15" ht="15" thickBot="1" x14ac:dyDescent="0.35">
      <c r="A33" s="12">
        <v>42460</v>
      </c>
      <c r="B33" s="13">
        <v>50</v>
      </c>
      <c r="C33" s="25">
        <v>0</v>
      </c>
      <c r="D33" s="13">
        <v>65</v>
      </c>
      <c r="E33" s="14">
        <v>0</v>
      </c>
      <c r="F33" s="26">
        <v>0</v>
      </c>
      <c r="G33" s="13">
        <v>0</v>
      </c>
      <c r="H33" s="15">
        <v>4035</v>
      </c>
    </row>
    <row r="34" spans="1:15" s="11" customFormat="1" ht="15" thickTop="1" x14ac:dyDescent="0.3">
      <c r="A34" s="16" t="s">
        <v>8</v>
      </c>
      <c r="B34" s="17">
        <f t="shared" ref="B34:G34" si="0">SUM(B3:B33)</f>
        <v>305</v>
      </c>
      <c r="C34" s="17">
        <f t="shared" si="0"/>
        <v>344</v>
      </c>
      <c r="D34" s="17">
        <f t="shared" si="0"/>
        <v>701</v>
      </c>
      <c r="E34" s="18">
        <f t="shared" si="0"/>
        <v>1.5799999999999998</v>
      </c>
      <c r="F34" s="18">
        <f t="shared" si="0"/>
        <v>1</v>
      </c>
      <c r="G34" s="17">
        <f t="shared" si="0"/>
        <v>1119</v>
      </c>
      <c r="H34" s="18"/>
    </row>
    <row r="35" spans="1:15" s="11" customFormat="1" x14ac:dyDescent="0.3">
      <c r="A35" s="19" t="s">
        <v>9</v>
      </c>
      <c r="B35" s="20">
        <f>SUM(B34+'Feb 2016'!B33)</f>
        <v>2599</v>
      </c>
      <c r="C35" s="20">
        <f>SUM(C34+'Feb 2016'!C33)</f>
        <v>4808</v>
      </c>
      <c r="D35" s="20">
        <f>SUM(D34+'Feb 2016'!D33)</f>
        <v>7552</v>
      </c>
      <c r="E35" s="21">
        <f>SUM(E34+'Feb 2016'!E33)</f>
        <v>7.8000000000000007</v>
      </c>
      <c r="F35" s="21">
        <f>SUM(F34+'Feb 2016'!F33)</f>
        <v>22.689999999999998</v>
      </c>
      <c r="G35" s="20">
        <f>SUM(G34+'Feb 2016'!G33)</f>
        <v>17168</v>
      </c>
      <c r="H35" s="21"/>
    </row>
    <row r="37" spans="1:15" x14ac:dyDescent="0.3">
      <c r="A37" t="s">
        <v>10</v>
      </c>
      <c r="B37" s="23">
        <f>SUM(B3:B33)*1.9835</f>
        <v>604.96749999999997</v>
      </c>
      <c r="C37" s="23">
        <f>SUM(C3:C33)*1.9835</f>
        <v>682.32400000000007</v>
      </c>
      <c r="D37" s="23">
        <f>SUM(D3:D33)*1.9835</f>
        <v>1390.4335000000001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SUM(B37+'Feb 2016'!B37)</f>
        <v>5155.1165000000001</v>
      </c>
      <c r="C39" s="23">
        <f>SUM(C37+'Feb 2016'!C37)</f>
        <v>9536.6680000000015</v>
      </c>
      <c r="D39" s="23">
        <f>SUM(D37+'Feb 2016'!D37)</f>
        <v>14979.392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12"/>
      <c r="B41" s="112"/>
      <c r="C41" s="112"/>
      <c r="D41" s="112"/>
      <c r="E41" s="112"/>
      <c r="F41" s="113"/>
      <c r="G41" s="114" t="s">
        <v>12</v>
      </c>
      <c r="H41" s="115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4"/>
      <c r="H42" s="115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17" t="s">
        <v>23</v>
      </c>
      <c r="B43" s="117"/>
      <c r="C43" s="117"/>
      <c r="D43" s="117"/>
      <c r="E43" s="117"/>
      <c r="F43" s="117"/>
      <c r="G43" s="117"/>
      <c r="H43" s="117"/>
      <c r="I43" s="117"/>
      <c r="J43" s="117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18" t="s">
        <v>21</v>
      </c>
      <c r="B58" s="119"/>
      <c r="C58" s="120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31" sqref="H31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42401</v>
      </c>
      <c r="B3" s="13">
        <v>0</v>
      </c>
      <c r="C3" s="13">
        <v>70</v>
      </c>
      <c r="D3" s="13">
        <v>0</v>
      </c>
      <c r="E3" s="14">
        <v>0</v>
      </c>
      <c r="F3" s="14">
        <v>0</v>
      </c>
      <c r="G3" s="13">
        <v>318</v>
      </c>
      <c r="H3" s="15">
        <v>4034.8</v>
      </c>
    </row>
    <row r="4" spans="1:9" x14ac:dyDescent="0.3">
      <c r="A4" s="12">
        <v>42402</v>
      </c>
      <c r="B4" s="13">
        <v>0</v>
      </c>
      <c r="C4" s="13">
        <v>70</v>
      </c>
      <c r="D4" s="13">
        <v>0</v>
      </c>
      <c r="E4" s="14">
        <v>0.09</v>
      </c>
      <c r="F4" s="14">
        <v>1.5</v>
      </c>
      <c r="G4" s="13">
        <v>318</v>
      </c>
      <c r="H4" s="15">
        <v>4034.81</v>
      </c>
    </row>
    <row r="5" spans="1:9" x14ac:dyDescent="0.3">
      <c r="A5" s="12">
        <v>42403</v>
      </c>
      <c r="B5" s="13">
        <v>0</v>
      </c>
      <c r="C5" s="13">
        <v>70</v>
      </c>
      <c r="D5" s="13">
        <v>0</v>
      </c>
      <c r="E5" s="106" t="s">
        <v>39</v>
      </c>
      <c r="F5" s="14">
        <v>0</v>
      </c>
      <c r="G5" s="13">
        <v>318</v>
      </c>
      <c r="H5" s="15">
        <v>4034.82</v>
      </c>
    </row>
    <row r="6" spans="1:9" x14ac:dyDescent="0.3">
      <c r="A6" s="12">
        <v>42404</v>
      </c>
      <c r="B6" s="13">
        <v>0</v>
      </c>
      <c r="C6" s="13">
        <v>70</v>
      </c>
      <c r="D6" s="13">
        <v>0</v>
      </c>
      <c r="E6" s="14">
        <v>0</v>
      </c>
      <c r="F6" s="14">
        <v>0</v>
      </c>
      <c r="G6" s="13">
        <v>318</v>
      </c>
      <c r="H6" s="15">
        <v>4034.82</v>
      </c>
    </row>
    <row r="7" spans="1:9" x14ac:dyDescent="0.3">
      <c r="A7" s="12">
        <v>42405</v>
      </c>
      <c r="B7" s="13">
        <v>0</v>
      </c>
      <c r="C7" s="13">
        <v>70</v>
      </c>
      <c r="D7" s="13">
        <v>0</v>
      </c>
      <c r="E7" s="14">
        <v>0.02</v>
      </c>
      <c r="F7" s="14">
        <v>0</v>
      </c>
      <c r="G7" s="13">
        <v>318</v>
      </c>
      <c r="H7" s="15">
        <v>4034.82</v>
      </c>
    </row>
    <row r="8" spans="1:9" x14ac:dyDescent="0.3">
      <c r="A8" s="12">
        <v>42406</v>
      </c>
      <c r="B8" s="13">
        <v>0</v>
      </c>
      <c r="C8" s="13">
        <v>70</v>
      </c>
      <c r="D8" s="13">
        <v>0</v>
      </c>
      <c r="E8" s="14">
        <v>0.02</v>
      </c>
      <c r="F8" s="14">
        <v>0</v>
      </c>
      <c r="G8" s="13">
        <v>318</v>
      </c>
      <c r="H8" s="15">
        <v>4034.81</v>
      </c>
    </row>
    <row r="9" spans="1:9" x14ac:dyDescent="0.3">
      <c r="A9" s="12">
        <v>42407</v>
      </c>
      <c r="B9" s="13">
        <v>0</v>
      </c>
      <c r="C9" s="13">
        <v>70</v>
      </c>
      <c r="D9" s="13">
        <v>0</v>
      </c>
      <c r="E9" s="14">
        <v>0</v>
      </c>
      <c r="F9" s="14">
        <v>0</v>
      </c>
      <c r="G9" s="13">
        <v>318</v>
      </c>
      <c r="H9" s="15">
        <v>4034.8</v>
      </c>
    </row>
    <row r="10" spans="1:9" x14ac:dyDescent="0.3">
      <c r="A10" s="12">
        <v>42408</v>
      </c>
      <c r="B10" s="13">
        <v>0</v>
      </c>
      <c r="C10" s="13">
        <v>59</v>
      </c>
      <c r="D10" s="13">
        <v>0</v>
      </c>
      <c r="E10" s="14">
        <v>0.01</v>
      </c>
      <c r="F10" s="14">
        <v>0</v>
      </c>
      <c r="G10" s="13">
        <v>318</v>
      </c>
      <c r="H10" s="15">
        <v>4034.79</v>
      </c>
    </row>
    <row r="11" spans="1:9" x14ac:dyDescent="0.3">
      <c r="A11" s="12">
        <v>42409</v>
      </c>
      <c r="B11" s="13">
        <v>0</v>
      </c>
      <c r="C11" s="13">
        <v>50</v>
      </c>
      <c r="D11" s="13">
        <v>0</v>
      </c>
      <c r="E11" s="14">
        <v>0</v>
      </c>
      <c r="F11" s="14">
        <v>0</v>
      </c>
      <c r="G11" s="13">
        <v>318</v>
      </c>
      <c r="H11" s="15">
        <v>4034.78</v>
      </c>
    </row>
    <row r="12" spans="1:9" x14ac:dyDescent="0.3">
      <c r="A12" s="12">
        <v>42410</v>
      </c>
      <c r="B12" s="13">
        <v>0</v>
      </c>
      <c r="C12" s="13">
        <v>50</v>
      </c>
      <c r="D12" s="13">
        <v>0</v>
      </c>
      <c r="E12" s="14">
        <v>0</v>
      </c>
      <c r="F12" s="14">
        <v>0</v>
      </c>
      <c r="G12" s="13">
        <v>318</v>
      </c>
      <c r="H12" s="15">
        <v>4034.77</v>
      </c>
    </row>
    <row r="13" spans="1:9" x14ac:dyDescent="0.3">
      <c r="A13" s="12">
        <v>42411</v>
      </c>
      <c r="B13" s="13">
        <v>0</v>
      </c>
      <c r="C13" s="13">
        <v>50</v>
      </c>
      <c r="D13" s="13">
        <v>0</v>
      </c>
      <c r="E13" s="14">
        <v>0</v>
      </c>
      <c r="F13" s="14">
        <v>0</v>
      </c>
      <c r="G13" s="13">
        <v>318</v>
      </c>
      <c r="H13" s="15">
        <v>4034.76</v>
      </c>
    </row>
    <row r="14" spans="1:9" x14ac:dyDescent="0.3">
      <c r="A14" s="12">
        <v>42412</v>
      </c>
      <c r="B14" s="13">
        <v>0</v>
      </c>
      <c r="C14" s="13">
        <v>50</v>
      </c>
      <c r="D14" s="13">
        <v>0</v>
      </c>
      <c r="E14" s="14">
        <v>0</v>
      </c>
      <c r="F14" s="14">
        <v>0</v>
      </c>
      <c r="G14" s="13">
        <v>318</v>
      </c>
      <c r="H14" s="15">
        <v>4034.74</v>
      </c>
    </row>
    <row r="15" spans="1:9" x14ac:dyDescent="0.3">
      <c r="A15" s="12">
        <v>42413</v>
      </c>
      <c r="B15" s="13">
        <v>0</v>
      </c>
      <c r="C15" s="13">
        <v>50</v>
      </c>
      <c r="D15" s="13">
        <v>0</v>
      </c>
      <c r="E15" s="14">
        <v>0</v>
      </c>
      <c r="F15" s="14">
        <v>0</v>
      </c>
      <c r="G15" s="13">
        <v>318</v>
      </c>
      <c r="H15" s="27">
        <v>4034.72</v>
      </c>
    </row>
    <row r="16" spans="1:9" x14ac:dyDescent="0.3">
      <c r="A16" s="12">
        <v>42414</v>
      </c>
      <c r="B16" s="13">
        <v>0</v>
      </c>
      <c r="C16" s="13">
        <v>50</v>
      </c>
      <c r="D16" s="13">
        <v>0</v>
      </c>
      <c r="E16" s="26">
        <v>0.01</v>
      </c>
      <c r="F16" s="14">
        <v>0</v>
      </c>
      <c r="G16" s="13">
        <v>318</v>
      </c>
      <c r="H16" s="27">
        <v>4034.71</v>
      </c>
    </row>
    <row r="17" spans="1:9" x14ac:dyDescent="0.3">
      <c r="A17" s="12">
        <v>42415</v>
      </c>
      <c r="B17" s="13">
        <v>0</v>
      </c>
      <c r="C17" s="25">
        <v>50</v>
      </c>
      <c r="D17" s="13">
        <v>0</v>
      </c>
      <c r="E17" s="26" t="s">
        <v>39</v>
      </c>
      <c r="F17" s="26">
        <v>0</v>
      </c>
      <c r="G17" s="13">
        <v>318</v>
      </c>
      <c r="H17" s="27">
        <v>4034.7</v>
      </c>
    </row>
    <row r="18" spans="1:9" x14ac:dyDescent="0.3">
      <c r="A18" s="12">
        <v>42416</v>
      </c>
      <c r="B18" s="13">
        <v>0</v>
      </c>
      <c r="C18" s="25">
        <v>31</v>
      </c>
      <c r="D18" s="13">
        <v>0</v>
      </c>
      <c r="E18" s="26">
        <v>0.01</v>
      </c>
      <c r="F18" s="26">
        <v>0</v>
      </c>
      <c r="G18" s="13">
        <v>318</v>
      </c>
      <c r="H18" s="27">
        <v>4034.69</v>
      </c>
    </row>
    <row r="19" spans="1:9" x14ac:dyDescent="0.3">
      <c r="A19" s="12">
        <v>42417</v>
      </c>
      <c r="B19" s="13">
        <v>0</v>
      </c>
      <c r="C19" s="25">
        <v>30</v>
      </c>
      <c r="D19" s="13">
        <v>0</v>
      </c>
      <c r="E19" s="26">
        <v>0.01</v>
      </c>
      <c r="F19" s="26">
        <v>0</v>
      </c>
      <c r="G19" s="13">
        <v>318</v>
      </c>
      <c r="H19" s="27">
        <v>4034.68</v>
      </c>
    </row>
    <row r="20" spans="1:9" x14ac:dyDescent="0.3">
      <c r="A20" s="12">
        <v>42418</v>
      </c>
      <c r="B20" s="13">
        <v>0</v>
      </c>
      <c r="C20" s="25">
        <v>40</v>
      </c>
      <c r="D20" s="13">
        <v>0</v>
      </c>
      <c r="E20" s="26">
        <v>0.51</v>
      </c>
      <c r="F20" s="26">
        <v>3</v>
      </c>
      <c r="G20" s="13">
        <v>238</v>
      </c>
      <c r="H20" s="27">
        <v>4034.67</v>
      </c>
    </row>
    <row r="21" spans="1:9" x14ac:dyDescent="0.3">
      <c r="A21" s="12">
        <v>42419</v>
      </c>
      <c r="B21" s="13">
        <v>0</v>
      </c>
      <c r="C21" s="25">
        <v>40</v>
      </c>
      <c r="D21" s="13">
        <v>0</v>
      </c>
      <c r="E21" s="26">
        <v>7.0000000000000007E-2</v>
      </c>
      <c r="F21" s="26" t="s">
        <v>39</v>
      </c>
      <c r="G21" s="13">
        <v>206</v>
      </c>
      <c r="H21" s="27">
        <v>4034.66</v>
      </c>
    </row>
    <row r="22" spans="1:9" x14ac:dyDescent="0.3">
      <c r="A22" s="12">
        <v>42420</v>
      </c>
      <c r="B22" s="13">
        <v>0</v>
      </c>
      <c r="C22" s="25">
        <v>40</v>
      </c>
      <c r="D22" s="13">
        <v>0</v>
      </c>
      <c r="E22" s="26">
        <v>0.01</v>
      </c>
      <c r="F22" s="26">
        <v>0</v>
      </c>
      <c r="G22" s="13">
        <v>318</v>
      </c>
      <c r="H22" s="27">
        <v>4034.65</v>
      </c>
    </row>
    <row r="23" spans="1:9" x14ac:dyDescent="0.3">
      <c r="A23" s="12">
        <v>42421</v>
      </c>
      <c r="B23" s="13">
        <v>0</v>
      </c>
      <c r="C23" s="25">
        <v>40</v>
      </c>
      <c r="D23" s="13">
        <v>0</v>
      </c>
      <c r="E23" s="26">
        <v>0</v>
      </c>
      <c r="F23" s="26">
        <v>0</v>
      </c>
      <c r="G23" s="13">
        <v>318</v>
      </c>
      <c r="H23" s="27">
        <v>4034.64</v>
      </c>
    </row>
    <row r="24" spans="1:9" x14ac:dyDescent="0.3">
      <c r="A24" s="12">
        <v>42422</v>
      </c>
      <c r="B24" s="13">
        <v>0</v>
      </c>
      <c r="C24" s="25">
        <v>29</v>
      </c>
      <c r="D24" s="13">
        <v>0</v>
      </c>
      <c r="E24" s="26">
        <v>0.01</v>
      </c>
      <c r="F24" s="26">
        <v>0</v>
      </c>
      <c r="G24" s="13">
        <v>318</v>
      </c>
      <c r="H24" s="27">
        <v>4034.64</v>
      </c>
    </row>
    <row r="25" spans="1:9" x14ac:dyDescent="0.3">
      <c r="A25" s="12">
        <v>42423</v>
      </c>
      <c r="B25" s="13">
        <v>0</v>
      </c>
      <c r="C25" s="25">
        <v>20</v>
      </c>
      <c r="D25" s="13">
        <v>0</v>
      </c>
      <c r="E25" s="26">
        <v>0.01</v>
      </c>
      <c r="F25" s="26">
        <v>0</v>
      </c>
      <c r="G25" s="13">
        <v>318</v>
      </c>
      <c r="H25" s="27">
        <v>4034.62</v>
      </c>
    </row>
    <row r="26" spans="1:9" x14ac:dyDescent="0.3">
      <c r="A26" s="12">
        <v>42424</v>
      </c>
      <c r="B26" s="13">
        <v>0</v>
      </c>
      <c r="C26" s="25">
        <v>20</v>
      </c>
      <c r="D26" s="13">
        <v>0</v>
      </c>
      <c r="E26" s="26">
        <v>0</v>
      </c>
      <c r="F26" s="26">
        <v>0</v>
      </c>
      <c r="G26" s="13">
        <v>318</v>
      </c>
      <c r="H26" s="27">
        <v>4034.6</v>
      </c>
    </row>
    <row r="27" spans="1:9" x14ac:dyDescent="0.3">
      <c r="A27" s="12">
        <v>42425</v>
      </c>
      <c r="B27" s="13">
        <v>0</v>
      </c>
      <c r="C27" s="25">
        <v>20</v>
      </c>
      <c r="D27" s="13">
        <v>0</v>
      </c>
      <c r="E27" s="26">
        <v>0</v>
      </c>
      <c r="F27" s="26">
        <v>0</v>
      </c>
      <c r="G27" s="13">
        <v>318</v>
      </c>
      <c r="H27" s="27">
        <v>4034.6</v>
      </c>
    </row>
    <row r="28" spans="1:9" x14ac:dyDescent="0.3">
      <c r="A28" s="12">
        <v>42426</v>
      </c>
      <c r="B28" s="13">
        <v>0</v>
      </c>
      <c r="C28" s="25">
        <v>20</v>
      </c>
      <c r="D28" s="13">
        <v>0</v>
      </c>
      <c r="E28" s="26">
        <v>0</v>
      </c>
      <c r="F28" s="26">
        <v>0</v>
      </c>
      <c r="G28" s="105">
        <v>119</v>
      </c>
      <c r="H28" s="27">
        <v>4034.6</v>
      </c>
      <c r="I28" t="s">
        <v>42</v>
      </c>
    </row>
    <row r="29" spans="1:9" x14ac:dyDescent="0.3">
      <c r="A29" s="12">
        <v>42427</v>
      </c>
      <c r="B29" s="13">
        <v>0</v>
      </c>
      <c r="C29" s="25">
        <v>20</v>
      </c>
      <c r="D29" s="13">
        <v>0</v>
      </c>
      <c r="E29" s="26">
        <v>0.13</v>
      </c>
      <c r="F29" s="26">
        <v>0</v>
      </c>
      <c r="G29" s="13">
        <v>0</v>
      </c>
      <c r="H29" s="27">
        <v>4034.62</v>
      </c>
    </row>
    <row r="30" spans="1:9" x14ac:dyDescent="0.3">
      <c r="A30" s="12">
        <v>42428</v>
      </c>
      <c r="B30" s="13">
        <v>0</v>
      </c>
      <c r="C30" s="25">
        <v>20</v>
      </c>
      <c r="D30" s="13">
        <v>0</v>
      </c>
      <c r="E30" s="26">
        <v>0</v>
      </c>
      <c r="F30" s="26">
        <v>0</v>
      </c>
      <c r="G30" s="13">
        <v>0</v>
      </c>
      <c r="H30" s="27">
        <v>4034.64</v>
      </c>
    </row>
    <row r="31" spans="1:9" ht="15" thickBot="1" x14ac:dyDescent="0.35">
      <c r="A31" s="12">
        <v>42429</v>
      </c>
      <c r="B31" s="13">
        <v>0</v>
      </c>
      <c r="C31" s="25">
        <v>20</v>
      </c>
      <c r="D31" s="13">
        <v>0</v>
      </c>
      <c r="E31" s="106" t="s">
        <v>39</v>
      </c>
      <c r="F31" s="14">
        <v>0</v>
      </c>
      <c r="G31" s="13">
        <v>0</v>
      </c>
      <c r="H31" s="27">
        <v>4034.66</v>
      </c>
    </row>
    <row r="32" spans="1:9" s="11" customFormat="1" ht="15" thickTop="1" x14ac:dyDescent="0.3">
      <c r="A32" s="16" t="s">
        <v>8</v>
      </c>
      <c r="B32" s="17">
        <f t="shared" ref="B32:G32" si="0">SUM(B3:B31)</f>
        <v>0</v>
      </c>
      <c r="C32" s="17">
        <f t="shared" si="0"/>
        <v>1289</v>
      </c>
      <c r="D32" s="17">
        <f t="shared" si="0"/>
        <v>0</v>
      </c>
      <c r="E32" s="18">
        <f t="shared" si="0"/>
        <v>0.91</v>
      </c>
      <c r="F32" s="18">
        <f t="shared" si="0"/>
        <v>4.5</v>
      </c>
      <c r="G32" s="17">
        <f t="shared" si="0"/>
        <v>7877</v>
      </c>
      <c r="H32" s="18"/>
      <c r="I32"/>
    </row>
    <row r="33" spans="1:15" s="11" customFormat="1" x14ac:dyDescent="0.3">
      <c r="A33" s="19" t="s">
        <v>9</v>
      </c>
      <c r="B33" s="20">
        <f>SUM(B32+'Jan 2016'!B35)</f>
        <v>2294</v>
      </c>
      <c r="C33" s="20">
        <f>SUM(C32+'Jan 2016'!C35)</f>
        <v>4464</v>
      </c>
      <c r="D33" s="20">
        <f>SUM(D32+'Jan 2016'!D35)</f>
        <v>6851</v>
      </c>
      <c r="E33" s="21">
        <f>SUM(E32+'Jan 2016'!E35)</f>
        <v>6.2200000000000006</v>
      </c>
      <c r="F33" s="21">
        <f>SUM(F32+'Jan 2016'!F35)</f>
        <v>21.689999999999998</v>
      </c>
      <c r="G33" s="20">
        <f>SUM(G32+'Jan 2016'!G35)</f>
        <v>16049</v>
      </c>
      <c r="H33" s="21"/>
      <c r="I33"/>
    </row>
    <row r="35" spans="1:15" x14ac:dyDescent="0.3">
      <c r="A35" t="s">
        <v>10</v>
      </c>
      <c r="B35" s="23">
        <f>SUM(B3:B31)*1.9835</f>
        <v>0</v>
      </c>
      <c r="C35" s="23">
        <f>SUM(C3:C31)*1.9835</f>
        <v>2556.7314999999999</v>
      </c>
      <c r="D35" s="23">
        <f>SUM(D3:D31)*1.9835</f>
        <v>0</v>
      </c>
      <c r="E35" s="23"/>
      <c r="F35" s="23"/>
      <c r="G35" s="23"/>
      <c r="I35" s="22"/>
    </row>
    <row r="37" spans="1:15" x14ac:dyDescent="0.3">
      <c r="A37" t="s">
        <v>24</v>
      </c>
      <c r="B37" s="23">
        <f>SUM(B35+'Jan 2016'!B39)</f>
        <v>4550.1490000000003</v>
      </c>
      <c r="C37" s="23">
        <f>SUM(C35+'Jan 2016'!C39)</f>
        <v>8854.344000000001</v>
      </c>
      <c r="D37" s="23">
        <f>SUM(D35+'Jan 2016'!D39)</f>
        <v>13588.958500000001</v>
      </c>
      <c r="E37" s="23"/>
      <c r="F37" s="23"/>
      <c r="G37" s="23"/>
      <c r="I37" s="22"/>
    </row>
    <row r="38" spans="1:15" x14ac:dyDescent="0.3">
      <c r="B38" s="23"/>
      <c r="C38" s="23"/>
      <c r="D38" s="24"/>
      <c r="E38" s="23"/>
      <c r="F38" s="23"/>
      <c r="G38" s="23"/>
      <c r="I38" s="22"/>
    </row>
    <row r="39" spans="1:15" ht="17.399999999999999" customHeight="1" x14ac:dyDescent="0.3">
      <c r="A39" s="112"/>
      <c r="B39" s="112"/>
      <c r="C39" s="112"/>
      <c r="D39" s="112"/>
      <c r="E39" s="112"/>
      <c r="F39" s="113"/>
      <c r="G39" s="114" t="s">
        <v>12</v>
      </c>
      <c r="H39" s="115"/>
      <c r="I39" s="30"/>
      <c r="J39" s="30"/>
      <c r="K39" s="30"/>
      <c r="L39" s="30"/>
      <c r="M39" s="30"/>
      <c r="N39" s="31"/>
      <c r="O39" s="30"/>
    </row>
    <row r="40" spans="1:15" ht="16.95" customHeight="1" x14ac:dyDescent="0.3">
      <c r="A40" s="29"/>
      <c r="B40" s="29"/>
      <c r="C40" s="29"/>
      <c r="D40" s="29"/>
      <c r="E40" s="29"/>
      <c r="F40" s="29"/>
      <c r="G40" s="114"/>
      <c r="H40" s="115"/>
      <c r="I40" s="30"/>
      <c r="J40" s="30"/>
      <c r="K40" s="30"/>
      <c r="L40" s="30"/>
      <c r="M40" s="30"/>
      <c r="N40" s="31"/>
      <c r="O40" s="30"/>
    </row>
    <row r="41" spans="1:15" ht="13.95" customHeight="1" x14ac:dyDescent="0.3">
      <c r="A41" s="117" t="s">
        <v>23</v>
      </c>
      <c r="B41" s="117"/>
      <c r="C41" s="117"/>
      <c r="D41" s="117"/>
      <c r="E41" s="117"/>
      <c r="F41" s="117"/>
      <c r="G41" s="117"/>
      <c r="H41" s="117"/>
      <c r="I41" s="117"/>
      <c r="J41" s="117"/>
      <c r="K41" s="32"/>
      <c r="L41" s="32"/>
      <c r="M41" s="32"/>
      <c r="N41" s="33"/>
      <c r="O41" s="34"/>
    </row>
    <row r="42" spans="1:15" ht="15.6" customHeight="1" x14ac:dyDescent="0.3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 x14ac:dyDescent="0.3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2" customHeight="1" x14ac:dyDescent="0.3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" thickBot="1" x14ac:dyDescent="0.35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6.4" x14ac:dyDescent="0.35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6" x14ac:dyDescent="0.35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 x14ac:dyDescent="0.3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 x14ac:dyDescent="0.3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" thickBot="1" x14ac:dyDescent="0.35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 x14ac:dyDescent="0.3">
      <c r="A56" s="118" t="s">
        <v>21</v>
      </c>
      <c r="B56" s="119"/>
      <c r="C56" s="120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I52" sqref="I5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42370</v>
      </c>
      <c r="B3" s="25">
        <v>0</v>
      </c>
      <c r="C3" s="25">
        <v>50</v>
      </c>
      <c r="D3" s="25">
        <v>0</v>
      </c>
      <c r="E3" s="26">
        <v>0</v>
      </c>
      <c r="F3" s="26">
        <v>0</v>
      </c>
      <c r="G3" s="25">
        <v>0</v>
      </c>
      <c r="H3" s="27">
        <v>4034.86</v>
      </c>
    </row>
    <row r="4" spans="1:9" x14ac:dyDescent="0.3">
      <c r="A4" s="12">
        <v>42371</v>
      </c>
      <c r="B4" s="25">
        <v>0</v>
      </c>
      <c r="C4" s="25">
        <v>43</v>
      </c>
      <c r="D4" s="25">
        <v>0</v>
      </c>
      <c r="E4" s="26">
        <v>0</v>
      </c>
      <c r="F4" s="26">
        <v>0</v>
      </c>
      <c r="G4" s="25">
        <v>0</v>
      </c>
      <c r="H4" s="27">
        <v>4034.88</v>
      </c>
    </row>
    <row r="5" spans="1:9" x14ac:dyDescent="0.3">
      <c r="A5" s="12">
        <v>42372</v>
      </c>
      <c r="B5" s="25">
        <v>0</v>
      </c>
      <c r="C5" s="25">
        <v>36</v>
      </c>
      <c r="D5" s="25">
        <v>0</v>
      </c>
      <c r="E5" s="26">
        <v>0</v>
      </c>
      <c r="F5" s="26">
        <v>0</v>
      </c>
      <c r="G5" s="25">
        <v>0</v>
      </c>
      <c r="H5" s="27">
        <v>4034.9</v>
      </c>
    </row>
    <row r="6" spans="1:9" x14ac:dyDescent="0.3">
      <c r="A6" s="12">
        <v>42373</v>
      </c>
      <c r="B6" s="25">
        <v>0</v>
      </c>
      <c r="C6" s="25">
        <v>40</v>
      </c>
      <c r="D6" s="25">
        <v>0</v>
      </c>
      <c r="E6" s="26">
        <v>0</v>
      </c>
      <c r="F6" s="26">
        <v>0</v>
      </c>
      <c r="G6" s="25">
        <v>0</v>
      </c>
      <c r="H6" s="27">
        <v>4034.87</v>
      </c>
    </row>
    <row r="7" spans="1:9" x14ac:dyDescent="0.3">
      <c r="A7" s="12">
        <v>42374</v>
      </c>
      <c r="B7" s="25">
        <v>0</v>
      </c>
      <c r="C7" s="25">
        <v>40</v>
      </c>
      <c r="D7" s="25">
        <v>0</v>
      </c>
      <c r="E7" s="26">
        <v>0.01</v>
      </c>
      <c r="F7" s="26">
        <v>0</v>
      </c>
      <c r="G7" s="25">
        <v>0</v>
      </c>
      <c r="H7" s="27">
        <v>4034.85</v>
      </c>
    </row>
    <row r="8" spans="1:9" x14ac:dyDescent="0.3">
      <c r="A8" s="12">
        <v>42375</v>
      </c>
      <c r="B8" s="25">
        <v>0</v>
      </c>
      <c r="C8" s="25">
        <v>40</v>
      </c>
      <c r="D8" s="25">
        <v>0</v>
      </c>
      <c r="E8" s="14">
        <v>0</v>
      </c>
      <c r="F8" s="26">
        <v>0</v>
      </c>
      <c r="G8" s="25">
        <v>0</v>
      </c>
      <c r="H8" s="27">
        <v>4034.82</v>
      </c>
    </row>
    <row r="9" spans="1:9" x14ac:dyDescent="0.3">
      <c r="A9" s="12">
        <v>42376</v>
      </c>
      <c r="B9" s="25">
        <v>0</v>
      </c>
      <c r="C9" s="25">
        <v>40</v>
      </c>
      <c r="D9" s="25">
        <v>0</v>
      </c>
      <c r="E9" s="14">
        <v>0</v>
      </c>
      <c r="F9" s="26">
        <v>0</v>
      </c>
      <c r="G9" s="25">
        <v>0</v>
      </c>
      <c r="H9" s="27">
        <v>4034.8</v>
      </c>
    </row>
    <row r="10" spans="1:9" x14ac:dyDescent="0.3">
      <c r="A10" s="12">
        <v>42377</v>
      </c>
      <c r="B10" s="25">
        <v>0</v>
      </c>
      <c r="C10" s="25">
        <v>40</v>
      </c>
      <c r="D10" s="25">
        <v>0</v>
      </c>
      <c r="E10" s="14">
        <v>0</v>
      </c>
      <c r="F10" s="26">
        <v>0</v>
      </c>
      <c r="G10" s="25">
        <v>0</v>
      </c>
      <c r="H10" s="27">
        <v>4034.8</v>
      </c>
    </row>
    <row r="11" spans="1:9" x14ac:dyDescent="0.3">
      <c r="A11" s="12">
        <v>42378</v>
      </c>
      <c r="B11" s="25">
        <v>0</v>
      </c>
      <c r="C11" s="25">
        <v>36</v>
      </c>
      <c r="D11" s="25">
        <v>0</v>
      </c>
      <c r="E11" s="14">
        <v>0.18</v>
      </c>
      <c r="F11" s="26">
        <v>2</v>
      </c>
      <c r="G11" s="25">
        <v>0</v>
      </c>
      <c r="H11" s="27">
        <v>4034.8</v>
      </c>
    </row>
    <row r="12" spans="1:9" x14ac:dyDescent="0.3">
      <c r="A12" s="12">
        <v>42379</v>
      </c>
      <c r="B12" s="25">
        <v>0</v>
      </c>
      <c r="C12" s="25">
        <v>30</v>
      </c>
      <c r="D12" s="25">
        <v>0</v>
      </c>
      <c r="E12" s="14">
        <v>0.01</v>
      </c>
      <c r="F12" s="26">
        <v>0</v>
      </c>
      <c r="G12" s="25">
        <v>0</v>
      </c>
      <c r="H12" s="27">
        <v>4034.8</v>
      </c>
    </row>
    <row r="13" spans="1:9" x14ac:dyDescent="0.3">
      <c r="A13" s="12">
        <v>42380</v>
      </c>
      <c r="B13" s="25">
        <v>0</v>
      </c>
      <c r="C13" s="25">
        <v>21</v>
      </c>
      <c r="D13" s="25">
        <v>0</v>
      </c>
      <c r="E13" s="14">
        <v>0</v>
      </c>
      <c r="F13" s="26">
        <v>0</v>
      </c>
      <c r="G13" s="25">
        <v>0</v>
      </c>
      <c r="H13" s="27">
        <v>4034.8</v>
      </c>
    </row>
    <row r="14" spans="1:9" x14ac:dyDescent="0.3">
      <c r="A14" s="12">
        <v>42381</v>
      </c>
      <c r="B14" s="25">
        <v>0</v>
      </c>
      <c r="C14" s="25">
        <v>15</v>
      </c>
      <c r="D14" s="25">
        <v>0</v>
      </c>
      <c r="E14" s="14">
        <v>0</v>
      </c>
      <c r="F14" s="26">
        <v>0</v>
      </c>
      <c r="G14" s="25">
        <v>0</v>
      </c>
      <c r="H14" s="27">
        <v>4034.8</v>
      </c>
    </row>
    <row r="15" spans="1:9" x14ac:dyDescent="0.3">
      <c r="A15" s="12">
        <v>42382</v>
      </c>
      <c r="B15" s="25">
        <v>0</v>
      </c>
      <c r="C15" s="25">
        <v>15</v>
      </c>
      <c r="D15" s="25">
        <v>0</v>
      </c>
      <c r="E15" s="14">
        <v>0.15</v>
      </c>
      <c r="F15" s="26">
        <v>0</v>
      </c>
      <c r="G15" s="25">
        <v>0</v>
      </c>
      <c r="H15" s="27">
        <v>4034.8</v>
      </c>
    </row>
    <row r="16" spans="1:9" x14ac:dyDescent="0.3">
      <c r="A16" s="12">
        <v>42383</v>
      </c>
      <c r="B16" s="25">
        <v>0</v>
      </c>
      <c r="C16" s="25">
        <v>24</v>
      </c>
      <c r="D16" s="25">
        <v>0</v>
      </c>
      <c r="E16" s="14">
        <v>0.01</v>
      </c>
      <c r="F16" s="26" t="s">
        <v>39</v>
      </c>
      <c r="G16" s="25">
        <v>0</v>
      </c>
      <c r="H16" s="27">
        <v>4034.81</v>
      </c>
    </row>
    <row r="17" spans="1:9" x14ac:dyDescent="0.3">
      <c r="A17" s="12">
        <v>42384</v>
      </c>
      <c r="B17" s="25">
        <v>0</v>
      </c>
      <c r="C17" s="25">
        <v>42</v>
      </c>
      <c r="D17" s="25">
        <v>0</v>
      </c>
      <c r="E17" s="14">
        <v>0.02</v>
      </c>
      <c r="F17" s="26">
        <v>0.3</v>
      </c>
      <c r="G17" s="25">
        <v>0</v>
      </c>
      <c r="H17" s="27">
        <v>4034.8</v>
      </c>
    </row>
    <row r="18" spans="1:9" x14ac:dyDescent="0.3">
      <c r="A18" s="12">
        <v>42385</v>
      </c>
      <c r="B18" s="25">
        <v>0</v>
      </c>
      <c r="C18" s="25">
        <v>50</v>
      </c>
      <c r="D18" s="25">
        <v>0</v>
      </c>
      <c r="E18" s="14">
        <v>0.1</v>
      </c>
      <c r="F18" s="26">
        <v>1</v>
      </c>
      <c r="G18" s="25">
        <v>0</v>
      </c>
      <c r="H18" s="15">
        <v>4034.82</v>
      </c>
    </row>
    <row r="19" spans="1:9" x14ac:dyDescent="0.3">
      <c r="A19" s="12">
        <v>42386</v>
      </c>
      <c r="B19" s="25">
        <v>0</v>
      </c>
      <c r="C19" s="25">
        <v>50</v>
      </c>
      <c r="D19" s="25">
        <v>0</v>
      </c>
      <c r="E19" s="14">
        <v>0.08</v>
      </c>
      <c r="F19" s="26">
        <v>0.08</v>
      </c>
      <c r="G19" s="25">
        <v>0</v>
      </c>
      <c r="H19" s="15">
        <v>4034.84</v>
      </c>
    </row>
    <row r="20" spans="1:9" x14ac:dyDescent="0.3">
      <c r="A20" s="12">
        <v>42387</v>
      </c>
      <c r="B20" s="25">
        <v>0</v>
      </c>
      <c r="C20" s="25">
        <v>60</v>
      </c>
      <c r="D20" s="25">
        <v>0</v>
      </c>
      <c r="E20" s="14">
        <v>0.28000000000000003</v>
      </c>
      <c r="F20" s="26">
        <v>0</v>
      </c>
      <c r="G20" s="25">
        <v>0</v>
      </c>
      <c r="H20" s="15">
        <v>4034.86</v>
      </c>
    </row>
    <row r="21" spans="1:9" x14ac:dyDescent="0.3">
      <c r="A21" s="12">
        <v>42388</v>
      </c>
      <c r="B21" s="25">
        <v>0</v>
      </c>
      <c r="C21" s="25">
        <v>114</v>
      </c>
      <c r="D21" s="25">
        <v>0</v>
      </c>
      <c r="E21" s="14">
        <v>0.06</v>
      </c>
      <c r="F21" s="26">
        <v>0</v>
      </c>
      <c r="G21" s="25">
        <v>102</v>
      </c>
      <c r="H21" s="15">
        <v>4034.87</v>
      </c>
      <c r="I21" t="s">
        <v>40</v>
      </c>
    </row>
    <row r="22" spans="1:9" x14ac:dyDescent="0.3">
      <c r="A22" s="12">
        <v>42389</v>
      </c>
      <c r="B22" s="25">
        <v>0</v>
      </c>
      <c r="C22" s="25">
        <v>137</v>
      </c>
      <c r="D22" s="25">
        <v>0</v>
      </c>
      <c r="E22" s="14">
        <v>0</v>
      </c>
      <c r="F22" s="26">
        <v>0</v>
      </c>
      <c r="G22" s="25">
        <v>224</v>
      </c>
      <c r="H22" s="15">
        <v>4034.89</v>
      </c>
      <c r="I22" t="s">
        <v>41</v>
      </c>
    </row>
    <row r="23" spans="1:9" x14ac:dyDescent="0.3">
      <c r="A23" s="12">
        <v>42390</v>
      </c>
      <c r="B23" s="25">
        <v>0</v>
      </c>
      <c r="C23" s="13">
        <v>94</v>
      </c>
      <c r="D23" s="25">
        <v>0</v>
      </c>
      <c r="E23" s="14">
        <v>0</v>
      </c>
      <c r="F23" s="14">
        <v>0</v>
      </c>
      <c r="G23" s="25">
        <v>318</v>
      </c>
      <c r="H23" s="15">
        <v>4034.91</v>
      </c>
    </row>
    <row r="24" spans="1:9" x14ac:dyDescent="0.3">
      <c r="A24" s="12">
        <v>42391</v>
      </c>
      <c r="B24" s="25">
        <v>0</v>
      </c>
      <c r="C24" s="13">
        <v>80</v>
      </c>
      <c r="D24" s="25">
        <v>0</v>
      </c>
      <c r="E24" s="14">
        <v>0.19</v>
      </c>
      <c r="F24" s="14">
        <v>0</v>
      </c>
      <c r="G24" s="25">
        <v>318</v>
      </c>
      <c r="H24" s="15">
        <v>4034.9</v>
      </c>
    </row>
    <row r="25" spans="1:9" x14ac:dyDescent="0.3">
      <c r="A25" s="12">
        <v>42392</v>
      </c>
      <c r="B25" s="25">
        <v>0</v>
      </c>
      <c r="C25" s="13">
        <v>80</v>
      </c>
      <c r="D25" s="25">
        <v>0</v>
      </c>
      <c r="E25" s="14">
        <v>0.11</v>
      </c>
      <c r="F25" s="14">
        <v>0</v>
      </c>
      <c r="G25" s="25">
        <v>318</v>
      </c>
      <c r="H25" s="15">
        <v>4034.88</v>
      </c>
    </row>
    <row r="26" spans="1:9" x14ac:dyDescent="0.3">
      <c r="A26" s="12">
        <v>42393</v>
      </c>
      <c r="B26" s="25">
        <v>0</v>
      </c>
      <c r="C26" s="13">
        <v>93</v>
      </c>
      <c r="D26" s="25">
        <v>0</v>
      </c>
      <c r="E26" s="14">
        <v>0.02</v>
      </c>
      <c r="F26" s="14">
        <v>0</v>
      </c>
      <c r="G26" s="25">
        <v>318</v>
      </c>
      <c r="H26" s="15">
        <v>4034.86</v>
      </c>
    </row>
    <row r="27" spans="1:9" x14ac:dyDescent="0.3">
      <c r="A27" s="12">
        <v>42394</v>
      </c>
      <c r="B27" s="25">
        <v>0</v>
      </c>
      <c r="C27" s="13">
        <v>100</v>
      </c>
      <c r="D27" s="25">
        <v>0</v>
      </c>
      <c r="E27" s="14">
        <v>0.02</v>
      </c>
      <c r="F27" s="14">
        <v>0</v>
      </c>
      <c r="G27" s="25">
        <v>318</v>
      </c>
      <c r="H27" s="15">
        <v>4034.85</v>
      </c>
    </row>
    <row r="28" spans="1:9" x14ac:dyDescent="0.3">
      <c r="A28" s="12">
        <v>42395</v>
      </c>
      <c r="B28" s="25">
        <v>0</v>
      </c>
      <c r="C28" s="13">
        <v>100</v>
      </c>
      <c r="D28" s="25">
        <v>0</v>
      </c>
      <c r="E28" s="14">
        <v>0.01</v>
      </c>
      <c r="F28" s="14">
        <v>0</v>
      </c>
      <c r="G28" s="25">
        <v>318</v>
      </c>
      <c r="H28" s="15">
        <v>4034.84</v>
      </c>
    </row>
    <row r="29" spans="1:9" x14ac:dyDescent="0.3">
      <c r="A29" s="12">
        <v>42396</v>
      </c>
      <c r="B29" s="25">
        <v>0</v>
      </c>
      <c r="C29" s="13">
        <v>82</v>
      </c>
      <c r="D29" s="25">
        <v>0</v>
      </c>
      <c r="E29" s="14">
        <v>0</v>
      </c>
      <c r="F29" s="14">
        <v>0</v>
      </c>
      <c r="G29" s="25">
        <v>318</v>
      </c>
      <c r="H29" s="15">
        <v>4034.83</v>
      </c>
    </row>
    <row r="30" spans="1:9" x14ac:dyDescent="0.3">
      <c r="A30" s="12">
        <v>42397</v>
      </c>
      <c r="B30" s="25">
        <v>0</v>
      </c>
      <c r="C30" s="13">
        <v>58</v>
      </c>
      <c r="D30" s="25">
        <v>0</v>
      </c>
      <c r="E30" s="14">
        <v>0.1</v>
      </c>
      <c r="F30" s="14">
        <v>0</v>
      </c>
      <c r="G30" s="25">
        <v>318</v>
      </c>
      <c r="H30" s="15">
        <v>4034.82</v>
      </c>
    </row>
    <row r="31" spans="1:9" x14ac:dyDescent="0.3">
      <c r="A31" s="12">
        <v>42398</v>
      </c>
      <c r="B31" s="25">
        <v>0</v>
      </c>
      <c r="C31" s="13">
        <v>54</v>
      </c>
      <c r="D31" s="25">
        <v>0</v>
      </c>
      <c r="E31" s="14">
        <v>0.28000000000000003</v>
      </c>
      <c r="F31" s="14">
        <v>0</v>
      </c>
      <c r="G31" s="25">
        <v>318</v>
      </c>
      <c r="H31" s="15">
        <v>4034.81</v>
      </c>
    </row>
    <row r="32" spans="1:9" x14ac:dyDescent="0.3">
      <c r="A32" s="12">
        <v>42399</v>
      </c>
      <c r="B32" s="25">
        <v>0</v>
      </c>
      <c r="C32" s="13">
        <v>64</v>
      </c>
      <c r="D32" s="25">
        <v>0</v>
      </c>
      <c r="E32" s="14">
        <v>0.06</v>
      </c>
      <c r="F32" s="14">
        <v>0</v>
      </c>
      <c r="G32" s="25">
        <v>318</v>
      </c>
      <c r="H32" s="15">
        <v>4034.81</v>
      </c>
    </row>
    <row r="33" spans="1:15" ht="15" thickBot="1" x14ac:dyDescent="0.35">
      <c r="A33" s="12">
        <v>42400</v>
      </c>
      <c r="B33" s="25">
        <v>0</v>
      </c>
      <c r="C33" s="13">
        <v>70</v>
      </c>
      <c r="D33" s="13">
        <v>0</v>
      </c>
      <c r="E33" s="14">
        <v>0</v>
      </c>
      <c r="F33" s="14">
        <v>0</v>
      </c>
      <c r="G33" s="25">
        <v>318</v>
      </c>
      <c r="H33" s="15">
        <v>4034.8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1798</v>
      </c>
      <c r="D34" s="17">
        <f t="shared" si="0"/>
        <v>0</v>
      </c>
      <c r="E34" s="18">
        <f t="shared" si="0"/>
        <v>1.6900000000000002</v>
      </c>
      <c r="F34" s="18">
        <f t="shared" si="0"/>
        <v>3.38</v>
      </c>
      <c r="G34" s="17">
        <f t="shared" si="0"/>
        <v>3824</v>
      </c>
      <c r="H34" s="18"/>
    </row>
    <row r="35" spans="1:15" s="11" customFormat="1" x14ac:dyDescent="0.3">
      <c r="A35" s="19" t="s">
        <v>9</v>
      </c>
      <c r="B35" s="20">
        <f>SUM(B34+'Dec 2015'!B35)</f>
        <v>2294</v>
      </c>
      <c r="C35" s="20">
        <f>SUM(C34+'Dec 2015'!C35)</f>
        <v>3175</v>
      </c>
      <c r="D35" s="20">
        <f>SUM(D34+'Dec 2015'!D35)</f>
        <v>6851</v>
      </c>
      <c r="E35" s="21">
        <f>SUM(E34+'Dec 2015'!E35)</f>
        <v>5.3100000000000005</v>
      </c>
      <c r="F35" s="21">
        <f>SUM(F34+'Dec 2015'!F35)</f>
        <v>17.189999999999998</v>
      </c>
      <c r="G35" s="20">
        <f>SUM(G34+'Dec 2015'!G35)</f>
        <v>8172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3566.3330000000001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SUM(B37+'Dec 2015'!B39)</f>
        <v>4550.1490000000003</v>
      </c>
      <c r="C39" s="23">
        <f>SUM(C37+'Dec 2015'!C39)</f>
        <v>6297.6125000000002</v>
      </c>
      <c r="D39" s="23">
        <f>SUM(D37+'Dec 2015'!D39)</f>
        <v>13588.958500000001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12"/>
      <c r="B41" s="112"/>
      <c r="C41" s="112"/>
      <c r="D41" s="112"/>
      <c r="E41" s="112"/>
      <c r="F41" s="113"/>
      <c r="G41" s="114" t="s">
        <v>12</v>
      </c>
      <c r="H41" s="115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4"/>
      <c r="H42" s="115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17" t="s">
        <v>23</v>
      </c>
      <c r="B43" s="117"/>
      <c r="C43" s="117"/>
      <c r="D43" s="117"/>
      <c r="E43" s="117"/>
      <c r="F43" s="117"/>
      <c r="G43" s="117"/>
      <c r="H43" s="117"/>
      <c r="I43" s="117"/>
      <c r="J43" s="117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18" t="s">
        <v>21</v>
      </c>
      <c r="B58" s="119"/>
      <c r="C58" s="120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42339</v>
      </c>
      <c r="B3" s="25">
        <v>0</v>
      </c>
      <c r="C3" s="25">
        <v>15</v>
      </c>
      <c r="D3" s="25">
        <v>0</v>
      </c>
      <c r="E3" s="26">
        <v>0</v>
      </c>
      <c r="F3" s="26">
        <v>0</v>
      </c>
      <c r="G3" s="25">
        <v>0</v>
      </c>
      <c r="H3" s="27">
        <v>4034.38</v>
      </c>
    </row>
    <row r="4" spans="1:9" x14ac:dyDescent="0.3">
      <c r="A4" s="12">
        <v>42340</v>
      </c>
      <c r="B4" s="25">
        <v>0</v>
      </c>
      <c r="C4" s="25">
        <v>15</v>
      </c>
      <c r="D4" s="25">
        <v>0</v>
      </c>
      <c r="E4" s="26">
        <v>0.01</v>
      </c>
      <c r="F4" s="26">
        <v>0</v>
      </c>
      <c r="G4" s="25">
        <v>0</v>
      </c>
      <c r="H4" s="27">
        <v>4034.38</v>
      </c>
    </row>
    <row r="5" spans="1:9" x14ac:dyDescent="0.3">
      <c r="A5" s="12">
        <v>42341</v>
      </c>
      <c r="B5" s="25">
        <v>0</v>
      </c>
      <c r="C5" s="25">
        <v>17</v>
      </c>
      <c r="D5" s="25">
        <v>0</v>
      </c>
      <c r="E5" s="26">
        <v>0.03</v>
      </c>
      <c r="F5" s="26">
        <v>0</v>
      </c>
      <c r="G5" s="25">
        <v>0</v>
      </c>
      <c r="H5" s="27">
        <v>4034.38</v>
      </c>
    </row>
    <row r="6" spans="1:9" x14ac:dyDescent="0.3">
      <c r="A6" s="12">
        <v>42342</v>
      </c>
      <c r="B6" s="25">
        <v>0</v>
      </c>
      <c r="C6" s="25">
        <v>20</v>
      </c>
      <c r="D6" s="25">
        <v>0</v>
      </c>
      <c r="E6" s="26">
        <v>0.05</v>
      </c>
      <c r="F6" s="26">
        <v>0</v>
      </c>
      <c r="G6" s="25">
        <v>0</v>
      </c>
      <c r="H6" s="27">
        <v>4034.4</v>
      </c>
    </row>
    <row r="7" spans="1:9" x14ac:dyDescent="0.3">
      <c r="A7" s="12">
        <v>42343</v>
      </c>
      <c r="B7" s="25">
        <v>0</v>
      </c>
      <c r="C7" s="25">
        <v>20</v>
      </c>
      <c r="D7" s="25">
        <v>0</v>
      </c>
      <c r="E7" s="26">
        <v>0.01</v>
      </c>
      <c r="F7" s="26">
        <v>0</v>
      </c>
      <c r="G7" s="25">
        <v>0</v>
      </c>
      <c r="H7" s="27">
        <v>4034.4</v>
      </c>
    </row>
    <row r="8" spans="1:9" x14ac:dyDescent="0.3">
      <c r="A8" s="12">
        <v>42344</v>
      </c>
      <c r="B8" s="25">
        <v>0</v>
      </c>
      <c r="C8" s="25">
        <v>20</v>
      </c>
      <c r="D8" s="25">
        <v>0</v>
      </c>
      <c r="E8" s="26">
        <v>7.0000000000000007E-2</v>
      </c>
      <c r="F8" s="26">
        <v>0</v>
      </c>
      <c r="G8" s="25">
        <v>0</v>
      </c>
      <c r="H8" s="27">
        <v>4034.4</v>
      </c>
    </row>
    <row r="9" spans="1:9" x14ac:dyDescent="0.3">
      <c r="A9" s="12">
        <v>42345</v>
      </c>
      <c r="B9" s="25">
        <v>0</v>
      </c>
      <c r="C9" s="25">
        <v>20</v>
      </c>
      <c r="D9" s="25">
        <v>0</v>
      </c>
      <c r="E9" s="26">
        <v>0.01</v>
      </c>
      <c r="F9" s="26">
        <v>0</v>
      </c>
      <c r="G9" s="25">
        <v>0</v>
      </c>
      <c r="H9" s="27">
        <v>4034.4</v>
      </c>
    </row>
    <row r="10" spans="1:9" x14ac:dyDescent="0.3">
      <c r="A10" s="12">
        <v>42346</v>
      </c>
      <c r="B10" s="25">
        <v>0</v>
      </c>
      <c r="C10" s="25">
        <v>20</v>
      </c>
      <c r="D10" s="25">
        <v>0</v>
      </c>
      <c r="E10" s="26">
        <v>0</v>
      </c>
      <c r="F10" s="26">
        <v>0</v>
      </c>
      <c r="G10" s="25">
        <v>0</v>
      </c>
      <c r="H10" s="27">
        <v>4034.42</v>
      </c>
    </row>
    <row r="11" spans="1:9" x14ac:dyDescent="0.3">
      <c r="A11" s="12">
        <v>42347</v>
      </c>
      <c r="B11" s="25">
        <v>0</v>
      </c>
      <c r="C11" s="25">
        <v>20</v>
      </c>
      <c r="D11" s="25">
        <v>0</v>
      </c>
      <c r="E11" s="26">
        <v>0.25</v>
      </c>
      <c r="F11" s="26">
        <v>0</v>
      </c>
      <c r="G11" s="25">
        <v>0</v>
      </c>
      <c r="H11" s="27">
        <v>4034.44</v>
      </c>
    </row>
    <row r="12" spans="1:9" x14ac:dyDescent="0.3">
      <c r="A12" s="12">
        <v>42348</v>
      </c>
      <c r="B12" s="25">
        <v>0</v>
      </c>
      <c r="C12" s="25">
        <v>22</v>
      </c>
      <c r="D12" s="25">
        <v>0</v>
      </c>
      <c r="E12" s="26">
        <v>0.4</v>
      </c>
      <c r="F12" s="26">
        <v>0</v>
      </c>
      <c r="G12" s="25">
        <v>0</v>
      </c>
      <c r="H12" s="27">
        <v>4034.46</v>
      </c>
    </row>
    <row r="13" spans="1:9" x14ac:dyDescent="0.3">
      <c r="A13" s="12">
        <v>42349</v>
      </c>
      <c r="B13" s="25">
        <v>0</v>
      </c>
      <c r="C13" s="25">
        <v>25</v>
      </c>
      <c r="D13" s="25">
        <v>0</v>
      </c>
      <c r="E13" s="26">
        <v>0.01</v>
      </c>
      <c r="F13" s="26">
        <v>0</v>
      </c>
      <c r="G13" s="25">
        <v>0</v>
      </c>
      <c r="H13" s="27">
        <v>4034.48</v>
      </c>
    </row>
    <row r="14" spans="1:9" x14ac:dyDescent="0.3">
      <c r="A14" s="12">
        <v>42350</v>
      </c>
      <c r="B14" s="25">
        <v>0</v>
      </c>
      <c r="C14" s="25">
        <v>25</v>
      </c>
      <c r="D14" s="25">
        <v>0</v>
      </c>
      <c r="E14" s="26">
        <v>0.13</v>
      </c>
      <c r="F14" s="26">
        <v>3</v>
      </c>
      <c r="G14" s="25">
        <v>0</v>
      </c>
      <c r="H14" s="27">
        <v>4034.5</v>
      </c>
    </row>
    <row r="15" spans="1:9" x14ac:dyDescent="0.3">
      <c r="A15" s="12">
        <v>42351</v>
      </c>
      <c r="B15" s="25">
        <v>0</v>
      </c>
      <c r="C15" s="25">
        <v>27</v>
      </c>
      <c r="D15" s="25">
        <v>0</v>
      </c>
      <c r="E15" s="26">
        <v>0.38</v>
      </c>
      <c r="F15" s="26">
        <v>3</v>
      </c>
      <c r="G15" s="25">
        <v>0</v>
      </c>
      <c r="H15" s="27">
        <v>4034.53</v>
      </c>
    </row>
    <row r="16" spans="1:9" x14ac:dyDescent="0.3">
      <c r="A16" s="12">
        <v>42352</v>
      </c>
      <c r="B16" s="25">
        <v>0</v>
      </c>
      <c r="C16" s="25">
        <v>30</v>
      </c>
      <c r="D16" s="25">
        <v>0</v>
      </c>
      <c r="E16" s="26">
        <v>0.01</v>
      </c>
      <c r="F16" s="26">
        <v>0.01</v>
      </c>
      <c r="G16" s="25">
        <v>0</v>
      </c>
      <c r="H16" s="27">
        <v>4034.55</v>
      </c>
    </row>
    <row r="17" spans="1:8" x14ac:dyDescent="0.3">
      <c r="A17" s="12">
        <v>42353</v>
      </c>
      <c r="B17" s="25">
        <v>0</v>
      </c>
      <c r="C17" s="25">
        <v>30</v>
      </c>
      <c r="D17" s="25">
        <v>0</v>
      </c>
      <c r="E17" s="26">
        <v>0</v>
      </c>
      <c r="F17" s="26">
        <v>0</v>
      </c>
      <c r="G17" s="25">
        <v>0</v>
      </c>
      <c r="H17" s="27">
        <v>4034.58</v>
      </c>
    </row>
    <row r="18" spans="1:8" x14ac:dyDescent="0.3">
      <c r="A18" s="12">
        <v>42354</v>
      </c>
      <c r="B18" s="25">
        <v>0</v>
      </c>
      <c r="C18" s="25">
        <v>30</v>
      </c>
      <c r="D18" s="25">
        <v>0</v>
      </c>
      <c r="E18" s="26">
        <v>0</v>
      </c>
      <c r="F18" s="26">
        <v>0</v>
      </c>
      <c r="G18" s="25">
        <v>0</v>
      </c>
      <c r="H18" s="27">
        <v>4034.6</v>
      </c>
    </row>
    <row r="19" spans="1:8" x14ac:dyDescent="0.3">
      <c r="A19" s="12">
        <v>42355</v>
      </c>
      <c r="B19" s="25">
        <v>0</v>
      </c>
      <c r="C19" s="25">
        <v>30</v>
      </c>
      <c r="D19" s="25">
        <v>0</v>
      </c>
      <c r="E19" s="26">
        <v>0.11</v>
      </c>
      <c r="F19" s="26">
        <v>0</v>
      </c>
      <c r="G19" s="25">
        <v>0</v>
      </c>
      <c r="H19" s="27">
        <v>4034.62</v>
      </c>
    </row>
    <row r="20" spans="1:8" x14ac:dyDescent="0.3">
      <c r="A20" s="12">
        <v>42356</v>
      </c>
      <c r="B20" s="25">
        <v>0</v>
      </c>
      <c r="C20" s="25">
        <v>30</v>
      </c>
      <c r="D20" s="25">
        <v>0</v>
      </c>
      <c r="E20" s="26">
        <v>0.02</v>
      </c>
      <c r="F20" s="26">
        <v>0</v>
      </c>
      <c r="G20" s="25">
        <v>0</v>
      </c>
      <c r="H20" s="27">
        <v>4034.64</v>
      </c>
    </row>
    <row r="21" spans="1:8" x14ac:dyDescent="0.3">
      <c r="A21" s="12">
        <v>42357</v>
      </c>
      <c r="B21" s="25">
        <v>0</v>
      </c>
      <c r="C21" s="25">
        <v>30</v>
      </c>
      <c r="D21" s="25">
        <v>0</v>
      </c>
      <c r="E21" s="26">
        <v>0.01</v>
      </c>
      <c r="F21" s="26">
        <v>0</v>
      </c>
      <c r="G21" s="25">
        <v>0</v>
      </c>
      <c r="H21" s="27">
        <v>4034.66</v>
      </c>
    </row>
    <row r="22" spans="1:8" x14ac:dyDescent="0.3">
      <c r="A22" s="12">
        <v>42358</v>
      </c>
      <c r="B22" s="25">
        <v>0</v>
      </c>
      <c r="C22" s="25">
        <v>30</v>
      </c>
      <c r="D22" s="25">
        <v>0</v>
      </c>
      <c r="E22" s="26">
        <v>0.15</v>
      </c>
      <c r="F22" s="26">
        <v>1.5</v>
      </c>
      <c r="G22" s="25">
        <v>0</v>
      </c>
      <c r="H22" s="27">
        <v>4034.66</v>
      </c>
    </row>
    <row r="23" spans="1:8" x14ac:dyDescent="0.3">
      <c r="A23" s="12">
        <v>42359</v>
      </c>
      <c r="B23" s="25">
        <v>0</v>
      </c>
      <c r="C23" s="25">
        <v>37</v>
      </c>
      <c r="D23" s="25">
        <v>0</v>
      </c>
      <c r="E23" s="26">
        <v>0.06</v>
      </c>
      <c r="F23" s="26">
        <v>0</v>
      </c>
      <c r="G23" s="25">
        <v>0</v>
      </c>
      <c r="H23" s="27">
        <v>4034.68</v>
      </c>
    </row>
    <row r="24" spans="1:8" x14ac:dyDescent="0.3">
      <c r="A24" s="12">
        <v>42360</v>
      </c>
      <c r="B24" s="25">
        <v>0</v>
      </c>
      <c r="C24" s="25">
        <v>46</v>
      </c>
      <c r="D24" s="25">
        <v>0</v>
      </c>
      <c r="E24" s="26">
        <v>0.16</v>
      </c>
      <c r="F24" s="26">
        <v>0</v>
      </c>
      <c r="G24" s="25">
        <v>0</v>
      </c>
      <c r="H24" s="27">
        <v>4034.68</v>
      </c>
    </row>
    <row r="25" spans="1:8" x14ac:dyDescent="0.3">
      <c r="A25" s="12">
        <v>42361</v>
      </c>
      <c r="B25" s="25">
        <v>0</v>
      </c>
      <c r="C25" s="25">
        <v>50</v>
      </c>
      <c r="D25" s="25">
        <v>0</v>
      </c>
      <c r="E25" s="26">
        <v>0.05</v>
      </c>
      <c r="F25" s="26">
        <v>0.3</v>
      </c>
      <c r="G25" s="25">
        <v>0</v>
      </c>
      <c r="H25" s="27">
        <v>4034.7</v>
      </c>
    </row>
    <row r="26" spans="1:8" x14ac:dyDescent="0.3">
      <c r="A26" s="12">
        <v>42362</v>
      </c>
      <c r="B26" s="25">
        <v>0</v>
      </c>
      <c r="C26" s="25">
        <v>50</v>
      </c>
      <c r="D26" s="25">
        <v>0</v>
      </c>
      <c r="E26" s="26">
        <v>0.01</v>
      </c>
      <c r="F26" s="26">
        <v>0</v>
      </c>
      <c r="G26" s="25">
        <v>0</v>
      </c>
      <c r="H26" s="27">
        <v>4034.72</v>
      </c>
    </row>
    <row r="27" spans="1:8" x14ac:dyDescent="0.3">
      <c r="A27" s="12">
        <v>42363</v>
      </c>
      <c r="B27" s="25">
        <v>0</v>
      </c>
      <c r="C27" s="25">
        <v>50</v>
      </c>
      <c r="D27" s="25">
        <v>0</v>
      </c>
      <c r="E27" s="26">
        <v>0.03</v>
      </c>
      <c r="F27" s="26" t="s">
        <v>39</v>
      </c>
      <c r="G27" s="25">
        <v>0</v>
      </c>
      <c r="H27" s="27">
        <v>4034.74</v>
      </c>
    </row>
    <row r="28" spans="1:8" x14ac:dyDescent="0.3">
      <c r="A28" s="12">
        <v>42364</v>
      </c>
      <c r="B28" s="25">
        <v>0</v>
      </c>
      <c r="C28" s="25">
        <v>50</v>
      </c>
      <c r="D28" s="25">
        <v>0</v>
      </c>
      <c r="E28" s="26">
        <v>0</v>
      </c>
      <c r="F28" s="26">
        <v>0</v>
      </c>
      <c r="G28" s="25">
        <v>0</v>
      </c>
      <c r="H28" s="27">
        <v>4034.74</v>
      </c>
    </row>
    <row r="29" spans="1:8" x14ac:dyDescent="0.3">
      <c r="A29" s="12">
        <v>42365</v>
      </c>
      <c r="B29" s="25">
        <v>0</v>
      </c>
      <c r="C29" s="25">
        <v>50</v>
      </c>
      <c r="D29" s="25">
        <v>0</v>
      </c>
      <c r="E29" s="26">
        <v>0.02</v>
      </c>
      <c r="F29" s="26" t="s">
        <v>39</v>
      </c>
      <c r="G29" s="25">
        <v>0</v>
      </c>
      <c r="H29" s="27">
        <v>4034.75</v>
      </c>
    </row>
    <row r="30" spans="1:8" x14ac:dyDescent="0.3">
      <c r="A30" s="12">
        <v>42366</v>
      </c>
      <c r="B30" s="25">
        <v>0</v>
      </c>
      <c r="C30" s="25">
        <v>50</v>
      </c>
      <c r="D30" s="25">
        <v>0</v>
      </c>
      <c r="E30" s="26">
        <v>0.12</v>
      </c>
      <c r="F30" s="26">
        <v>0</v>
      </c>
      <c r="G30" s="25">
        <v>0</v>
      </c>
      <c r="H30" s="27">
        <v>4034.78</v>
      </c>
    </row>
    <row r="31" spans="1:8" x14ac:dyDescent="0.3">
      <c r="A31" s="12">
        <v>42367</v>
      </c>
      <c r="B31" s="25">
        <v>0</v>
      </c>
      <c r="C31" s="25">
        <v>50</v>
      </c>
      <c r="D31" s="25">
        <v>0</v>
      </c>
      <c r="E31" s="26" t="s">
        <v>39</v>
      </c>
      <c r="F31" s="26">
        <v>0</v>
      </c>
      <c r="G31" s="25">
        <v>0</v>
      </c>
      <c r="H31" s="27">
        <v>4034.8</v>
      </c>
    </row>
    <row r="32" spans="1:8" x14ac:dyDescent="0.3">
      <c r="A32" s="12">
        <v>42368</v>
      </c>
      <c r="B32" s="25">
        <v>0</v>
      </c>
      <c r="C32" s="25">
        <v>50</v>
      </c>
      <c r="D32" s="25">
        <v>0</v>
      </c>
      <c r="E32" s="26">
        <v>0.11</v>
      </c>
      <c r="F32" s="26">
        <v>1</v>
      </c>
      <c r="G32" s="25">
        <v>0</v>
      </c>
      <c r="H32" s="27">
        <v>4034.82</v>
      </c>
    </row>
    <row r="33" spans="1:15" ht="15" thickBot="1" x14ac:dyDescent="0.35">
      <c r="A33" s="12">
        <v>42369</v>
      </c>
      <c r="B33" s="25">
        <v>0</v>
      </c>
      <c r="C33" s="25">
        <v>50</v>
      </c>
      <c r="D33" s="25">
        <v>0</v>
      </c>
      <c r="E33" s="88" t="s">
        <v>39</v>
      </c>
      <c r="F33" s="26">
        <v>0</v>
      </c>
      <c r="G33" s="25">
        <v>0</v>
      </c>
      <c r="H33" s="27">
        <v>4034.84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1009</v>
      </c>
      <c r="D34" s="17">
        <f t="shared" si="0"/>
        <v>0</v>
      </c>
      <c r="E34" s="18">
        <f t="shared" si="0"/>
        <v>2.21</v>
      </c>
      <c r="F34" s="18">
        <f t="shared" si="0"/>
        <v>8.8099999999999987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SUM(B34+'Nov 2015'!B34)</f>
        <v>2294</v>
      </c>
      <c r="C35" s="20">
        <f>SUM(C34+'Nov 2015'!C34)</f>
        <v>1377</v>
      </c>
      <c r="D35" s="20">
        <f>SUM(D34+'Nov 2015'!D34)</f>
        <v>6851</v>
      </c>
      <c r="E35" s="21">
        <f>SUM(E34+'Nov 2015'!E34)</f>
        <v>3.62</v>
      </c>
      <c r="F35" s="21">
        <f>SUM(F34+'Nov 2015'!F34)</f>
        <v>13.809999999999999</v>
      </c>
      <c r="G35" s="20">
        <f>SUM(G34+'Nov 2015'!G34)</f>
        <v>4348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2001.3515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SUM('Nov 2015'!B38+B37)</f>
        <v>4550.1490000000003</v>
      </c>
      <c r="C39" s="23">
        <f>SUM('Nov 2015'!C38+C37)</f>
        <v>2731.2795000000001</v>
      </c>
      <c r="D39" s="23">
        <f>SUM('Nov 2015'!D38+D37)</f>
        <v>13588.958500000001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12"/>
      <c r="B41" s="112"/>
      <c r="C41" s="112"/>
      <c r="D41" s="112"/>
      <c r="E41" s="112"/>
      <c r="F41" s="113"/>
      <c r="G41" s="114" t="s">
        <v>12</v>
      </c>
      <c r="H41" s="115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4"/>
      <c r="H42" s="115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17" t="s">
        <v>23</v>
      </c>
      <c r="B43" s="117"/>
      <c r="C43" s="117"/>
      <c r="D43" s="117"/>
      <c r="E43" s="117"/>
      <c r="F43" s="117"/>
      <c r="G43" s="117"/>
      <c r="H43" s="117"/>
      <c r="I43" s="117"/>
      <c r="J43" s="117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x14ac:dyDescent="0.3">
      <c r="A56" s="67"/>
      <c r="B56" s="68"/>
      <c r="C56" s="69"/>
      <c r="D56" s="61"/>
      <c r="E56" s="72"/>
      <c r="F56" s="71"/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3">
      <c r="A58" s="118" t="s">
        <v>21</v>
      </c>
      <c r="B58" s="119"/>
      <c r="C58" s="120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topLeftCell="A4" workbookViewId="0">
      <selection activeCell="I31" sqref="I31"/>
    </sheetView>
  </sheetViews>
  <sheetFormatPr defaultRowHeight="14.4" x14ac:dyDescent="0.3"/>
  <cols>
    <col min="1" max="1" width="13.5546875" style="2" bestFit="1" customWidth="1"/>
    <col min="2" max="4" width="11.6640625" style="6" customWidth="1"/>
    <col min="5" max="6" width="11.6640625" customWidth="1"/>
    <col min="7" max="7" width="11.6640625" style="6" customWidth="1"/>
    <col min="8" max="8" width="11.6640625" customWidth="1"/>
    <col min="9" max="9" width="29" bestFit="1" customWidth="1"/>
  </cols>
  <sheetData>
    <row r="1" spans="1:9" s="1" customFormat="1" ht="28.8" x14ac:dyDescent="0.3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x14ac:dyDescent="0.3">
      <c r="A3" s="12">
        <v>42309</v>
      </c>
      <c r="B3" s="89">
        <v>125</v>
      </c>
      <c r="C3" s="89">
        <v>0</v>
      </c>
      <c r="D3" s="89">
        <v>139</v>
      </c>
      <c r="E3" s="26">
        <v>0.12</v>
      </c>
      <c r="F3" s="26">
        <v>0</v>
      </c>
      <c r="G3" s="89">
        <v>0</v>
      </c>
      <c r="H3" s="26">
        <v>4034.37</v>
      </c>
      <c r="I3" s="107"/>
    </row>
    <row r="4" spans="1:9" x14ac:dyDescent="0.3">
      <c r="A4" s="12">
        <v>42310</v>
      </c>
      <c r="B4" s="89">
        <v>95</v>
      </c>
      <c r="C4" s="89">
        <v>0</v>
      </c>
      <c r="D4" s="89">
        <v>118</v>
      </c>
      <c r="E4" s="26" t="s">
        <v>39</v>
      </c>
      <c r="F4" s="26">
        <v>0</v>
      </c>
      <c r="G4" s="89">
        <v>0</v>
      </c>
      <c r="H4" s="26">
        <v>4034.38</v>
      </c>
      <c r="I4" s="107" t="s">
        <v>37</v>
      </c>
    </row>
    <row r="5" spans="1:9" x14ac:dyDescent="0.3">
      <c r="A5" s="12">
        <v>42311</v>
      </c>
      <c r="B5" s="89">
        <v>75</v>
      </c>
      <c r="C5" s="89">
        <v>0</v>
      </c>
      <c r="D5" s="89">
        <v>122</v>
      </c>
      <c r="E5" s="26">
        <v>0</v>
      </c>
      <c r="F5" s="26">
        <v>0</v>
      </c>
      <c r="G5" s="89">
        <v>0</v>
      </c>
      <c r="H5" s="26">
        <v>4034.38</v>
      </c>
      <c r="I5" s="107"/>
    </row>
    <row r="6" spans="1:9" x14ac:dyDescent="0.3">
      <c r="A6" s="12">
        <v>42312</v>
      </c>
      <c r="B6" s="89">
        <v>75</v>
      </c>
      <c r="C6" s="89">
        <v>0</v>
      </c>
      <c r="D6" s="89">
        <v>121</v>
      </c>
      <c r="E6" s="26">
        <v>0</v>
      </c>
      <c r="F6" s="26">
        <v>0</v>
      </c>
      <c r="G6" s="89">
        <v>0</v>
      </c>
      <c r="H6" s="26">
        <v>4034.37</v>
      </c>
      <c r="I6" s="107"/>
    </row>
    <row r="7" spans="1:9" x14ac:dyDescent="0.3">
      <c r="A7" s="12">
        <v>42313</v>
      </c>
      <c r="B7" s="89">
        <v>93</v>
      </c>
      <c r="C7" s="89">
        <v>0</v>
      </c>
      <c r="D7" s="89">
        <v>118</v>
      </c>
      <c r="E7" s="26">
        <v>0</v>
      </c>
      <c r="F7" s="26">
        <v>0</v>
      </c>
      <c r="G7" s="89">
        <v>0</v>
      </c>
      <c r="H7" s="26">
        <v>4034.36</v>
      </c>
      <c r="I7" s="107" t="s">
        <v>38</v>
      </c>
    </row>
    <row r="8" spans="1:9" x14ac:dyDescent="0.3">
      <c r="A8" s="12">
        <v>42314</v>
      </c>
      <c r="B8" s="89">
        <v>85</v>
      </c>
      <c r="C8" s="89">
        <v>0</v>
      </c>
      <c r="D8" s="89">
        <v>117</v>
      </c>
      <c r="E8" s="26">
        <v>0</v>
      </c>
      <c r="F8" s="26">
        <v>0</v>
      </c>
      <c r="G8" s="89">
        <v>0</v>
      </c>
      <c r="H8" s="26">
        <v>4034.35</v>
      </c>
      <c r="I8" s="107"/>
    </row>
    <row r="9" spans="1:9" x14ac:dyDescent="0.3">
      <c r="A9" s="12">
        <v>42315</v>
      </c>
      <c r="B9" s="89">
        <v>63</v>
      </c>
      <c r="C9" s="89">
        <v>0</v>
      </c>
      <c r="D9" s="89">
        <v>107</v>
      </c>
      <c r="E9" s="26">
        <v>0</v>
      </c>
      <c r="F9" s="26">
        <v>0</v>
      </c>
      <c r="G9" s="89">
        <v>0</v>
      </c>
      <c r="H9" s="26">
        <v>4034.34</v>
      </c>
      <c r="I9" s="107"/>
    </row>
    <row r="10" spans="1:9" x14ac:dyDescent="0.3">
      <c r="A10" s="12">
        <v>42316</v>
      </c>
      <c r="B10" s="89">
        <v>56</v>
      </c>
      <c r="C10" s="89">
        <v>0</v>
      </c>
      <c r="D10" s="89">
        <v>100</v>
      </c>
      <c r="E10" s="26" t="s">
        <v>39</v>
      </c>
      <c r="F10" s="26">
        <v>0</v>
      </c>
      <c r="G10" s="89">
        <v>0</v>
      </c>
      <c r="H10" s="26">
        <v>4034.32</v>
      </c>
      <c r="I10" s="107"/>
    </row>
    <row r="11" spans="1:9" x14ac:dyDescent="0.3">
      <c r="A11" s="12">
        <v>42317</v>
      </c>
      <c r="B11" s="89">
        <v>37</v>
      </c>
      <c r="C11" s="89">
        <v>0</v>
      </c>
      <c r="D11" s="89">
        <v>88</v>
      </c>
      <c r="E11" s="26">
        <v>0.21</v>
      </c>
      <c r="F11" s="26">
        <v>0</v>
      </c>
      <c r="G11" s="89">
        <v>0</v>
      </c>
      <c r="H11" s="26">
        <v>4034.3</v>
      </c>
      <c r="I11" s="107"/>
    </row>
    <row r="12" spans="1:9" x14ac:dyDescent="0.3">
      <c r="A12" s="12">
        <v>42318</v>
      </c>
      <c r="B12" s="89">
        <v>12</v>
      </c>
      <c r="C12" s="89">
        <v>0</v>
      </c>
      <c r="D12" s="89">
        <v>72</v>
      </c>
      <c r="E12" s="26">
        <v>0.01</v>
      </c>
      <c r="F12" s="26">
        <v>0</v>
      </c>
      <c r="G12" s="89">
        <v>0</v>
      </c>
      <c r="H12" s="26">
        <v>4034.3</v>
      </c>
      <c r="I12" s="107"/>
    </row>
    <row r="13" spans="1:9" x14ac:dyDescent="0.3">
      <c r="A13" s="12">
        <v>42319</v>
      </c>
      <c r="B13" s="89">
        <v>5</v>
      </c>
      <c r="C13" s="89">
        <v>0</v>
      </c>
      <c r="D13" s="89">
        <v>71</v>
      </c>
      <c r="E13" s="26" t="s">
        <v>39</v>
      </c>
      <c r="F13" s="26">
        <v>0</v>
      </c>
      <c r="G13" s="89">
        <v>0</v>
      </c>
      <c r="H13" s="26">
        <v>4034.3</v>
      </c>
      <c r="I13" s="107"/>
    </row>
    <row r="14" spans="1:9" x14ac:dyDescent="0.3">
      <c r="A14" s="12">
        <v>42320</v>
      </c>
      <c r="B14" s="89">
        <v>0</v>
      </c>
      <c r="C14" s="89">
        <v>0</v>
      </c>
      <c r="D14" s="89">
        <v>74</v>
      </c>
      <c r="E14" s="26">
        <v>0</v>
      </c>
      <c r="F14" s="26">
        <v>0</v>
      </c>
      <c r="G14" s="89">
        <v>0</v>
      </c>
      <c r="H14" s="26">
        <v>4034.3</v>
      </c>
      <c r="I14" s="107"/>
    </row>
    <row r="15" spans="1:9" x14ac:dyDescent="0.3">
      <c r="A15" s="12">
        <v>42321</v>
      </c>
      <c r="B15" s="89">
        <v>0</v>
      </c>
      <c r="C15" s="89">
        <v>0</v>
      </c>
      <c r="D15" s="89">
        <v>64</v>
      </c>
      <c r="E15" s="26" t="s">
        <v>39</v>
      </c>
      <c r="F15" s="26">
        <v>0</v>
      </c>
      <c r="G15" s="89">
        <v>0</v>
      </c>
      <c r="H15" s="26">
        <v>4034.3</v>
      </c>
      <c r="I15" s="107"/>
    </row>
    <row r="16" spans="1:9" x14ac:dyDescent="0.3">
      <c r="A16" s="12">
        <v>42322</v>
      </c>
      <c r="B16" s="89">
        <v>0</v>
      </c>
      <c r="C16" s="89">
        <v>0</v>
      </c>
      <c r="D16" s="89">
        <v>49</v>
      </c>
      <c r="E16" s="26">
        <v>0</v>
      </c>
      <c r="F16" s="26">
        <v>0</v>
      </c>
      <c r="G16" s="89">
        <v>0</v>
      </c>
      <c r="H16" s="26">
        <v>4034.3</v>
      </c>
      <c r="I16" s="107"/>
    </row>
    <row r="17" spans="1:9" x14ac:dyDescent="0.3">
      <c r="A17" s="12">
        <v>42323</v>
      </c>
      <c r="B17" s="89">
        <v>0</v>
      </c>
      <c r="C17" s="89">
        <v>0</v>
      </c>
      <c r="D17" s="89">
        <v>45</v>
      </c>
      <c r="E17" s="26">
        <v>0.14000000000000001</v>
      </c>
      <c r="F17" s="26">
        <v>0</v>
      </c>
      <c r="G17" s="89">
        <v>0</v>
      </c>
      <c r="H17" s="26">
        <v>4034.3</v>
      </c>
      <c r="I17" s="107"/>
    </row>
    <row r="18" spans="1:9" x14ac:dyDescent="0.3">
      <c r="A18" s="12">
        <v>42324</v>
      </c>
      <c r="B18" s="89">
        <v>0</v>
      </c>
      <c r="C18" s="89">
        <v>0</v>
      </c>
      <c r="D18" s="89">
        <v>45</v>
      </c>
      <c r="E18" s="26">
        <v>0</v>
      </c>
      <c r="F18" s="26">
        <v>0</v>
      </c>
      <c r="G18" s="89">
        <v>0</v>
      </c>
      <c r="H18" s="26">
        <v>4034.3</v>
      </c>
      <c r="I18" s="107"/>
    </row>
    <row r="19" spans="1:9" x14ac:dyDescent="0.3">
      <c r="A19" s="12">
        <v>42325</v>
      </c>
      <c r="B19" s="89">
        <v>0</v>
      </c>
      <c r="C19" s="89">
        <v>0</v>
      </c>
      <c r="D19" s="89">
        <v>31</v>
      </c>
      <c r="E19" s="26">
        <v>0.02</v>
      </c>
      <c r="F19" s="26">
        <v>0</v>
      </c>
      <c r="G19" s="89">
        <v>0</v>
      </c>
      <c r="H19" s="26">
        <v>4034.3</v>
      </c>
      <c r="I19" s="107"/>
    </row>
    <row r="20" spans="1:9" x14ac:dyDescent="0.3">
      <c r="A20" s="12">
        <v>42326</v>
      </c>
      <c r="B20" s="89">
        <v>0</v>
      </c>
      <c r="C20" s="89">
        <v>0</v>
      </c>
      <c r="D20" s="89">
        <v>27</v>
      </c>
      <c r="E20" s="26">
        <v>0.01</v>
      </c>
      <c r="F20" s="26">
        <v>0</v>
      </c>
      <c r="G20" s="89">
        <v>0</v>
      </c>
      <c r="H20" s="26">
        <v>4034.3</v>
      </c>
      <c r="I20" s="107"/>
    </row>
    <row r="21" spans="1:9" x14ac:dyDescent="0.3">
      <c r="A21" s="12">
        <v>42327</v>
      </c>
      <c r="B21" s="89">
        <v>0</v>
      </c>
      <c r="C21" s="89">
        <v>8</v>
      </c>
      <c r="D21" s="89">
        <v>32</v>
      </c>
      <c r="E21" s="26">
        <v>0.02</v>
      </c>
      <c r="F21" s="26">
        <v>0</v>
      </c>
      <c r="G21" s="89">
        <v>0</v>
      </c>
      <c r="H21" s="26">
        <v>4034.3</v>
      </c>
      <c r="I21" s="107"/>
    </row>
    <row r="22" spans="1:9" x14ac:dyDescent="0.3">
      <c r="A22" s="12">
        <v>42328</v>
      </c>
      <c r="B22" s="89">
        <v>0</v>
      </c>
      <c r="C22" s="89">
        <v>20</v>
      </c>
      <c r="D22" s="89">
        <v>0</v>
      </c>
      <c r="E22" s="26" t="s">
        <v>39</v>
      </c>
      <c r="F22" s="26">
        <v>0</v>
      </c>
      <c r="G22" s="89">
        <v>0</v>
      </c>
      <c r="H22" s="26">
        <v>4034.3</v>
      </c>
      <c r="I22" s="107"/>
    </row>
    <row r="23" spans="1:9" x14ac:dyDescent="0.3">
      <c r="A23" s="12">
        <v>42329</v>
      </c>
      <c r="B23" s="89">
        <v>0</v>
      </c>
      <c r="C23" s="89">
        <v>20</v>
      </c>
      <c r="D23" s="89">
        <v>0</v>
      </c>
      <c r="E23" s="26">
        <v>0</v>
      </c>
      <c r="F23" s="26">
        <v>0</v>
      </c>
      <c r="G23" s="89">
        <v>0</v>
      </c>
      <c r="H23" s="26">
        <v>4034.3</v>
      </c>
      <c r="I23" s="107"/>
    </row>
    <row r="24" spans="1:9" x14ac:dyDescent="0.3">
      <c r="A24" s="12">
        <v>42330</v>
      </c>
      <c r="B24" s="89">
        <v>0</v>
      </c>
      <c r="C24" s="89">
        <v>20</v>
      </c>
      <c r="D24" s="89">
        <v>0</v>
      </c>
      <c r="E24" s="26">
        <v>0</v>
      </c>
      <c r="F24" s="26">
        <v>0</v>
      </c>
      <c r="G24" s="89">
        <v>0</v>
      </c>
      <c r="H24" s="26">
        <v>4034.3</v>
      </c>
      <c r="I24" s="107"/>
    </row>
    <row r="25" spans="1:9" x14ac:dyDescent="0.3">
      <c r="A25" s="12">
        <v>42331</v>
      </c>
      <c r="B25" s="89">
        <v>0</v>
      </c>
      <c r="C25" s="89">
        <v>22</v>
      </c>
      <c r="D25" s="89">
        <v>0</v>
      </c>
      <c r="E25" s="26">
        <v>0.01</v>
      </c>
      <c r="F25" s="26">
        <v>0</v>
      </c>
      <c r="G25" s="89">
        <v>0</v>
      </c>
      <c r="H25" s="26">
        <v>4034.3</v>
      </c>
      <c r="I25" s="107"/>
    </row>
    <row r="26" spans="1:9" x14ac:dyDescent="0.3">
      <c r="A26" s="12">
        <v>42332</v>
      </c>
      <c r="B26" s="89">
        <v>0</v>
      </c>
      <c r="C26" s="89">
        <v>25</v>
      </c>
      <c r="D26" s="89">
        <v>0</v>
      </c>
      <c r="E26" s="26">
        <v>0.16</v>
      </c>
      <c r="F26" s="26">
        <v>3</v>
      </c>
      <c r="G26" s="89">
        <v>0</v>
      </c>
      <c r="H26" s="26">
        <v>4034.32</v>
      </c>
      <c r="I26" s="107"/>
    </row>
    <row r="27" spans="1:9" x14ac:dyDescent="0.3">
      <c r="A27" s="12">
        <v>42333</v>
      </c>
      <c r="B27" s="89">
        <v>0</v>
      </c>
      <c r="C27" s="89">
        <v>25</v>
      </c>
      <c r="D27" s="89">
        <v>0</v>
      </c>
      <c r="E27" s="26">
        <v>0.02</v>
      </c>
      <c r="F27" s="26">
        <v>2</v>
      </c>
      <c r="G27" s="89">
        <v>0</v>
      </c>
      <c r="H27" s="26">
        <v>4034.33</v>
      </c>
      <c r="I27" s="107"/>
    </row>
    <row r="28" spans="1:9" x14ac:dyDescent="0.3">
      <c r="A28" s="12">
        <v>42334</v>
      </c>
      <c r="B28" s="89">
        <v>0</v>
      </c>
      <c r="C28" s="89">
        <v>25</v>
      </c>
      <c r="D28" s="89">
        <v>0</v>
      </c>
      <c r="E28" s="26">
        <v>0.01</v>
      </c>
      <c r="F28" s="26">
        <v>0</v>
      </c>
      <c r="G28" s="89">
        <v>0</v>
      </c>
      <c r="H28" s="26">
        <v>4034.34</v>
      </c>
      <c r="I28" s="107"/>
    </row>
    <row r="29" spans="1:9" x14ac:dyDescent="0.3">
      <c r="A29" s="12">
        <v>42335</v>
      </c>
      <c r="B29" s="89">
        <v>0</v>
      </c>
      <c r="C29" s="89">
        <v>25</v>
      </c>
      <c r="D29" s="89">
        <v>0</v>
      </c>
      <c r="E29" s="26">
        <v>0</v>
      </c>
      <c r="F29" s="26">
        <v>0</v>
      </c>
      <c r="G29" s="89">
        <v>0</v>
      </c>
      <c r="H29" s="26">
        <v>4034.35</v>
      </c>
      <c r="I29" s="107"/>
    </row>
    <row r="30" spans="1:9" x14ac:dyDescent="0.3">
      <c r="A30" s="12">
        <v>42336</v>
      </c>
      <c r="B30" s="89">
        <v>0</v>
      </c>
      <c r="C30" s="89">
        <v>25</v>
      </c>
      <c r="D30" s="89">
        <v>0</v>
      </c>
      <c r="E30" s="26">
        <v>0</v>
      </c>
      <c r="F30" s="26">
        <v>0</v>
      </c>
      <c r="G30" s="89">
        <v>0</v>
      </c>
      <c r="H30" s="26">
        <v>4034.36</v>
      </c>
      <c r="I30" s="107"/>
    </row>
    <row r="31" spans="1:9" x14ac:dyDescent="0.3">
      <c r="A31" s="12">
        <v>42337</v>
      </c>
      <c r="B31" s="89">
        <v>0</v>
      </c>
      <c r="C31" s="89">
        <v>25</v>
      </c>
      <c r="D31" s="89">
        <v>0</v>
      </c>
      <c r="E31" s="26">
        <v>0</v>
      </c>
      <c r="F31" s="26">
        <v>0</v>
      </c>
      <c r="G31" s="89">
        <v>0</v>
      </c>
      <c r="H31" s="26">
        <v>4034.37</v>
      </c>
      <c r="I31" s="107"/>
    </row>
    <row r="32" spans="1:9" ht="15" thickBot="1" x14ac:dyDescent="0.35">
      <c r="A32" s="12">
        <v>42338</v>
      </c>
      <c r="B32" s="89">
        <v>0</v>
      </c>
      <c r="C32" s="89">
        <v>20</v>
      </c>
      <c r="D32" s="89">
        <v>0</v>
      </c>
      <c r="E32" s="88">
        <v>0</v>
      </c>
      <c r="F32" s="88">
        <v>0</v>
      </c>
      <c r="G32" s="90">
        <v>0</v>
      </c>
      <c r="H32" s="26">
        <v>4034.38</v>
      </c>
      <c r="I32" s="107"/>
    </row>
    <row r="33" spans="1:15" s="11" customFormat="1" ht="15" thickTop="1" x14ac:dyDescent="0.3">
      <c r="A33" s="16" t="s">
        <v>8</v>
      </c>
      <c r="B33" s="17">
        <f t="shared" ref="B33:G33" si="0">SUM(B3:B32)</f>
        <v>721</v>
      </c>
      <c r="C33" s="17">
        <f t="shared" si="0"/>
        <v>260</v>
      </c>
      <c r="D33" s="17">
        <f t="shared" si="0"/>
        <v>1540</v>
      </c>
      <c r="E33" s="18">
        <f t="shared" si="0"/>
        <v>0.73000000000000009</v>
      </c>
      <c r="F33" s="18">
        <f t="shared" si="0"/>
        <v>5</v>
      </c>
      <c r="G33" s="17">
        <f t="shared" si="0"/>
        <v>0</v>
      </c>
      <c r="H33" s="18"/>
      <c r="I33"/>
    </row>
    <row r="34" spans="1:15" s="11" customFormat="1" x14ac:dyDescent="0.3">
      <c r="A34" s="19" t="s">
        <v>9</v>
      </c>
      <c r="B34" s="20">
        <f>SUM(B33+'Oct 2015'!B35)</f>
        <v>2294</v>
      </c>
      <c r="C34" s="20">
        <f>SUM(C33+'Oct 2015'!C35)</f>
        <v>368</v>
      </c>
      <c r="D34" s="20">
        <f>SUM(D33+'Oct 2015'!D35)</f>
        <v>6851</v>
      </c>
      <c r="E34" s="21">
        <f>SUM(E33+'Oct 2015'!E35)</f>
        <v>1.4100000000000001</v>
      </c>
      <c r="F34" s="21">
        <f>SUM(F33+'Oct 2015'!F35)</f>
        <v>5</v>
      </c>
      <c r="G34" s="20">
        <f>SUM(G33+'Oct 2015'!G35)</f>
        <v>4348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SUM(B3:B32)*1.9835</f>
        <v>1430.1034999999999</v>
      </c>
      <c r="C36" s="23">
        <f>SUM(C3:C32)*1.9835</f>
        <v>515.71</v>
      </c>
      <c r="D36" s="23">
        <f>SUM(D3:D32)*1.9835</f>
        <v>3054.59</v>
      </c>
      <c r="E36" s="23"/>
      <c r="F36" s="23"/>
      <c r="G36" s="23"/>
      <c r="I36" s="22"/>
    </row>
    <row r="37" spans="1:15" x14ac:dyDescent="0.3">
      <c r="A37"/>
      <c r="B37"/>
      <c r="C37"/>
      <c r="D37"/>
      <c r="G37"/>
    </row>
    <row r="38" spans="1:15" x14ac:dyDescent="0.3">
      <c r="A38" t="s">
        <v>24</v>
      </c>
      <c r="B38" s="23">
        <f>SUM('Oct 2015'!B39+B36)</f>
        <v>4550.1490000000003</v>
      </c>
      <c r="C38" s="23">
        <f>SUM('Oct 2015'!C39+C36)</f>
        <v>729.92800000000011</v>
      </c>
      <c r="D38" s="23">
        <f>SUM('Oct 2015'!D39+D36)</f>
        <v>13588.958500000001</v>
      </c>
      <c r="E38" s="23"/>
      <c r="F38" s="23"/>
      <c r="G38" s="23"/>
      <c r="I38" s="22"/>
    </row>
    <row r="39" spans="1:15" x14ac:dyDescent="0.3">
      <c r="A39"/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12"/>
      <c r="B40" s="112"/>
      <c r="C40" s="112"/>
      <c r="D40" s="112"/>
      <c r="E40" s="112"/>
      <c r="F40" s="113"/>
      <c r="G40" s="114" t="s">
        <v>12</v>
      </c>
      <c r="H40" s="115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14"/>
      <c r="H41" s="115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17" t="s">
        <v>23</v>
      </c>
      <c r="B42" s="117"/>
      <c r="C42" s="117"/>
      <c r="D42" s="117"/>
      <c r="E42" s="117"/>
      <c r="F42" s="117"/>
      <c r="G42" s="117"/>
      <c r="H42" s="117"/>
      <c r="I42" s="117"/>
      <c r="J42" s="117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5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/>
      <c r="G53" s="64"/>
      <c r="H53" s="65"/>
    </row>
    <row r="54" spans="1:15" x14ac:dyDescent="0.3">
      <c r="A54" s="67"/>
      <c r="B54" s="68"/>
      <c r="C54" s="69"/>
      <c r="D54" s="61"/>
      <c r="E54" s="72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3">
      <c r="A57" s="118" t="s">
        <v>21</v>
      </c>
      <c r="B57" s="119"/>
      <c r="C57" s="120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zoomScale="90" zoomScaleNormal="9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4" sqref="H34"/>
    </sheetView>
  </sheetViews>
  <sheetFormatPr defaultRowHeight="14.4" x14ac:dyDescent="0.3"/>
  <cols>
    <col min="1" max="1" width="13.5546875" style="2" bestFit="1" customWidth="1"/>
    <col min="2" max="4" width="11.6640625" style="10" customWidth="1"/>
    <col min="5" max="6" width="11.6640625" style="8" customWidth="1"/>
    <col min="7" max="7" width="11.6640625" style="10" customWidth="1"/>
    <col min="8" max="8" width="11.6640625" style="4" customWidth="1"/>
    <col min="9" max="9" width="27.44140625" customWidth="1"/>
  </cols>
  <sheetData>
    <row r="1" spans="1:9" s="1" customFormat="1" ht="31.2" x14ac:dyDescent="0.3">
      <c r="A1" s="93" t="s">
        <v>0</v>
      </c>
      <c r="B1" s="94" t="s">
        <v>5</v>
      </c>
      <c r="C1" s="94" t="s">
        <v>1</v>
      </c>
      <c r="D1" s="94" t="s">
        <v>2</v>
      </c>
      <c r="E1" s="95" t="s">
        <v>6</v>
      </c>
      <c r="F1" s="95" t="s">
        <v>7</v>
      </c>
      <c r="G1" s="94" t="s">
        <v>3</v>
      </c>
      <c r="H1" s="96" t="s">
        <v>4</v>
      </c>
      <c r="I1" s="3" t="s">
        <v>11</v>
      </c>
    </row>
    <row r="2" spans="1:9" s="1" customFormat="1" ht="15.6" x14ac:dyDescent="0.3">
      <c r="A2" s="97"/>
      <c r="B2" s="94" t="s">
        <v>25</v>
      </c>
      <c r="C2" s="94" t="s">
        <v>25</v>
      </c>
      <c r="D2" s="94" t="s">
        <v>25</v>
      </c>
      <c r="E2" s="95"/>
      <c r="F2" s="95"/>
      <c r="G2" s="94" t="s">
        <v>27</v>
      </c>
      <c r="H2" s="96"/>
      <c r="I2" s="85"/>
    </row>
    <row r="3" spans="1:9" ht="15.6" x14ac:dyDescent="0.3">
      <c r="A3" s="104">
        <v>42278</v>
      </c>
      <c r="B3" s="98">
        <v>0</v>
      </c>
      <c r="C3" s="98">
        <v>41</v>
      </c>
      <c r="D3" s="98">
        <v>119</v>
      </c>
      <c r="E3" s="99">
        <v>0</v>
      </c>
      <c r="F3" s="99">
        <v>0</v>
      </c>
      <c r="G3" s="98">
        <v>160</v>
      </c>
      <c r="H3" s="99">
        <v>4034.69</v>
      </c>
    </row>
    <row r="4" spans="1:9" ht="15.6" x14ac:dyDescent="0.3">
      <c r="A4" s="104">
        <v>42279</v>
      </c>
      <c r="B4" s="98">
        <v>0</v>
      </c>
      <c r="C4" s="98">
        <v>25</v>
      </c>
      <c r="D4" s="98">
        <v>123</v>
      </c>
      <c r="E4" s="99">
        <v>0</v>
      </c>
      <c r="F4" s="99">
        <v>0</v>
      </c>
      <c r="G4" s="98">
        <v>160</v>
      </c>
      <c r="H4" s="99">
        <v>4034.69</v>
      </c>
    </row>
    <row r="5" spans="1:9" ht="15.6" x14ac:dyDescent="0.3">
      <c r="A5" s="104">
        <v>42280</v>
      </c>
      <c r="B5" s="98">
        <v>0</v>
      </c>
      <c r="C5" s="98">
        <v>12</v>
      </c>
      <c r="D5" s="98">
        <v>135</v>
      </c>
      <c r="E5" s="99">
        <v>0</v>
      </c>
      <c r="F5" s="99">
        <v>0</v>
      </c>
      <c r="G5" s="98">
        <v>160</v>
      </c>
      <c r="H5" s="99">
        <v>4034.68</v>
      </c>
    </row>
    <row r="6" spans="1:9" ht="15.6" x14ac:dyDescent="0.3">
      <c r="A6" s="104">
        <v>42281</v>
      </c>
      <c r="B6" s="98">
        <v>0</v>
      </c>
      <c r="C6" s="98">
        <v>12</v>
      </c>
      <c r="D6" s="98">
        <v>126</v>
      </c>
      <c r="E6" s="99">
        <v>0</v>
      </c>
      <c r="F6" s="99">
        <v>0</v>
      </c>
      <c r="G6" s="98">
        <v>160</v>
      </c>
      <c r="H6" s="99">
        <v>4034.68</v>
      </c>
    </row>
    <row r="7" spans="1:9" ht="15.6" x14ac:dyDescent="0.3">
      <c r="A7" s="104">
        <v>42282</v>
      </c>
      <c r="B7" s="98">
        <v>0</v>
      </c>
      <c r="C7" s="98">
        <v>15</v>
      </c>
      <c r="D7" s="98">
        <v>121</v>
      </c>
      <c r="E7" s="99">
        <v>0</v>
      </c>
      <c r="F7" s="99">
        <v>0</v>
      </c>
      <c r="G7" s="98">
        <v>160</v>
      </c>
      <c r="H7" s="99">
        <v>4034.64</v>
      </c>
    </row>
    <row r="8" spans="1:9" ht="15.6" x14ac:dyDescent="0.3">
      <c r="A8" s="104">
        <v>42283</v>
      </c>
      <c r="B8" s="98">
        <v>0</v>
      </c>
      <c r="C8" s="98">
        <v>3</v>
      </c>
      <c r="D8" s="98">
        <v>142</v>
      </c>
      <c r="E8" s="99">
        <v>0</v>
      </c>
      <c r="F8" s="99">
        <v>0</v>
      </c>
      <c r="G8" s="98">
        <v>160</v>
      </c>
      <c r="H8" s="99">
        <v>4034.62</v>
      </c>
    </row>
    <row r="9" spans="1:9" ht="15.6" x14ac:dyDescent="0.3">
      <c r="A9" s="104">
        <v>42284</v>
      </c>
      <c r="B9" s="98">
        <v>8</v>
      </c>
      <c r="C9" s="98">
        <v>0</v>
      </c>
      <c r="D9" s="98">
        <v>175</v>
      </c>
      <c r="E9" s="99">
        <v>0</v>
      </c>
      <c r="F9" s="99">
        <v>0</v>
      </c>
      <c r="G9" s="98">
        <v>57</v>
      </c>
      <c r="H9" s="99">
        <v>4034.6</v>
      </c>
      <c r="I9" s="107" t="s">
        <v>28</v>
      </c>
    </row>
    <row r="10" spans="1:9" ht="15.6" x14ac:dyDescent="0.3">
      <c r="A10" s="104">
        <v>42285</v>
      </c>
      <c r="B10" s="98">
        <v>25</v>
      </c>
      <c r="C10" s="98">
        <v>0</v>
      </c>
      <c r="D10" s="98">
        <v>165</v>
      </c>
      <c r="E10" s="99">
        <v>0</v>
      </c>
      <c r="F10" s="99">
        <v>0</v>
      </c>
      <c r="G10" s="98">
        <v>73</v>
      </c>
      <c r="H10" s="99">
        <v>4034.58</v>
      </c>
    </row>
    <row r="11" spans="1:9" ht="15.6" x14ac:dyDescent="0.3">
      <c r="A11" s="104">
        <v>42286</v>
      </c>
      <c r="B11" s="98">
        <v>56</v>
      </c>
      <c r="C11" s="98">
        <v>0</v>
      </c>
      <c r="D11" s="98">
        <v>184</v>
      </c>
      <c r="E11" s="99">
        <v>0</v>
      </c>
      <c r="F11" s="99">
        <v>0</v>
      </c>
      <c r="G11" s="98">
        <v>160</v>
      </c>
      <c r="H11" s="99">
        <v>4034.58</v>
      </c>
      <c r="I11" s="107" t="s">
        <v>29</v>
      </c>
    </row>
    <row r="12" spans="1:9" ht="15.6" x14ac:dyDescent="0.3">
      <c r="A12" s="104">
        <v>42287</v>
      </c>
      <c r="B12" s="98">
        <v>75</v>
      </c>
      <c r="C12" s="98">
        <v>0</v>
      </c>
      <c r="D12" s="98">
        <v>188</v>
      </c>
      <c r="E12" s="99">
        <v>0</v>
      </c>
      <c r="F12" s="99">
        <v>0</v>
      </c>
      <c r="G12" s="98">
        <v>160</v>
      </c>
      <c r="H12" s="99">
        <v>4034.56</v>
      </c>
    </row>
    <row r="13" spans="1:9" ht="15.6" x14ac:dyDescent="0.3">
      <c r="A13" s="104">
        <v>42288</v>
      </c>
      <c r="B13" s="98">
        <v>44</v>
      </c>
      <c r="C13" s="98">
        <v>0</v>
      </c>
      <c r="D13" s="98">
        <v>188</v>
      </c>
      <c r="E13" s="99">
        <v>0</v>
      </c>
      <c r="F13" s="99">
        <v>0</v>
      </c>
      <c r="G13" s="98">
        <v>160</v>
      </c>
      <c r="H13" s="99">
        <v>4034.54</v>
      </c>
      <c r="I13" s="107" t="s">
        <v>30</v>
      </c>
    </row>
    <row r="14" spans="1:9" ht="15.6" x14ac:dyDescent="0.3">
      <c r="A14" s="104">
        <v>42289</v>
      </c>
      <c r="B14" s="98">
        <v>25</v>
      </c>
      <c r="C14" s="98">
        <v>0</v>
      </c>
      <c r="D14" s="98">
        <v>191</v>
      </c>
      <c r="E14" s="99">
        <v>0</v>
      </c>
      <c r="F14" s="99">
        <v>0</v>
      </c>
      <c r="G14" s="98">
        <v>160</v>
      </c>
      <c r="H14" s="99">
        <v>4034.52</v>
      </c>
    </row>
    <row r="15" spans="1:9" ht="15.6" x14ac:dyDescent="0.3">
      <c r="A15" s="104">
        <v>42290</v>
      </c>
      <c r="B15" s="98">
        <v>22</v>
      </c>
      <c r="C15" s="98">
        <v>0</v>
      </c>
      <c r="D15" s="98">
        <v>177</v>
      </c>
      <c r="E15" s="99">
        <v>0</v>
      </c>
      <c r="F15" s="99">
        <v>0</v>
      </c>
      <c r="G15" s="98">
        <v>160</v>
      </c>
      <c r="H15" s="99">
        <v>4034.51</v>
      </c>
      <c r="I15" s="107" t="s">
        <v>31</v>
      </c>
    </row>
    <row r="16" spans="1:9" ht="15.6" x14ac:dyDescent="0.3">
      <c r="A16" s="104">
        <v>42291</v>
      </c>
      <c r="B16" s="98">
        <v>18</v>
      </c>
      <c r="C16" s="98">
        <v>0</v>
      </c>
      <c r="D16" s="98">
        <v>180</v>
      </c>
      <c r="E16" s="99">
        <v>0</v>
      </c>
      <c r="F16" s="99">
        <v>0</v>
      </c>
      <c r="G16" s="98">
        <v>160</v>
      </c>
      <c r="H16" s="99">
        <v>4034.5</v>
      </c>
    </row>
    <row r="17" spans="1:9" ht="15.6" x14ac:dyDescent="0.3">
      <c r="A17" s="104">
        <v>42292</v>
      </c>
      <c r="B17" s="98">
        <v>18</v>
      </c>
      <c r="C17" s="98">
        <v>0</v>
      </c>
      <c r="D17" s="98">
        <v>174</v>
      </c>
      <c r="E17" s="99">
        <v>0</v>
      </c>
      <c r="F17" s="99">
        <v>0</v>
      </c>
      <c r="G17" s="98">
        <v>160</v>
      </c>
      <c r="H17" s="99">
        <v>4034.47</v>
      </c>
    </row>
    <row r="18" spans="1:9" ht="15.6" x14ac:dyDescent="0.3">
      <c r="A18" s="104">
        <v>42293</v>
      </c>
      <c r="B18" s="98">
        <v>18</v>
      </c>
      <c r="C18" s="98">
        <v>0</v>
      </c>
      <c r="D18" s="98">
        <v>187</v>
      </c>
      <c r="E18" s="99">
        <v>0</v>
      </c>
      <c r="F18" s="99">
        <v>0</v>
      </c>
      <c r="G18" s="98">
        <v>160</v>
      </c>
      <c r="H18" s="99">
        <v>4034.46</v>
      </c>
    </row>
    <row r="19" spans="1:9" ht="15.6" x14ac:dyDescent="0.3">
      <c r="A19" s="104">
        <v>42294</v>
      </c>
      <c r="B19" s="98">
        <v>18</v>
      </c>
      <c r="C19" s="98">
        <v>0</v>
      </c>
      <c r="D19" s="98">
        <v>200</v>
      </c>
      <c r="E19" s="99">
        <v>0.37</v>
      </c>
      <c r="F19" s="99">
        <v>0</v>
      </c>
      <c r="G19" s="98">
        <v>160</v>
      </c>
      <c r="H19" s="99">
        <v>4034.46</v>
      </c>
    </row>
    <row r="20" spans="1:9" ht="15.6" x14ac:dyDescent="0.3">
      <c r="A20" s="104">
        <v>42295</v>
      </c>
      <c r="B20" s="98">
        <v>18</v>
      </c>
      <c r="C20" s="98">
        <v>0</v>
      </c>
      <c r="D20" s="98">
        <v>184</v>
      </c>
      <c r="E20" s="99">
        <v>0.01</v>
      </c>
      <c r="F20" s="99">
        <v>0</v>
      </c>
      <c r="G20" s="98">
        <v>160</v>
      </c>
      <c r="H20" s="99">
        <v>4034.46</v>
      </c>
    </row>
    <row r="21" spans="1:9" ht="15.6" x14ac:dyDescent="0.3">
      <c r="A21" s="104">
        <v>42296</v>
      </c>
      <c r="B21" s="98">
        <v>18</v>
      </c>
      <c r="C21" s="98">
        <v>0</v>
      </c>
      <c r="D21" s="98">
        <v>173</v>
      </c>
      <c r="E21" s="99">
        <v>0</v>
      </c>
      <c r="F21" s="99">
        <v>0</v>
      </c>
      <c r="G21" s="98">
        <v>160</v>
      </c>
      <c r="H21" s="99">
        <v>4034.46</v>
      </c>
    </row>
    <row r="22" spans="1:9" ht="15.6" x14ac:dyDescent="0.3">
      <c r="A22" s="104">
        <v>42297</v>
      </c>
      <c r="B22" s="98">
        <v>18</v>
      </c>
      <c r="C22" s="98">
        <v>0</v>
      </c>
      <c r="D22" s="98">
        <v>169</v>
      </c>
      <c r="E22" s="99">
        <v>0.01</v>
      </c>
      <c r="F22" s="99">
        <v>0</v>
      </c>
      <c r="G22" s="98">
        <v>160</v>
      </c>
      <c r="H22" s="99">
        <v>4034.44</v>
      </c>
    </row>
    <row r="23" spans="1:9" ht="15.6" x14ac:dyDescent="0.3">
      <c r="A23" s="104">
        <v>42298</v>
      </c>
      <c r="B23" s="98">
        <v>18</v>
      </c>
      <c r="C23" s="98">
        <v>0</v>
      </c>
      <c r="D23" s="98">
        <v>133</v>
      </c>
      <c r="E23" s="99">
        <v>0</v>
      </c>
      <c r="F23" s="99">
        <v>0</v>
      </c>
      <c r="G23" s="98">
        <v>160</v>
      </c>
      <c r="H23" s="99">
        <v>4034.42</v>
      </c>
    </row>
    <row r="24" spans="1:9" ht="15.6" x14ac:dyDescent="0.3">
      <c r="A24" s="104">
        <v>42299</v>
      </c>
      <c r="B24" s="98">
        <v>18</v>
      </c>
      <c r="C24" s="98">
        <v>0</v>
      </c>
      <c r="D24" s="98">
        <v>170</v>
      </c>
      <c r="E24" s="99">
        <v>0</v>
      </c>
      <c r="F24" s="99">
        <v>0</v>
      </c>
      <c r="G24" s="98">
        <v>160</v>
      </c>
      <c r="H24" s="99">
        <v>4034.4</v>
      </c>
    </row>
    <row r="25" spans="1:9" ht="15.6" x14ac:dyDescent="0.3">
      <c r="A25" s="104">
        <v>42300</v>
      </c>
      <c r="B25" s="98">
        <v>18</v>
      </c>
      <c r="C25" s="98">
        <v>0</v>
      </c>
      <c r="D25" s="98">
        <v>159</v>
      </c>
      <c r="E25" s="99">
        <v>0</v>
      </c>
      <c r="F25" s="99">
        <v>0</v>
      </c>
      <c r="G25" s="98">
        <v>160</v>
      </c>
      <c r="H25" s="99">
        <v>4034.4</v>
      </c>
    </row>
    <row r="26" spans="1:9" ht="15.6" x14ac:dyDescent="0.3">
      <c r="A26" s="104">
        <v>42301</v>
      </c>
      <c r="B26" s="98">
        <v>62</v>
      </c>
      <c r="C26" s="98">
        <v>0</v>
      </c>
      <c r="D26" s="98">
        <v>142</v>
      </c>
      <c r="E26" s="99">
        <v>0</v>
      </c>
      <c r="F26" s="99">
        <v>0</v>
      </c>
      <c r="G26" s="98">
        <v>160</v>
      </c>
      <c r="H26" s="99">
        <v>4034.4</v>
      </c>
      <c r="I26" s="107" t="s">
        <v>32</v>
      </c>
    </row>
    <row r="27" spans="1:9" ht="15.6" x14ac:dyDescent="0.3">
      <c r="A27" s="104">
        <v>42302</v>
      </c>
      <c r="B27" s="98">
        <v>151</v>
      </c>
      <c r="C27" s="98">
        <v>0</v>
      </c>
      <c r="D27" s="98">
        <v>173</v>
      </c>
      <c r="E27" s="99">
        <v>0</v>
      </c>
      <c r="F27" s="99">
        <v>0</v>
      </c>
      <c r="G27" s="98">
        <v>160</v>
      </c>
      <c r="H27" s="99">
        <v>4034.38</v>
      </c>
      <c r="I27" s="107" t="s">
        <v>33</v>
      </c>
    </row>
    <row r="28" spans="1:9" ht="15.6" x14ac:dyDescent="0.3">
      <c r="A28" s="104">
        <v>42303</v>
      </c>
      <c r="B28" s="98">
        <v>184</v>
      </c>
      <c r="C28" s="98">
        <v>0</v>
      </c>
      <c r="D28" s="98">
        <v>209</v>
      </c>
      <c r="E28" s="99">
        <v>0</v>
      </c>
      <c r="F28" s="99">
        <v>0</v>
      </c>
      <c r="G28" s="98">
        <v>160</v>
      </c>
      <c r="H28" s="99">
        <v>4034.38</v>
      </c>
      <c r="I28" s="107" t="s">
        <v>34</v>
      </c>
    </row>
    <row r="29" spans="1:9" ht="15.6" x14ac:dyDescent="0.3">
      <c r="A29" s="104">
        <v>42304</v>
      </c>
      <c r="B29" s="98">
        <v>150</v>
      </c>
      <c r="C29" s="98">
        <v>0</v>
      </c>
      <c r="D29" s="98">
        <v>216</v>
      </c>
      <c r="E29" s="99">
        <v>0</v>
      </c>
      <c r="F29" s="99">
        <v>0</v>
      </c>
      <c r="G29" s="98">
        <v>160</v>
      </c>
      <c r="H29" s="99">
        <v>4034.37</v>
      </c>
    </row>
    <row r="30" spans="1:9" ht="15.6" x14ac:dyDescent="0.3">
      <c r="A30" s="104">
        <v>42305</v>
      </c>
      <c r="B30" s="98">
        <v>150</v>
      </c>
      <c r="C30" s="98">
        <v>0</v>
      </c>
      <c r="D30" s="98">
        <v>219</v>
      </c>
      <c r="E30" s="99">
        <v>0.28999999999999998</v>
      </c>
      <c r="F30" s="99">
        <v>0</v>
      </c>
      <c r="G30" s="98">
        <v>160</v>
      </c>
      <c r="H30" s="99">
        <v>4034.36</v>
      </c>
    </row>
    <row r="31" spans="1:9" ht="15.6" x14ac:dyDescent="0.3">
      <c r="A31" s="104">
        <v>42306</v>
      </c>
      <c r="B31" s="98">
        <v>150</v>
      </c>
      <c r="C31" s="98">
        <v>0</v>
      </c>
      <c r="D31" s="98">
        <v>213</v>
      </c>
      <c r="E31" s="99">
        <v>0</v>
      </c>
      <c r="F31" s="99">
        <v>0</v>
      </c>
      <c r="G31" s="98">
        <v>58</v>
      </c>
      <c r="H31" s="99">
        <v>4034.35</v>
      </c>
      <c r="I31" s="107" t="s">
        <v>35</v>
      </c>
    </row>
    <row r="32" spans="1:9" ht="15.6" x14ac:dyDescent="0.3">
      <c r="A32" s="104">
        <v>42307</v>
      </c>
      <c r="B32" s="98">
        <v>150</v>
      </c>
      <c r="C32" s="98">
        <v>0</v>
      </c>
      <c r="D32" s="98">
        <v>200</v>
      </c>
      <c r="E32" s="99">
        <v>0</v>
      </c>
      <c r="F32" s="99">
        <v>0</v>
      </c>
      <c r="G32" s="98">
        <v>0</v>
      </c>
      <c r="H32" s="99">
        <v>4034.35</v>
      </c>
    </row>
    <row r="33" spans="1:14" ht="16.2" thickBot="1" x14ac:dyDescent="0.35">
      <c r="A33" s="104">
        <v>42308</v>
      </c>
      <c r="B33" s="98">
        <v>141</v>
      </c>
      <c r="C33" s="98">
        <v>0</v>
      </c>
      <c r="D33" s="98">
        <v>176</v>
      </c>
      <c r="E33" s="99">
        <v>0</v>
      </c>
      <c r="F33" s="99">
        <v>0</v>
      </c>
      <c r="G33" s="98">
        <v>0</v>
      </c>
      <c r="H33" s="99">
        <v>4034.36</v>
      </c>
      <c r="I33" s="107" t="s">
        <v>36</v>
      </c>
    </row>
    <row r="34" spans="1:14" ht="16.2" thickTop="1" x14ac:dyDescent="0.3">
      <c r="A34" s="100" t="s">
        <v>8</v>
      </c>
      <c r="B34" s="98">
        <f t="shared" ref="B34:G34" si="0">SUM(B3:B33)</f>
        <v>1573</v>
      </c>
      <c r="C34" s="98">
        <f t="shared" si="0"/>
        <v>108</v>
      </c>
      <c r="D34" s="98">
        <f t="shared" si="0"/>
        <v>5311</v>
      </c>
      <c r="E34" s="98">
        <f t="shared" si="0"/>
        <v>0.67999999999999994</v>
      </c>
      <c r="F34" s="98">
        <f t="shared" si="0"/>
        <v>0</v>
      </c>
      <c r="G34" s="98">
        <f t="shared" si="0"/>
        <v>4348</v>
      </c>
      <c r="H34" s="98"/>
      <c r="J34" s="11"/>
    </row>
    <row r="35" spans="1:14" s="11" customFormat="1" ht="15.6" x14ac:dyDescent="0.3">
      <c r="A35" s="101" t="s">
        <v>9</v>
      </c>
      <c r="B35" s="102">
        <f>SUM(B34+'Oct 2015'!B36)</f>
        <v>1573</v>
      </c>
      <c r="C35" s="102">
        <f>SUM(C34+'Oct 2015'!C36)</f>
        <v>108</v>
      </c>
      <c r="D35" s="102">
        <f>SUM(D34+'Oct 2015'!D36)</f>
        <v>5311</v>
      </c>
      <c r="E35" s="103">
        <f>SUM(E34+'Oct 2015'!E36)</f>
        <v>0.67999999999999994</v>
      </c>
      <c r="F35" s="103">
        <f>SUM(F34+'Oct 2015'!F36)</f>
        <v>0</v>
      </c>
      <c r="G35" s="102">
        <f>SUM(G34+'Oct 2015'!G36)</f>
        <v>4348</v>
      </c>
      <c r="H35" s="103"/>
    </row>
    <row r="36" spans="1:14" s="11" customFormat="1" x14ac:dyDescent="0.3">
      <c r="A36" s="2"/>
      <c r="B36" s="6"/>
      <c r="C36" s="6"/>
      <c r="D36" s="6"/>
      <c r="E36"/>
      <c r="F36"/>
      <c r="G36" s="6"/>
      <c r="H36"/>
      <c r="J36"/>
    </row>
    <row r="37" spans="1:14" x14ac:dyDescent="0.3">
      <c r="A37" t="s">
        <v>10</v>
      </c>
      <c r="B37" s="23">
        <f>SUM(B3:B33)*1.9835</f>
        <v>3120.0455000000002</v>
      </c>
      <c r="C37" s="23">
        <f>SUM(C3:C33)*1.9835</f>
        <v>214.21800000000002</v>
      </c>
      <c r="D37" s="23">
        <f>SUM(D3:D33)*1.9835</f>
        <v>10534.3685</v>
      </c>
      <c r="E37" s="23"/>
      <c r="F37" s="23"/>
      <c r="G37" s="23"/>
      <c r="H37"/>
      <c r="I37" s="22"/>
    </row>
    <row r="38" spans="1:14" x14ac:dyDescent="0.3">
      <c r="A38"/>
      <c r="B38"/>
      <c r="C38"/>
      <c r="D38"/>
      <c r="E38"/>
      <c r="F38"/>
      <c r="G38"/>
      <c r="H38"/>
    </row>
    <row r="39" spans="1:14" x14ac:dyDescent="0.3">
      <c r="A39" t="s">
        <v>24</v>
      </c>
      <c r="B39" s="23">
        <f>SUM('Oct 2015'!B40+B37)</f>
        <v>3120.0455000000002</v>
      </c>
      <c r="C39" s="23">
        <f>SUM('Oct 2015'!C40+C37)</f>
        <v>214.21800000000002</v>
      </c>
      <c r="D39" s="23">
        <f>SUM('Oct 2015'!D40+D37)</f>
        <v>10534.3685</v>
      </c>
      <c r="E39" s="23"/>
      <c r="F39" s="23"/>
      <c r="G39" s="23"/>
      <c r="H39"/>
      <c r="I39" s="22"/>
    </row>
    <row r="40" spans="1:14" x14ac:dyDescent="0.3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3">
      <c r="A41" s="112"/>
      <c r="B41" s="112"/>
      <c r="C41" s="112"/>
      <c r="D41" s="112"/>
      <c r="E41" s="112"/>
      <c r="F41" s="113"/>
      <c r="G41" s="114" t="s">
        <v>12</v>
      </c>
      <c r="H41" s="115"/>
      <c r="I41" s="30"/>
      <c r="J41" s="30"/>
    </row>
    <row r="42" spans="1:14" ht="17.399999999999999" customHeight="1" x14ac:dyDescent="0.3">
      <c r="A42" s="29"/>
      <c r="B42" s="29"/>
      <c r="C42" s="29"/>
      <c r="D42" s="29"/>
      <c r="E42" s="29"/>
      <c r="F42" s="29"/>
      <c r="G42" s="114"/>
      <c r="H42" s="115"/>
      <c r="I42" s="30"/>
      <c r="J42" s="30"/>
      <c r="K42" s="30"/>
      <c r="L42" s="30"/>
      <c r="M42" s="31"/>
      <c r="N42" s="30"/>
    </row>
    <row r="43" spans="1:14" ht="16.95" customHeight="1" x14ac:dyDescent="0.3">
      <c r="A43" s="117" t="s">
        <v>23</v>
      </c>
      <c r="B43" s="117"/>
      <c r="C43" s="117"/>
      <c r="D43" s="117"/>
      <c r="E43" s="117"/>
      <c r="F43" s="117"/>
      <c r="G43" s="117"/>
      <c r="H43" s="117"/>
      <c r="I43" s="117"/>
      <c r="J43" s="117"/>
      <c r="K43" s="30"/>
      <c r="L43" s="30"/>
      <c r="M43" s="31"/>
      <c r="N43" s="30"/>
    </row>
    <row r="44" spans="1:14" ht="13.95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2" customHeight="1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3">
      <c r="A54" s="67"/>
      <c r="B54" s="68"/>
      <c r="C54" s="69"/>
      <c r="D54" s="61"/>
      <c r="E54" s="70"/>
      <c r="F54" s="71"/>
      <c r="G54" s="64"/>
      <c r="H54" s="65"/>
    </row>
    <row r="55" spans="1:14" x14ac:dyDescent="0.3">
      <c r="A55" s="67"/>
      <c r="B55" s="68"/>
      <c r="C55" s="69"/>
      <c r="D55" s="61"/>
      <c r="E55" s="72"/>
      <c r="F55" s="71"/>
      <c r="G55" s="64"/>
      <c r="H55" s="65"/>
    </row>
    <row r="56" spans="1:14" x14ac:dyDescent="0.3">
      <c r="A56" s="67"/>
      <c r="B56" s="68"/>
      <c r="C56" s="69"/>
      <c r="D56" s="61"/>
      <c r="E56" s="72"/>
      <c r="F56" s="71"/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5.8" thickBot="1" x14ac:dyDescent="0.35">
      <c r="A58" s="118" t="s">
        <v>21</v>
      </c>
      <c r="B58" s="119"/>
      <c r="C58" s="120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3">
      <c r="A59" s="118" t="s">
        <v>21</v>
      </c>
      <c r="B59" s="119"/>
      <c r="C59" s="120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2016</vt:lpstr>
      <vt:lpstr>Aug 2016</vt:lpstr>
      <vt:lpstr>Jul 2016</vt:lpstr>
      <vt:lpstr>Jun 2016</vt:lpstr>
      <vt:lpstr>May 2016</vt:lpstr>
      <vt:lpstr>Apr 2016</vt:lpstr>
      <vt:lpstr>Mar 2016</vt:lpstr>
      <vt:lpstr>Feb 2016</vt:lpstr>
      <vt:lpstr>Jan 2016</vt:lpstr>
      <vt:lpstr>Dec 2015</vt:lpstr>
      <vt:lpstr>Nov 2015</vt:lpstr>
      <vt:lpstr>Oct 2015</vt:lpstr>
      <vt:lpstr>'Apr 2016'!Print_Area</vt:lpstr>
      <vt:lpstr>'Aug 2016'!Print_Area</vt:lpstr>
      <vt:lpstr>'Feb 2016'!Print_Area</vt:lpstr>
      <vt:lpstr>'Jan 2016'!Print_Area</vt:lpstr>
      <vt:lpstr>'Jul 2016'!Print_Area</vt:lpstr>
      <vt:lpstr>'Jun 2016'!Print_Area</vt:lpstr>
      <vt:lpstr>'Mar 2016'!Print_Area</vt:lpstr>
      <vt:lpstr>'Nov 2015'!Print_Area</vt:lpstr>
      <vt:lpstr>'Oct 2015'!Print_Area</vt:lpstr>
      <vt:lpstr>'Sep 2016'!Print_Area</vt:lpstr>
    </vt:vector>
  </TitlesOfParts>
  <Company>Bureau of Reclamation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Ron</cp:lastModifiedBy>
  <cp:lastPrinted>2016-07-20T14:45:35Z</cp:lastPrinted>
  <dcterms:created xsi:type="dcterms:W3CDTF">2010-05-21T17:05:57Z</dcterms:created>
  <dcterms:modified xsi:type="dcterms:W3CDTF">2016-10-12T15:17:47Z</dcterms:modified>
</cp:coreProperties>
</file>