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ocuments\RON\TID Daily Reports\"/>
    </mc:Choice>
  </mc:AlternateContent>
  <xr:revisionPtr revIDLastSave="0" documentId="13_ncr:1_{2669F003-46AE-4D9D-B124-1C3B15B509F2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ep 2024" sheetId="12" r:id="rId1"/>
    <sheet name="Aug 2024" sheetId="11" r:id="rId2"/>
    <sheet name="Jul 2024" sheetId="10" r:id="rId3"/>
    <sheet name="Jun 2024" sheetId="9" r:id="rId4"/>
    <sheet name="May 2024" sheetId="8" r:id="rId5"/>
    <sheet name="Apr 2024" sheetId="7" r:id="rId6"/>
    <sheet name="Mar 2024" sheetId="6" r:id="rId7"/>
    <sheet name="Feb 2024" sheetId="5" r:id="rId8"/>
    <sheet name="Jan 2024" sheetId="4" r:id="rId9"/>
    <sheet name="Dec 2023" sheetId="3" r:id="rId10"/>
    <sheet name="Nov 2023" sheetId="2" r:id="rId11"/>
    <sheet name="Oct 2023" sheetId="1" r:id="rId12"/>
  </sheets>
  <definedNames>
    <definedName name="_xlnm.Print_Area" localSheetId="5">'Apr 2024'!$A$1:$I$34</definedName>
    <definedName name="_xlnm.Print_Area" localSheetId="1">'Aug 2024'!$A$1:$I$39</definedName>
    <definedName name="_xlnm.Print_Area" localSheetId="9">'Dec 2023'!$A$1:$J$39</definedName>
    <definedName name="_xlnm.Print_Area" localSheetId="7">'Feb 2024'!$A$1:$I$33</definedName>
    <definedName name="_xlnm.Print_Area" localSheetId="8">'Jan 2024'!$A$1:$J$39</definedName>
    <definedName name="_xlnm.Print_Area" localSheetId="2">'Jul 2024'!$A$1:$I$39</definedName>
    <definedName name="_xlnm.Print_Area" localSheetId="3">'Jun 2024'!$A$1:$I$38</definedName>
    <definedName name="_xlnm.Print_Area" localSheetId="6">'Mar 2024'!$A$1:$I$35</definedName>
    <definedName name="_xlnm.Print_Area" localSheetId="10">'Nov 2023'!$A$1:$J$38</definedName>
    <definedName name="_xlnm.Print_Area" localSheetId="11">'Oct 2023'!$A$1:$J$39</definedName>
    <definedName name="_xlnm.Print_Area" localSheetId="0">'Sep 2024'!$A$1:$I$38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6" l="1"/>
  <c r="D34" i="6"/>
  <c r="B33" i="12" l="1"/>
  <c r="B36" i="12"/>
  <c r="B34" i="11"/>
  <c r="B37" i="11"/>
  <c r="B34" i="10"/>
  <c r="B37" i="10"/>
  <c r="B33" i="9"/>
  <c r="B36" i="9"/>
  <c r="B34" i="8"/>
  <c r="B37" i="8"/>
  <c r="B33" i="7"/>
  <c r="B34" i="6"/>
  <c r="B37" i="6"/>
  <c r="B34" i="1"/>
  <c r="B35" i="1" s="1"/>
  <c r="B37" i="1"/>
  <c r="B39" i="1" s="1"/>
  <c r="B33" i="2"/>
  <c r="B36" i="2"/>
  <c r="B34" i="3"/>
  <c r="B37" i="3"/>
  <c r="B34" i="4"/>
  <c r="B37" i="4"/>
  <c r="B32" i="5"/>
  <c r="B35" i="5"/>
  <c r="B38" i="2" l="1"/>
  <c r="B39" i="3" s="1"/>
  <c r="B39" i="4" s="1"/>
  <c r="B37" i="5" s="1"/>
  <c r="B39" i="6" s="1"/>
  <c r="B36" i="7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B38" i="7"/>
  <c r="B39" i="8" s="1"/>
  <c r="B38" i="9" s="1"/>
  <c r="B39" i="10" s="1"/>
  <c r="B39" i="11" s="1"/>
  <c r="B38" i="12" s="1"/>
  <c r="H33" i="12"/>
  <c r="G33" i="12"/>
  <c r="F33" i="12"/>
  <c r="E33" i="12"/>
  <c r="D33" i="12"/>
  <c r="C33" i="12"/>
  <c r="E37" i="11"/>
  <c r="D37" i="11"/>
  <c r="C37" i="11"/>
  <c r="H33" i="9"/>
  <c r="G33" i="9"/>
  <c r="F33" i="9"/>
  <c r="E33" i="9"/>
  <c r="D33" i="9"/>
  <c r="H33" i="2"/>
  <c r="H34" i="1"/>
  <c r="H35" i="1" s="1"/>
  <c r="D37" i="1" l="1"/>
  <c r="E37" i="1"/>
  <c r="E39" i="1" s="1"/>
  <c r="C37" i="1"/>
  <c r="C39" i="1" s="1"/>
  <c r="H32" i="5" l="1"/>
  <c r="C33" i="7"/>
  <c r="C36" i="7" s="1"/>
  <c r="D33" i="7"/>
  <c r="D36" i="7" s="1"/>
  <c r="E33" i="7"/>
  <c r="E36" i="7" s="1"/>
  <c r="F33" i="7"/>
  <c r="G33" i="7"/>
  <c r="H33" i="7"/>
  <c r="G44" i="7"/>
  <c r="H44" i="7"/>
  <c r="G45" i="7"/>
  <c r="H45" i="7"/>
  <c r="G46" i="7"/>
  <c r="H46" i="7"/>
  <c r="G47" i="7"/>
  <c r="H47" i="7"/>
  <c r="G48" i="7"/>
  <c r="H48" i="7"/>
  <c r="I48" i="7" s="1"/>
  <c r="G52" i="7"/>
  <c r="G53" i="7"/>
  <c r="G54" i="7"/>
  <c r="G55" i="7"/>
  <c r="G56" i="7"/>
  <c r="E57" i="7"/>
  <c r="C34" i="11"/>
  <c r="D34" i="11"/>
  <c r="E34" i="11"/>
  <c r="F34" i="11"/>
  <c r="G34" i="11"/>
  <c r="H34" i="11"/>
  <c r="G45" i="11"/>
  <c r="H45" i="11"/>
  <c r="G46" i="11"/>
  <c r="H46" i="11"/>
  <c r="G47" i="11"/>
  <c r="H47" i="11"/>
  <c r="G48" i="11"/>
  <c r="H48" i="11"/>
  <c r="G49" i="11"/>
  <c r="H49" i="11"/>
  <c r="G53" i="11"/>
  <c r="G54" i="11"/>
  <c r="G55" i="11"/>
  <c r="G56" i="11"/>
  <c r="G57" i="11"/>
  <c r="E58" i="11"/>
  <c r="C34" i="3"/>
  <c r="D34" i="3"/>
  <c r="E34" i="3"/>
  <c r="F34" i="3"/>
  <c r="G34" i="3"/>
  <c r="H34" i="3"/>
  <c r="C37" i="3"/>
  <c r="D37" i="3"/>
  <c r="E37" i="3"/>
  <c r="G45" i="3"/>
  <c r="H45" i="3"/>
  <c r="G46" i="3"/>
  <c r="H46" i="3"/>
  <c r="G47" i="3"/>
  <c r="H47" i="3"/>
  <c r="G48" i="3"/>
  <c r="H48" i="3"/>
  <c r="G49" i="3"/>
  <c r="H49" i="3"/>
  <c r="E58" i="3"/>
  <c r="G58" i="3"/>
  <c r="C32" i="5"/>
  <c r="D32" i="5"/>
  <c r="E32" i="5"/>
  <c r="F32" i="5"/>
  <c r="G32" i="5"/>
  <c r="C35" i="5"/>
  <c r="D35" i="5"/>
  <c r="E35" i="5"/>
  <c r="G43" i="5"/>
  <c r="H43" i="5"/>
  <c r="G44" i="5"/>
  <c r="H44" i="5"/>
  <c r="G45" i="5"/>
  <c r="H45" i="5"/>
  <c r="G46" i="5"/>
  <c r="H46" i="5"/>
  <c r="G47" i="5"/>
  <c r="H47" i="5"/>
  <c r="G51" i="5"/>
  <c r="G52" i="5"/>
  <c r="G53" i="5"/>
  <c r="G54" i="5"/>
  <c r="G55" i="5"/>
  <c r="E56" i="5"/>
  <c r="C34" i="4"/>
  <c r="D34" i="4"/>
  <c r="E34" i="4"/>
  <c r="F34" i="4"/>
  <c r="G34" i="4"/>
  <c r="H34" i="4"/>
  <c r="C37" i="4"/>
  <c r="D37" i="4"/>
  <c r="E37" i="4"/>
  <c r="G45" i="4"/>
  <c r="H45" i="4"/>
  <c r="G46" i="4"/>
  <c r="H46" i="4"/>
  <c r="G47" i="4"/>
  <c r="H47" i="4"/>
  <c r="G48" i="4"/>
  <c r="H48" i="4"/>
  <c r="G49" i="4"/>
  <c r="H49" i="4"/>
  <c r="G53" i="4"/>
  <c r="G54" i="4"/>
  <c r="G55" i="4"/>
  <c r="G56" i="4"/>
  <c r="G57" i="4"/>
  <c r="E58" i="4"/>
  <c r="C34" i="10"/>
  <c r="D34" i="10"/>
  <c r="E34" i="10"/>
  <c r="F34" i="10"/>
  <c r="G34" i="10"/>
  <c r="H34" i="10"/>
  <c r="C37" i="10"/>
  <c r="D37" i="10"/>
  <c r="E37" i="10"/>
  <c r="G45" i="10"/>
  <c r="H45" i="10"/>
  <c r="G46" i="10"/>
  <c r="H46" i="10"/>
  <c r="G47" i="10"/>
  <c r="H47" i="10"/>
  <c r="G48" i="10"/>
  <c r="H48" i="10"/>
  <c r="G49" i="10"/>
  <c r="H49" i="10"/>
  <c r="G53" i="10"/>
  <c r="G54" i="10"/>
  <c r="G55" i="10"/>
  <c r="G56" i="10"/>
  <c r="G57" i="10"/>
  <c r="E58" i="10"/>
  <c r="C33" i="9"/>
  <c r="C36" i="9"/>
  <c r="D36" i="9"/>
  <c r="E36" i="9"/>
  <c r="G44" i="9"/>
  <c r="H44" i="9"/>
  <c r="G45" i="9"/>
  <c r="H45" i="9"/>
  <c r="G46" i="9"/>
  <c r="H46" i="9"/>
  <c r="G47" i="9"/>
  <c r="H47" i="9"/>
  <c r="G48" i="9"/>
  <c r="H48" i="9"/>
  <c r="G52" i="9"/>
  <c r="G53" i="9"/>
  <c r="G54" i="9"/>
  <c r="G55" i="9"/>
  <c r="G56" i="9"/>
  <c r="E57" i="9"/>
  <c r="C34" i="6"/>
  <c r="E34" i="6"/>
  <c r="F34" i="6"/>
  <c r="G34" i="6"/>
  <c r="H34" i="6"/>
  <c r="C37" i="6"/>
  <c r="E37" i="6"/>
  <c r="G45" i="6"/>
  <c r="H45" i="6"/>
  <c r="G46" i="6"/>
  <c r="H46" i="6"/>
  <c r="G47" i="6"/>
  <c r="H47" i="6"/>
  <c r="G48" i="6"/>
  <c r="H48" i="6"/>
  <c r="G49" i="6"/>
  <c r="H49" i="6"/>
  <c r="G53" i="6"/>
  <c r="G54" i="6"/>
  <c r="G55" i="6"/>
  <c r="G56" i="6"/>
  <c r="G57" i="6"/>
  <c r="E58" i="6"/>
  <c r="C34" i="8"/>
  <c r="D34" i="8"/>
  <c r="E34" i="8"/>
  <c r="F34" i="8"/>
  <c r="G34" i="8"/>
  <c r="H34" i="8"/>
  <c r="C37" i="8"/>
  <c r="D37" i="8"/>
  <c r="E37" i="8"/>
  <c r="G45" i="8"/>
  <c r="H45" i="8"/>
  <c r="G46" i="8"/>
  <c r="H46" i="8"/>
  <c r="G47" i="8"/>
  <c r="H47" i="8"/>
  <c r="G48" i="8"/>
  <c r="H48" i="8"/>
  <c r="G49" i="8"/>
  <c r="H49" i="8"/>
  <c r="G53" i="8"/>
  <c r="G54" i="8"/>
  <c r="G55" i="8"/>
  <c r="G56" i="8"/>
  <c r="G57" i="8"/>
  <c r="E58" i="8"/>
  <c r="C33" i="2"/>
  <c r="D33" i="2"/>
  <c r="E33" i="2"/>
  <c r="F33" i="2"/>
  <c r="G33" i="2"/>
  <c r="H34" i="2"/>
  <c r="C36" i="2"/>
  <c r="D36" i="2"/>
  <c r="E36" i="2"/>
  <c r="E38" i="2" s="1"/>
  <c r="G44" i="2"/>
  <c r="H44" i="2"/>
  <c r="G45" i="2"/>
  <c r="H45" i="2"/>
  <c r="G46" i="2"/>
  <c r="H46" i="2"/>
  <c r="G47" i="2"/>
  <c r="H47" i="2"/>
  <c r="I47" i="2" s="1"/>
  <c r="G48" i="2"/>
  <c r="H48" i="2"/>
  <c r="E57" i="2"/>
  <c r="G57" i="2"/>
  <c r="C34" i="1"/>
  <c r="C35" i="1" s="1"/>
  <c r="D34" i="1"/>
  <c r="D35" i="1" s="1"/>
  <c r="E34" i="1"/>
  <c r="E35" i="1" s="1"/>
  <c r="F34" i="1"/>
  <c r="F35" i="1" s="1"/>
  <c r="G34" i="1"/>
  <c r="G35" i="1" s="1"/>
  <c r="D39" i="1"/>
  <c r="G45" i="1"/>
  <c r="H45" i="1"/>
  <c r="G46" i="1"/>
  <c r="H46" i="1"/>
  <c r="G47" i="1"/>
  <c r="H47" i="1"/>
  <c r="G48" i="1"/>
  <c r="H48" i="1"/>
  <c r="G49" i="1"/>
  <c r="H49" i="1"/>
  <c r="E58" i="1"/>
  <c r="E59" i="1" s="1"/>
  <c r="G58" i="1"/>
  <c r="G59" i="1" s="1"/>
  <c r="C36" i="12"/>
  <c r="D36" i="12"/>
  <c r="E36" i="12"/>
  <c r="G44" i="12"/>
  <c r="H44" i="12"/>
  <c r="G45" i="12"/>
  <c r="H45" i="12"/>
  <c r="G46" i="12"/>
  <c r="H46" i="12"/>
  <c r="G47" i="12"/>
  <c r="H47" i="12"/>
  <c r="G48" i="12"/>
  <c r="H48" i="12"/>
  <c r="G52" i="12"/>
  <c r="G53" i="12"/>
  <c r="G54" i="12"/>
  <c r="G55" i="12"/>
  <c r="G56" i="12"/>
  <c r="E57" i="12"/>
  <c r="I47" i="1" l="1"/>
  <c r="I45" i="5"/>
  <c r="I43" i="5"/>
  <c r="I49" i="6"/>
  <c r="I45" i="6"/>
  <c r="I46" i="1"/>
  <c r="I46" i="2"/>
  <c r="I48" i="6"/>
  <c r="I49" i="1"/>
  <c r="I47" i="6"/>
  <c r="I44" i="7"/>
  <c r="I49" i="8"/>
  <c r="I45" i="8"/>
  <c r="I47" i="3"/>
  <c r="I45" i="4"/>
  <c r="I47" i="12"/>
  <c r="I44" i="9"/>
  <c r="I46" i="5"/>
  <c r="G58" i="10"/>
  <c r="I47" i="4"/>
  <c r="I46" i="10"/>
  <c r="I45" i="3"/>
  <c r="I44" i="12"/>
  <c r="E39" i="3"/>
  <c r="E39" i="4" s="1"/>
  <c r="E37" i="5" s="1"/>
  <c r="E39" i="6" s="1"/>
  <c r="E38" i="7" s="1"/>
  <c r="E39" i="8" s="1"/>
  <c r="E38" i="9" s="1"/>
  <c r="E39" i="10" s="1"/>
  <c r="E39" i="11" s="1"/>
  <c r="E38" i="12" s="1"/>
  <c r="I47" i="8"/>
  <c r="I46" i="6"/>
  <c r="I47" i="9"/>
  <c r="I45" i="9"/>
  <c r="I45" i="10"/>
  <c r="G56" i="5"/>
  <c r="I48" i="3"/>
  <c r="G57" i="12"/>
  <c r="I45" i="12"/>
  <c r="I48" i="8"/>
  <c r="I46" i="8"/>
  <c r="I48" i="9"/>
  <c r="I45" i="1"/>
  <c r="I48" i="2"/>
  <c r="I45" i="2"/>
  <c r="G57" i="9"/>
  <c r="I46" i="9"/>
  <c r="I48" i="10"/>
  <c r="I49" i="4"/>
  <c r="I49" i="3"/>
  <c r="I44" i="2"/>
  <c r="G58" i="8"/>
  <c r="I49" i="10"/>
  <c r="I47" i="10"/>
  <c r="I48" i="4"/>
  <c r="G57" i="7"/>
  <c r="I46" i="7"/>
  <c r="I48" i="12"/>
  <c r="I46" i="12"/>
  <c r="I48" i="1"/>
  <c r="G58" i="4"/>
  <c r="I46" i="4"/>
  <c r="I47" i="5"/>
  <c r="I44" i="5"/>
  <c r="I46" i="3"/>
  <c r="I47" i="7"/>
  <c r="I45" i="7"/>
  <c r="G58" i="6"/>
  <c r="I46" i="11"/>
  <c r="I49" i="11"/>
  <c r="I47" i="11"/>
  <c r="I45" i="11"/>
  <c r="I48" i="11"/>
  <c r="G58" i="1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D38" i="2"/>
  <c r="D39" i="3" s="1"/>
  <c r="D39" i="4" s="1"/>
  <c r="D37" i="5" s="1"/>
  <c r="D39" i="6" s="1"/>
  <c r="D38" i="7" s="1"/>
  <c r="D39" i="8" s="1"/>
  <c r="D38" i="9" s="1"/>
  <c r="D39" i="10" s="1"/>
  <c r="D39" i="11" s="1"/>
  <c r="D38" i="12" s="1"/>
  <c r="D34" i="2"/>
  <c r="D35" i="3" s="1"/>
  <c r="D35" i="4" s="1"/>
  <c r="D33" i="5" s="1"/>
  <c r="G34" i="2"/>
  <c r="G35" i="3" s="1"/>
  <c r="G35" i="4" s="1"/>
  <c r="G33" i="5" s="1"/>
  <c r="G35" i="6" s="1"/>
  <c r="G34" i="7" s="1"/>
  <c r="G35" i="8" s="1"/>
  <c r="G34" i="9" s="1"/>
  <c r="G35" i="10" s="1"/>
  <c r="G35" i="11" s="1"/>
  <c r="G34" i="12" s="1"/>
  <c r="H35" i="3"/>
  <c r="H35" i="4" s="1"/>
  <c r="H33" i="5" s="1"/>
  <c r="H35" i="6" s="1"/>
  <c r="H34" i="7" s="1"/>
  <c r="H35" i="8" s="1"/>
  <c r="H34" i="9" s="1"/>
  <c r="H35" i="10" s="1"/>
  <c r="H35" i="11" s="1"/>
  <c r="H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5" i="6" l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<sst xmlns="http://schemas.openxmlformats.org/spreadsheetml/2006/main" count="841" uniqueCount="151">
  <si>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</si>
  <si>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</si>
  <si>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</si>
  <si>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</si>
  <si>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</si>
  <si>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</si>
  <si>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</si>
  <si>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</si>
  <si>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</si>
  <si>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</si>
  <si>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</si>
  <si>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</si>
  <si>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</si>
  <si>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</si>
  <si>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</si>
  <si>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</si>
  <si>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</si>
  <si>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</si>
  <si>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</si>
  <si>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</si>
  <si>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</si>
  <si>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</si>
  <si>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</si>
  <si>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</si>
  <si>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</si>
  <si>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</si>
  <si>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</si>
  <si>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</si>
  <si>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LRDC</t>
  </si>
  <si>
    <t>-</t>
  </si>
  <si>
    <t>T</t>
  </si>
  <si>
    <t>* 12:00 150/100</t>
  </si>
  <si>
    <t>* 11:00 100/125</t>
  </si>
  <si>
    <t>* 10:00 125/150</t>
  </si>
  <si>
    <t>* 10:00 150/125</t>
  </si>
  <si>
    <t>* 10:00 125/100</t>
  </si>
  <si>
    <t>* 10:00 100/75</t>
  </si>
  <si>
    <t>*12:00 75/0</t>
  </si>
  <si>
    <t>1430 *0/50</t>
  </si>
  <si>
    <t>* 15:00 50/100</t>
  </si>
  <si>
    <t>* 16:30 100/0</t>
  </si>
  <si>
    <t>* 12:00 0/100</t>
  </si>
  <si>
    <t>*13:30 100/25</t>
  </si>
  <si>
    <t>* 19:00 25/75 - (D Plant 1 Unit ON)</t>
  </si>
  <si>
    <t>* 12:00 75/150</t>
  </si>
  <si>
    <t>* (D Plant 2 Units ON)</t>
  </si>
  <si>
    <t>* 09:00 150/200 * 14:00 200/250</t>
  </si>
  <si>
    <t>* 09:00 250/300</t>
  </si>
  <si>
    <t>* 17:30 300/275</t>
  </si>
  <si>
    <t>* 09:30 275/300 * 16:00 300/250</t>
  </si>
  <si>
    <t>* 16:30 250/200</t>
  </si>
  <si>
    <t>* 15:00 200/150</t>
  </si>
  <si>
    <t>* 06:30 150/0  (D-Plant 2 units off 08:30)</t>
  </si>
  <si>
    <t>* 08:00 0/50</t>
  </si>
  <si>
    <t>* 12:00 50/20</t>
  </si>
  <si>
    <t>* 17:00 20/0</t>
  </si>
  <si>
    <t>* 14:00 0/25</t>
  </si>
  <si>
    <t>* 16:30 25/50</t>
  </si>
  <si>
    <t>* 09:00 50/75 * 14:00 75/100</t>
  </si>
  <si>
    <t>* 09:00 100/150</t>
  </si>
  <si>
    <t>* 07:00 150/200</t>
  </si>
  <si>
    <t>* 16:00 200/250</t>
  </si>
  <si>
    <t>* 12:00 250/200  *14:00 200/150</t>
  </si>
  <si>
    <t>* 14:00 150/200 17:00 200/250</t>
  </si>
  <si>
    <t>* 13:30 250/300</t>
  </si>
  <si>
    <t>* 14:00 300/350</t>
  </si>
  <si>
    <t>* 11:30 350/400</t>
  </si>
  <si>
    <t>* 08:00 400/450</t>
  </si>
  <si>
    <t>* 13:00 450/500</t>
  </si>
  <si>
    <t>*10:00 500/450 * 13:30 450/400</t>
  </si>
  <si>
    <t>* 14:00 400/350</t>
  </si>
  <si>
    <t>* 08:00 350/300</t>
  </si>
  <si>
    <t>* 07:30 300/250</t>
  </si>
  <si>
    <t>* 12:00 250/300 * 300/350</t>
  </si>
  <si>
    <t>* 07:00 350/300</t>
  </si>
  <si>
    <t>* 07:00 250/200</t>
  </si>
  <si>
    <t>* 14:00 200/150</t>
  </si>
  <si>
    <t>* 13:30 150/250</t>
  </si>
  <si>
    <t>* 07:00 300/250 14:00 250/200</t>
  </si>
  <si>
    <t>* 14:30 200/150</t>
  </si>
  <si>
    <t>* 14:00 150/200</t>
  </si>
  <si>
    <t>* 08:30 200/300 * 14:00 300/250 * 23:00 250/300</t>
  </si>
  <si>
    <t>* 20:00 300/350</t>
  </si>
  <si>
    <t>* 17:30 350/300</t>
  </si>
  <si>
    <t>* 12:30 300/350</t>
  </si>
  <si>
    <t>* 10:30 350/400 * 13:45 400/450 19:00450/500</t>
  </si>
  <si>
    <t>* 07:00 500/450</t>
  </si>
  <si>
    <t>* 2200 450/500</t>
  </si>
  <si>
    <t>*0930 500/450</t>
  </si>
  <si>
    <t>* 07:00 450/400 * 14:00 400/450</t>
  </si>
  <si>
    <t>* 16:00 450/400</t>
  </si>
  <si>
    <t>* 18:00 400/450</t>
  </si>
  <si>
    <t>* 22:00 500/550</t>
  </si>
  <si>
    <t>* 07:30 550/500 * 11:00 500/450</t>
  </si>
  <si>
    <t>* 08:00 450/400 * 1500 400/450</t>
  </si>
  <si>
    <t>* 06:30 450/500 * 17:00 500/550</t>
  </si>
  <si>
    <t>* 07:00 550/500</t>
  </si>
  <si>
    <t>* 08:00 500/450</t>
  </si>
  <si>
    <t>* 10:00 450/400 14:00 400/350</t>
  </si>
  <si>
    <t>* 09:00 350/300</t>
  </si>
  <si>
    <t>* 07:00 300/350</t>
  </si>
  <si>
    <t>* 07:30 350/400 * 09:00 400/450 *16:00 450/400</t>
  </si>
  <si>
    <t>* 08:00 400/350 * 14:30 350/300</t>
  </si>
  <si>
    <t>* 09:00 300/350</t>
  </si>
  <si>
    <t>* 09:00 350/400</t>
  </si>
  <si>
    <t>* 14:00 400/450</t>
  </si>
  <si>
    <t>* 10:00 450/500 * 15:00 500/450</t>
  </si>
  <si>
    <t>* 07:30 450/400</t>
  </si>
  <si>
    <t>* 15:00 400/450</t>
  </si>
  <si>
    <t>* 08:00 450/400 * 09:30 400/350</t>
  </si>
  <si>
    <t>* 07:00 350/400 * 08:00 400/450</t>
  </si>
  <si>
    <t>* 09:00 450/500</t>
  </si>
  <si>
    <t>* 14:00 500/450</t>
  </si>
  <si>
    <t>*14:00 450/400</t>
  </si>
  <si>
    <t>*07:30 400/350 *14:30 350/400</t>
  </si>
  <si>
    <t>* 12:30 400/450 * 16:00 450/500</t>
  </si>
  <si>
    <t>* 07:30 500/450</t>
  </si>
  <si>
    <t>* 15:00 450/400</t>
  </si>
  <si>
    <t>* 07:00 400/350</t>
  </si>
  <si>
    <t>* 13:30 350/400</t>
  </si>
  <si>
    <t>* 07:00 400/450 * 13:30 450/400</t>
  </si>
  <si>
    <t>* 13:30 400/350</t>
  </si>
  <si>
    <t>* 13:30 350/300</t>
  </si>
  <si>
    <t>* 16:00 300/250</t>
  </si>
  <si>
    <t>* 07:00 250/300 * 10:30 300/350 * 13:30 350/300</t>
  </si>
  <si>
    <t>* 13:45 300/350</t>
  </si>
  <si>
    <t>* 07:00 350/400</t>
  </si>
  <si>
    <t>* 08:00 400/350 *09:30 350/300</t>
  </si>
  <si>
    <t>* 10:00 300/400</t>
  </si>
  <si>
    <t>* 07:00 450/400 * 16:00 400/350</t>
  </si>
  <si>
    <t>* 07:00 350/300 09:30 300/250</t>
  </si>
  <si>
    <t>* 08:00 250/200</t>
  </si>
  <si>
    <t>* 00:00 200/250 * 23:00 250/300</t>
  </si>
  <si>
    <t>* 06:30 300/350</t>
  </si>
  <si>
    <t>* 14:00 350/300</t>
  </si>
  <si>
    <t>* 14:00 300/250</t>
  </si>
  <si>
    <t>* 14:00 250/200</t>
  </si>
  <si>
    <t>* 13:30 200/250</t>
  </si>
  <si>
    <t>* 15:30 250/300</t>
  </si>
  <si>
    <t>* 07:00 300/350 * 350/300</t>
  </si>
  <si>
    <t>* 10:00 300/250</t>
  </si>
  <si>
    <t>* 08:00 250/100 14:00 100/125</t>
  </si>
  <si>
    <t>* 14:00 125/100</t>
  </si>
  <si>
    <t>* 10:00 100/75 13:00 75/100</t>
  </si>
  <si>
    <t>* 09:00 100/125</t>
  </si>
  <si>
    <t>* 10:00 125/100 * 13:00 100/75</t>
  </si>
  <si>
    <t>* 13:00 75/50</t>
  </si>
  <si>
    <t>* 08:00 50/25 09:00 25/0</t>
  </si>
  <si>
    <t>* 08:00 0/50 * 50/100</t>
  </si>
  <si>
    <t>* 13:00 100/50</t>
  </si>
  <si>
    <t>* 21:00 50/0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</si>
</sst>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4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11"/>
      <color indexed="12"/>
      <name val="Calibri"/>
      <family val="2"/>
    </font>
    <font>
      <sz val="11"/>
      <color indexed="10"/>
      <name val="Calibri"/>
      <family val="2"/>
    </font>
    <font>
      <b/>
      <sz val="11"/>
      <color indexed="58"/>
      <name val="Calibri"/>
      <family val="2"/>
    </font>
    <font>
      <sz val="11"/>
      <color indexed="12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MS Sans Serif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sz val="11"/>
      <color indexed="8"/>
      <name val="MS Sans Serif"/>
      <family val="2"/>
    </font>
    <font>
      <b/>
      <sz val="11"/>
      <color indexed="12"/>
      <name val="MS Sans Serif"/>
      <family val="2"/>
    </font>
    <font>
      <sz val="11"/>
      <color indexed="10"/>
      <name val="MS Sans Serif"/>
      <family val="2"/>
    </font>
    <font>
      <sz val="11"/>
      <name val="MS Sans Serif"/>
      <family val="2"/>
    </font>
    <font>
      <b/>
      <sz val="11"/>
      <color indexed="58"/>
      <name val="MS Sans Serif"/>
      <family val="2"/>
    </font>
    <font>
      <sz val="11"/>
      <color indexed="12"/>
      <name val="MS Sans Serif"/>
      <family val="2"/>
    </font>
    <font>
      <sz val="11"/>
      <color indexed="58"/>
      <name val="MS Sans Serif"/>
      <family val="2"/>
    </font>
    <font>
      <b/>
      <sz val="11"/>
      <color indexed="8"/>
      <name val="MS Sans Serif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264">
    <xf numFmtId="0" fontId="0" fillId="0" borderId="0" xfId="0"/>
    <xf numFmtId="0" fontId="6" fillId="0" borderId="0" xfId="0" applyFont="1" applyAlignment="1">
      <alignment wrapText="1"/>
    </xf>
    <xf numFmtId="4" fontId="3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2" fontId="3" fillId="2" borderId="1" xfId="1" applyNumberFormat="1" applyFont="1" applyFill="1" applyBorder="1" applyAlignment="1">
      <alignment horizontal="center" wrapText="1"/>
    </xf>
    <xf numFmtId="1" fontId="3" fillId="2" borderId="1" xfId="1" applyNumberFormat="1" applyFont="1" applyFill="1" applyBorder="1" applyAlignment="1">
      <alignment horizontal="center" wrapText="1"/>
    </xf>
    <xf numFmtId="0" fontId="6" fillId="0" borderId="0" xfId="0" applyFont="1"/>
    <xf numFmtId="14" fontId="4" fillId="0" borderId="1" xfId="2" applyNumberFormat="1" applyFont="1" applyBorder="1" applyAlignment="1">
      <alignment horizontal="right" wrapText="1"/>
    </xf>
    <xf numFmtId="1" fontId="4" fillId="0" borderId="1" xfId="2" applyNumberFormat="1" applyFont="1" applyBorder="1" applyAlignment="1">
      <alignment horizontal="right" wrapText="1"/>
    </xf>
    <xf numFmtId="2" fontId="4" fillId="0" borderId="1" xfId="2" applyNumberFormat="1" applyFont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1" fillId="0" borderId="1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9" fillId="0" borderId="0" xfId="2" applyFont="1"/>
    <xf numFmtId="166" fontId="9" fillId="0" borderId="0" xfId="2" applyNumberFormat="1" applyFont="1"/>
    <xf numFmtId="0" fontId="10" fillId="0" borderId="0" xfId="0" applyFont="1"/>
    <xf numFmtId="166" fontId="10" fillId="0" borderId="0" xfId="0" applyNumberFormat="1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0" fontId="21" fillId="0" borderId="0" xfId="0" applyFont="1"/>
    <xf numFmtId="0" fontId="22" fillId="0" borderId="27" xfId="0" applyFont="1" applyBorder="1" applyAlignment="1">
      <alignment horizontal="right" wrapText="1"/>
    </xf>
    <xf numFmtId="0" fontId="22" fillId="0" borderId="0" xfId="0" applyFont="1"/>
    <xf numFmtId="0" fontId="21" fillId="0" borderId="0" xfId="0" applyFont="1" applyAlignment="1">
      <alignment wrapText="1"/>
    </xf>
    <xf numFmtId="0" fontId="22" fillId="0" borderId="27" xfId="0" applyFont="1" applyBorder="1" applyAlignment="1">
      <alignment horizontal="right"/>
    </xf>
    <xf numFmtId="14" fontId="11" fillId="0" borderId="28" xfId="0" applyNumberFormat="1" applyFont="1" applyBorder="1" applyAlignment="1">
      <alignment horizontal="left"/>
    </xf>
    <xf numFmtId="14" fontId="10" fillId="0" borderId="28" xfId="0" applyNumberFormat="1" applyFont="1" applyBorder="1" applyAlignment="1">
      <alignment horizontal="right"/>
    </xf>
    <xf numFmtId="14" fontId="11" fillId="0" borderId="26" xfId="0" applyNumberFormat="1" applyFont="1" applyBorder="1" applyAlignment="1">
      <alignment horizontal="center" wrapText="1"/>
    </xf>
    <xf numFmtId="14" fontId="15" fillId="0" borderId="29" xfId="0" applyNumberFormat="1" applyFont="1" applyBorder="1" applyAlignment="1">
      <alignment horizontal="right"/>
    </xf>
    <xf numFmtId="14" fontId="15" fillId="0" borderId="28" xfId="0" applyNumberFormat="1" applyFont="1" applyBorder="1"/>
    <xf numFmtId="0" fontId="15" fillId="0" borderId="30" xfId="0" applyFont="1" applyBorder="1"/>
    <xf numFmtId="0" fontId="22" fillId="0" borderId="27" xfId="0" quotePrefix="1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24" fillId="0" borderId="27" xfId="0" applyFont="1" applyBorder="1" applyAlignment="1">
      <alignment horizontal="right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4" fillId="0" borderId="0" xfId="0" applyFont="1" applyAlignment="1">
      <alignment wrapText="1"/>
    </xf>
    <xf numFmtId="0" fontId="26" fillId="0" borderId="0" xfId="0" applyFont="1"/>
    <xf numFmtId="0" fontId="3" fillId="0" borderId="0" xfId="0" applyFont="1"/>
    <xf numFmtId="14" fontId="26" fillId="0" borderId="0" xfId="0" applyNumberFormat="1" applyFont="1"/>
    <xf numFmtId="3" fontId="26" fillId="0" borderId="0" xfId="0" applyNumberFormat="1" applyFont="1"/>
    <xf numFmtId="165" fontId="26" fillId="0" borderId="0" xfId="0" applyNumberFormat="1" applyFont="1" applyAlignment="1">
      <alignment horizontal="center"/>
    </xf>
    <xf numFmtId="165" fontId="26" fillId="0" borderId="0" xfId="0" applyNumberFormat="1" applyFont="1"/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" fontId="26" fillId="0" borderId="0" xfId="0" applyNumberFormat="1" applyFont="1"/>
    <xf numFmtId="2" fontId="26" fillId="0" borderId="0" xfId="0" applyNumberFormat="1" applyFont="1"/>
    <xf numFmtId="4" fontId="26" fillId="0" borderId="0" xfId="0" applyNumberFormat="1" applyFont="1"/>
    <xf numFmtId="14" fontId="3" fillId="0" borderId="2" xfId="0" applyNumberFormat="1" applyFont="1" applyBorder="1"/>
    <xf numFmtId="3" fontId="1" fillId="0" borderId="1" xfId="3" applyNumberFormat="1" applyFont="1" applyBorder="1" applyAlignment="1">
      <alignment horizontal="right" wrapText="1"/>
    </xf>
    <xf numFmtId="14" fontId="3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27" fillId="0" borderId="0" xfId="0" applyFont="1" applyAlignment="1">
      <alignment horizontal="center"/>
    </xf>
    <xf numFmtId="0" fontId="28" fillId="0" borderId="0" xfId="2" applyFont="1"/>
    <xf numFmtId="166" fontId="28" fillId="0" borderId="0" xfId="2" applyNumberFormat="1" applyFont="1"/>
    <xf numFmtId="14" fontId="29" fillId="0" borderId="3" xfId="0" applyNumberFormat="1" applyFont="1" applyBorder="1" applyAlignment="1">
      <alignment horizontal="left"/>
    </xf>
    <xf numFmtId="14" fontId="29" fillId="0" borderId="28" xfId="0" applyNumberFormat="1" applyFont="1" applyBorder="1" applyAlignment="1">
      <alignment horizontal="left"/>
    </xf>
    <xf numFmtId="167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38" fontId="1" fillId="0" borderId="5" xfId="0" applyNumberFormat="1" applyFont="1" applyBorder="1" applyAlignment="1">
      <alignment horizontal="right"/>
    </xf>
    <xf numFmtId="0" fontId="30" fillId="0" borderId="3" xfId="0" applyFont="1" applyBorder="1"/>
    <xf numFmtId="1" fontId="30" fillId="0" borderId="4" xfId="0" applyNumberFormat="1" applyFont="1" applyBorder="1"/>
    <xf numFmtId="1" fontId="30" fillId="0" borderId="6" xfId="0" applyNumberFormat="1" applyFont="1" applyBorder="1"/>
    <xf numFmtId="0" fontId="1" fillId="0" borderId="0" xfId="0" applyFont="1"/>
    <xf numFmtId="166" fontId="1" fillId="0" borderId="0" xfId="0" applyNumberFormat="1" applyFont="1"/>
    <xf numFmtId="14" fontId="1" fillId="0" borderId="3" xfId="0" applyNumberFormat="1" applyFont="1" applyBorder="1" applyAlignment="1">
      <alignment horizontal="right"/>
    </xf>
    <xf numFmtId="14" fontId="1" fillId="0" borderId="28" xfId="0" applyNumberFormat="1" applyFont="1" applyBorder="1" applyAlignment="1">
      <alignment horizontal="right"/>
    </xf>
    <xf numFmtId="38" fontId="1" fillId="0" borderId="6" xfId="0" applyNumberFormat="1" applyFont="1" applyBorder="1" applyAlignment="1">
      <alignment horizontal="right"/>
    </xf>
    <xf numFmtId="14" fontId="28" fillId="0" borderId="7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quotePrefix="1" applyNumberFormat="1" applyFont="1" applyAlignment="1">
      <alignment horizontal="center"/>
    </xf>
    <xf numFmtId="14" fontId="29" fillId="0" borderId="8" xfId="0" applyNumberFormat="1" applyFont="1" applyBorder="1" applyAlignment="1">
      <alignment horizontal="center" wrapText="1"/>
    </xf>
    <xf numFmtId="14" fontId="29" fillId="0" borderId="26" xfId="0" applyNumberFormat="1" applyFont="1" applyBorder="1" applyAlignment="1">
      <alignment horizontal="center" wrapText="1"/>
    </xf>
    <xf numFmtId="167" fontId="29" fillId="0" borderId="9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9" xfId="0" quotePrefix="1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166" fontId="31" fillId="0" borderId="11" xfId="0" applyNumberFormat="1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14" fontId="28" fillId="0" borderId="12" xfId="0" applyNumberFormat="1" applyFont="1" applyBorder="1" applyAlignment="1">
      <alignment horizontal="right"/>
    </xf>
    <xf numFmtId="14" fontId="28" fillId="0" borderId="29" xfId="0" applyNumberFormat="1" applyFont="1" applyBorder="1" applyAlignment="1">
      <alignment horizontal="right"/>
    </xf>
    <xf numFmtId="167" fontId="28" fillId="0" borderId="4" xfId="0" applyNumberFormat="1" applyFont="1" applyBorder="1" applyAlignment="1">
      <alignment horizontal="right"/>
    </xf>
    <xf numFmtId="0" fontId="28" fillId="0" borderId="4" xfId="0" applyFont="1" applyBorder="1"/>
    <xf numFmtId="0" fontId="32" fillId="0" borderId="4" xfId="0" applyFont="1" applyBorder="1"/>
    <xf numFmtId="38" fontId="28" fillId="0" borderId="4" xfId="0" applyNumberFormat="1" applyFont="1" applyBorder="1" applyAlignment="1">
      <alignment horizontal="right"/>
    </xf>
    <xf numFmtId="164" fontId="32" fillId="0" borderId="13" xfId="0" applyNumberFormat="1" applyFont="1" applyBorder="1"/>
    <xf numFmtId="166" fontId="33" fillId="0" borderId="11" xfId="0" applyNumberFormat="1" applyFont="1" applyBorder="1"/>
    <xf numFmtId="164" fontId="33" fillId="0" borderId="0" xfId="0" applyNumberFormat="1" applyFont="1"/>
    <xf numFmtId="0" fontId="32" fillId="0" borderId="0" xfId="0" applyFont="1"/>
    <xf numFmtId="14" fontId="28" fillId="0" borderId="3" xfId="0" applyNumberFormat="1" applyFont="1" applyBorder="1"/>
    <xf numFmtId="14" fontId="28" fillId="0" borderId="28" xfId="0" applyNumberFormat="1" applyFont="1" applyBorder="1"/>
    <xf numFmtId="20" fontId="28" fillId="0" borderId="4" xfId="0" applyNumberFormat="1" applyFont="1" applyBorder="1"/>
    <xf numFmtId="1" fontId="28" fillId="0" borderId="4" xfId="0" applyNumberFormat="1" applyFont="1" applyBorder="1"/>
    <xf numFmtId="38" fontId="28" fillId="0" borderId="4" xfId="0" applyNumberFormat="1" applyFont="1" applyBorder="1"/>
    <xf numFmtId="164" fontId="32" fillId="0" borderId="6" xfId="0" applyNumberFormat="1" applyFont="1" applyBorder="1"/>
    <xf numFmtId="38" fontId="28" fillId="0" borderId="14" xfId="0" applyNumberFormat="1" applyFont="1" applyBorder="1"/>
    <xf numFmtId="0" fontId="28" fillId="0" borderId="15" xfId="0" applyFont="1" applyBorder="1"/>
    <xf numFmtId="0" fontId="28" fillId="0" borderId="30" xfId="0" applyFont="1" applyBorder="1"/>
    <xf numFmtId="20" fontId="28" fillId="0" borderId="16" xfId="0" applyNumberFormat="1" applyFont="1" applyBorder="1"/>
    <xf numFmtId="1" fontId="28" fillId="0" borderId="16" xfId="0" applyNumberFormat="1" applyFont="1" applyBorder="1"/>
    <xf numFmtId="0" fontId="32" fillId="0" borderId="16" xfId="0" applyFont="1" applyBorder="1"/>
    <xf numFmtId="164" fontId="32" fillId="0" borderId="17" xfId="0" applyNumberFormat="1" applyFont="1" applyBorder="1"/>
    <xf numFmtId="1" fontId="29" fillId="0" borderId="9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4" fontId="32" fillId="3" borderId="18" xfId="0" applyNumberFormat="1" applyFont="1" applyFill="1" applyBorder="1" applyAlignment="1">
      <alignment vertical="center"/>
    </xf>
    <xf numFmtId="166" fontId="33" fillId="0" borderId="11" xfId="0" applyNumberFormat="1" applyFont="1" applyBorder="1" applyAlignment="1">
      <alignment vertical="center"/>
    </xf>
    <xf numFmtId="14" fontId="1" fillId="0" borderId="1" xfId="2" applyNumberFormat="1" applyFont="1" applyBorder="1" applyAlignment="1">
      <alignment horizontal="right" wrapText="1"/>
    </xf>
    <xf numFmtId="0" fontId="23" fillId="0" borderId="0" xfId="0" applyFont="1"/>
    <xf numFmtId="3" fontId="3" fillId="0" borderId="2" xfId="0" applyNumberFormat="1" applyFont="1" applyBorder="1"/>
    <xf numFmtId="4" fontId="3" fillId="0" borderId="2" xfId="0" applyNumberFormat="1" applyFont="1" applyBorder="1"/>
    <xf numFmtId="14" fontId="23" fillId="0" borderId="0" xfId="0" applyNumberFormat="1" applyFont="1"/>
    <xf numFmtId="3" fontId="23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34" fillId="0" borderId="0" xfId="0" applyFont="1" applyAlignment="1">
      <alignment horizontal="center"/>
    </xf>
    <xf numFmtId="0" fontId="36" fillId="0" borderId="0" xfId="2" applyFont="1"/>
    <xf numFmtId="166" fontId="36" fillId="0" borderId="0" xfId="2" applyNumberFormat="1" applyFont="1"/>
    <xf numFmtId="0" fontId="37" fillId="0" borderId="0" xfId="0" applyFont="1"/>
    <xf numFmtId="166" fontId="37" fillId="0" borderId="0" xfId="0" applyNumberFormat="1" applyFont="1"/>
    <xf numFmtId="14" fontId="38" fillId="0" borderId="3" xfId="0" applyNumberFormat="1" applyFont="1" applyBorder="1" applyAlignment="1">
      <alignment horizontal="left"/>
    </xf>
    <xf numFmtId="14" fontId="38" fillId="0" borderId="28" xfId="0" applyNumberFormat="1" applyFont="1" applyBorder="1" applyAlignment="1">
      <alignment horizontal="left"/>
    </xf>
    <xf numFmtId="167" fontId="37" fillId="0" borderId="4" xfId="0" applyNumberFormat="1" applyFont="1" applyBorder="1" applyAlignment="1">
      <alignment horizontal="right"/>
    </xf>
    <xf numFmtId="0" fontId="37" fillId="0" borderId="4" xfId="0" applyFont="1" applyBorder="1"/>
    <xf numFmtId="38" fontId="37" fillId="0" borderId="5" xfId="0" applyNumberFormat="1" applyFont="1" applyBorder="1" applyAlignment="1">
      <alignment horizontal="right"/>
    </xf>
    <xf numFmtId="0" fontId="39" fillId="0" borderId="3" xfId="0" applyFont="1" applyBorder="1"/>
    <xf numFmtId="1" fontId="39" fillId="0" borderId="4" xfId="0" applyNumberFormat="1" applyFont="1" applyBorder="1"/>
    <xf numFmtId="1" fontId="39" fillId="0" borderId="6" xfId="0" applyNumberFormat="1" applyFont="1" applyBorder="1"/>
    <xf numFmtId="14" fontId="37" fillId="0" borderId="3" xfId="0" applyNumberFormat="1" applyFont="1" applyBorder="1" applyAlignment="1">
      <alignment horizontal="right"/>
    </xf>
    <xf numFmtId="14" fontId="37" fillId="0" borderId="28" xfId="0" applyNumberFormat="1" applyFont="1" applyBorder="1" applyAlignment="1">
      <alignment horizontal="right"/>
    </xf>
    <xf numFmtId="38" fontId="37" fillId="0" borderId="6" xfId="0" applyNumberFormat="1" applyFont="1" applyBorder="1" applyAlignment="1">
      <alignment horizontal="right"/>
    </xf>
    <xf numFmtId="14" fontId="40" fillId="0" borderId="7" xfId="0" applyNumberFormat="1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1" fontId="37" fillId="0" borderId="0" xfId="0" applyNumberFormat="1" applyFont="1" applyAlignment="1">
      <alignment horizontal="center"/>
    </xf>
    <xf numFmtId="1" fontId="37" fillId="0" borderId="0" xfId="0" quotePrefix="1" applyNumberFormat="1" applyFont="1" applyAlignment="1">
      <alignment horizontal="center"/>
    </xf>
    <xf numFmtId="14" fontId="38" fillId="0" borderId="8" xfId="0" applyNumberFormat="1" applyFont="1" applyBorder="1" applyAlignment="1">
      <alignment horizontal="center" wrapText="1"/>
    </xf>
    <xf numFmtId="14" fontId="38" fillId="0" borderId="26" xfId="0" applyNumberFormat="1" applyFont="1" applyBorder="1" applyAlignment="1">
      <alignment horizontal="center" wrapText="1"/>
    </xf>
    <xf numFmtId="167" fontId="38" fillId="0" borderId="9" xfId="0" applyNumberFormat="1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8" fillId="0" borderId="9" xfId="0" quotePrefix="1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166" fontId="41" fillId="0" borderId="11" xfId="0" applyNumberFormat="1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14" fontId="40" fillId="0" borderId="12" xfId="0" applyNumberFormat="1" applyFont="1" applyBorder="1" applyAlignment="1">
      <alignment horizontal="right"/>
    </xf>
    <xf numFmtId="14" fontId="40" fillId="0" borderId="29" xfId="0" applyNumberFormat="1" applyFont="1" applyBorder="1" applyAlignment="1">
      <alignment horizontal="right"/>
    </xf>
    <xf numFmtId="167" fontId="40" fillId="0" borderId="4" xfId="0" applyNumberFormat="1" applyFont="1" applyBorder="1" applyAlignment="1">
      <alignment horizontal="right"/>
    </xf>
    <xf numFmtId="0" fontId="40" fillId="0" borderId="4" xfId="0" applyFont="1" applyBorder="1"/>
    <xf numFmtId="0" fontId="42" fillId="0" borderId="4" xfId="0" applyFont="1" applyBorder="1"/>
    <xf numFmtId="38" fontId="40" fillId="0" borderId="4" xfId="0" applyNumberFormat="1" applyFont="1" applyBorder="1" applyAlignment="1">
      <alignment horizontal="right"/>
    </xf>
    <xf numFmtId="164" fontId="42" fillId="0" borderId="13" xfId="0" applyNumberFormat="1" applyFont="1" applyBorder="1"/>
    <xf numFmtId="166" fontId="43" fillId="0" borderId="11" xfId="0" applyNumberFormat="1" applyFont="1" applyBorder="1"/>
    <xf numFmtId="164" fontId="43" fillId="0" borderId="0" xfId="0" applyNumberFormat="1" applyFont="1"/>
    <xf numFmtId="0" fontId="42" fillId="0" borderId="0" xfId="0" applyFont="1"/>
    <xf numFmtId="14" fontId="40" fillId="0" borderId="3" xfId="0" applyNumberFormat="1" applyFont="1" applyBorder="1"/>
    <xf numFmtId="14" fontId="40" fillId="0" borderId="28" xfId="0" applyNumberFormat="1" applyFont="1" applyBorder="1"/>
    <xf numFmtId="20" fontId="40" fillId="0" borderId="4" xfId="0" applyNumberFormat="1" applyFont="1" applyBorder="1"/>
    <xf numFmtId="1" fontId="40" fillId="0" borderId="4" xfId="0" applyNumberFormat="1" applyFont="1" applyBorder="1"/>
    <xf numFmtId="38" fontId="40" fillId="0" borderId="4" xfId="0" applyNumberFormat="1" applyFont="1" applyBorder="1"/>
    <xf numFmtId="164" fontId="42" fillId="0" borderId="6" xfId="0" applyNumberFormat="1" applyFont="1" applyBorder="1"/>
    <xf numFmtId="38" fontId="40" fillId="0" borderId="14" xfId="0" applyNumberFormat="1" applyFont="1" applyBorder="1"/>
    <xf numFmtId="0" fontId="40" fillId="0" borderId="15" xfId="0" applyFont="1" applyBorder="1"/>
    <xf numFmtId="0" fontId="40" fillId="0" borderId="30" xfId="0" applyFont="1" applyBorder="1"/>
    <xf numFmtId="20" fontId="40" fillId="0" borderId="16" xfId="0" applyNumberFormat="1" applyFont="1" applyBorder="1"/>
    <xf numFmtId="1" fontId="40" fillId="0" borderId="16" xfId="0" applyNumberFormat="1" applyFont="1" applyBorder="1"/>
    <xf numFmtId="0" fontId="42" fillId="0" borderId="16" xfId="0" applyFont="1" applyBorder="1"/>
    <xf numFmtId="164" fontId="42" fillId="0" borderId="17" xfId="0" applyNumberFormat="1" applyFont="1" applyBorder="1"/>
    <xf numFmtId="1" fontId="38" fillId="0" borderId="9" xfId="0" applyNumberFormat="1" applyFont="1" applyBorder="1" applyAlignment="1">
      <alignment horizontal="center" vertical="center" wrapText="1"/>
    </xf>
    <xf numFmtId="1" fontId="44" fillId="0" borderId="4" xfId="0" applyNumberFormat="1" applyFont="1" applyBorder="1" applyAlignment="1">
      <alignment horizontal="center" vertical="center" wrapText="1"/>
    </xf>
    <xf numFmtId="164" fontId="42" fillId="3" borderId="18" xfId="0" applyNumberFormat="1" applyFont="1" applyFill="1" applyBorder="1" applyAlignment="1">
      <alignment vertical="center"/>
    </xf>
    <xf numFmtId="166" fontId="43" fillId="0" borderId="11" xfId="0" applyNumberFormat="1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13" fontId="21" fillId="0" borderId="0" xfId="0" applyNumberFormat="1" applyFont="1"/>
    <xf numFmtId="20" fontId="21" fillId="0" borderId="0" xfId="0" applyNumberFormat="1" applyFont="1"/>
    <xf numFmtId="0" fontId="22" fillId="0" borderId="31" xfId="0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>
      <alignment horizontal="center" wrapText="1"/>
    </xf>
    <xf numFmtId="0" fontId="8" fillId="0" borderId="21" xfId="2" applyFont="1" applyBorder="1" applyAlignment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/>
    </xf>
    <xf numFmtId="0" fontId="34" fillId="0" borderId="21" xfId="0" applyFont="1" applyBorder="1" applyAlignment="1">
      <alignment horizontal="center"/>
    </xf>
    <xf numFmtId="0" fontId="35" fillId="0" borderId="22" xfId="2" applyFont="1" applyBorder="1" applyAlignment="1">
      <alignment horizontal="center" wrapText="1"/>
    </xf>
    <xf numFmtId="0" fontId="35" fillId="0" borderId="21" xfId="2" applyFont="1" applyBorder="1" applyAlignment="1">
      <alignment horizontal="center" wrapText="1"/>
    </xf>
    <xf numFmtId="14" fontId="34" fillId="0" borderId="23" xfId="0" applyNumberFormat="1" applyFont="1" applyBorder="1" applyAlignment="1">
      <alignment horizontal="center"/>
    </xf>
    <xf numFmtId="14" fontId="34" fillId="0" borderId="0" xfId="0" applyNumberFormat="1" applyFont="1" applyAlignment="1">
      <alignment horizontal="center"/>
    </xf>
    <xf numFmtId="1" fontId="44" fillId="0" borderId="24" xfId="0" applyNumberFormat="1" applyFont="1" applyBorder="1" applyAlignment="1">
      <alignment horizontal="right" vertical="center" wrapText="1"/>
    </xf>
    <xf numFmtId="1" fontId="44" fillId="0" borderId="25" xfId="0" applyNumberFormat="1" applyFont="1" applyBorder="1" applyAlignment="1">
      <alignment horizontal="right" vertical="center" wrapText="1"/>
    </xf>
    <xf numFmtId="1" fontId="44" fillId="0" borderId="26" xfId="0" applyNumberFormat="1" applyFont="1" applyBorder="1" applyAlignment="1">
      <alignment horizontal="right" vertical="center" wrapText="1"/>
    </xf>
    <xf numFmtId="1" fontId="3" fillId="0" borderId="24" xfId="0" applyNumberFormat="1" applyFont="1" applyBorder="1" applyAlignment="1">
      <alignment horizontal="right" vertical="center" wrapText="1"/>
    </xf>
    <xf numFmtId="1" fontId="3" fillId="0" borderId="25" xfId="0" applyNumberFormat="1" applyFont="1" applyBorder="1" applyAlignment="1">
      <alignment horizontal="right" vertical="center" wrapText="1"/>
    </xf>
    <xf numFmtId="1" fontId="3" fillId="0" borderId="26" xfId="0" applyNumberFormat="1" applyFont="1" applyBorder="1" applyAlignment="1">
      <alignment horizontal="right" vertical="center" wrapText="1"/>
    </xf>
    <xf numFmtId="0" fontId="27" fillId="0" borderId="0" xfId="0" applyFont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2" applyFont="1" applyBorder="1" applyAlignment="1">
      <alignment horizontal="center" wrapText="1"/>
    </xf>
    <xf numFmtId="0" fontId="27" fillId="0" borderId="21" xfId="2" applyFont="1" applyBorder="1" applyAlignment="1">
      <alignment horizontal="center" wrapText="1"/>
    </xf>
    <xf numFmtId="14" fontId="27" fillId="0" borderId="0" xfId="0" applyNumberFormat="1" applyFont="1" applyAlignment="1">
      <alignment horizontal="center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7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32" sqref="E32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2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2" x14ac:dyDescent="0.25">
      <c r="A3" s="18">
        <v>45536</v>
      </c>
      <c r="B3" s="77">
        <v>0</v>
      </c>
      <c r="C3" s="77">
        <v>275</v>
      </c>
      <c r="D3" s="77">
        <v>100</v>
      </c>
      <c r="E3" s="77">
        <v>322</v>
      </c>
      <c r="F3" s="77">
        <v>0</v>
      </c>
      <c r="G3" s="77">
        <v>0</v>
      </c>
      <c r="H3" s="77">
        <v>0</v>
      </c>
      <c r="I3" s="77"/>
      <c r="J3" s="76" t="s">
        <v>135</v>
      </c>
      <c r="K3" s="76"/>
      <c r="L3" s="78"/>
    </row>
    <row r="4" spans="1:12" x14ac:dyDescent="0.25">
      <c r="A4" s="18">
        <f>A3+1</f>
        <v>45537</v>
      </c>
      <c r="B4" s="77">
        <v>0</v>
      </c>
      <c r="C4" s="77">
        <v>250</v>
      </c>
      <c r="D4" s="77">
        <v>100</v>
      </c>
      <c r="E4" s="77">
        <v>294</v>
      </c>
      <c r="F4" s="77">
        <v>0</v>
      </c>
      <c r="G4" s="77">
        <v>0</v>
      </c>
      <c r="H4" s="77">
        <v>0</v>
      </c>
      <c r="I4" s="77"/>
      <c r="J4" s="76"/>
      <c r="K4" s="76"/>
      <c r="L4" s="78"/>
    </row>
    <row r="5" spans="1:12" x14ac:dyDescent="0.25">
      <c r="A5" s="18">
        <f t="shared" ref="A5:A32" si="0">A4+1</f>
        <v>45538</v>
      </c>
      <c r="B5" s="77">
        <v>0</v>
      </c>
      <c r="C5" s="77">
        <v>229</v>
      </c>
      <c r="D5" s="77">
        <v>100</v>
      </c>
      <c r="E5" s="77">
        <v>265</v>
      </c>
      <c r="F5" s="77">
        <v>0</v>
      </c>
      <c r="G5" s="77">
        <v>0</v>
      </c>
      <c r="H5" s="77">
        <v>0</v>
      </c>
      <c r="I5" s="77"/>
      <c r="J5" s="76" t="s">
        <v>136</v>
      </c>
      <c r="K5" s="76"/>
      <c r="L5" s="78"/>
    </row>
    <row r="6" spans="1:12" x14ac:dyDescent="0.25">
      <c r="A6" s="18">
        <f t="shared" si="0"/>
        <v>45539</v>
      </c>
      <c r="B6" s="77">
        <v>0</v>
      </c>
      <c r="C6" s="77">
        <v>222</v>
      </c>
      <c r="D6" s="77">
        <v>100</v>
      </c>
      <c r="E6" s="77">
        <v>300</v>
      </c>
      <c r="F6" s="77">
        <v>0</v>
      </c>
      <c r="G6" s="77">
        <v>0</v>
      </c>
      <c r="H6" s="77">
        <v>0</v>
      </c>
      <c r="I6" s="77"/>
      <c r="J6" s="76" t="s">
        <v>137</v>
      </c>
      <c r="K6" s="76"/>
      <c r="L6" s="78"/>
    </row>
    <row r="7" spans="1:12" x14ac:dyDescent="0.25">
      <c r="A7" s="18">
        <f t="shared" si="0"/>
        <v>45540</v>
      </c>
      <c r="B7" s="77">
        <v>0</v>
      </c>
      <c r="C7" s="77">
        <v>272</v>
      </c>
      <c r="D7" s="77">
        <v>100</v>
      </c>
      <c r="E7" s="77">
        <v>298</v>
      </c>
      <c r="F7" s="77">
        <v>0</v>
      </c>
      <c r="G7" s="77">
        <v>0</v>
      </c>
      <c r="H7" s="77">
        <v>0</v>
      </c>
      <c r="I7" s="77"/>
      <c r="J7" s="76" t="s">
        <v>138</v>
      </c>
      <c r="K7" s="76"/>
      <c r="L7" s="78"/>
    </row>
    <row r="8" spans="1:12" x14ac:dyDescent="0.25">
      <c r="A8" s="18">
        <f t="shared" si="0"/>
        <v>45541</v>
      </c>
      <c r="B8" s="77">
        <v>0</v>
      </c>
      <c r="C8" s="77">
        <v>321</v>
      </c>
      <c r="D8" s="77">
        <v>100</v>
      </c>
      <c r="E8" s="77">
        <v>277</v>
      </c>
      <c r="F8" s="77">
        <v>0</v>
      </c>
      <c r="G8" s="77">
        <v>0</v>
      </c>
      <c r="H8" s="77">
        <v>0</v>
      </c>
      <c r="I8" s="77"/>
      <c r="J8" s="76" t="s">
        <v>139</v>
      </c>
      <c r="K8" s="76"/>
      <c r="L8" s="78"/>
    </row>
    <row r="9" spans="1:12" x14ac:dyDescent="0.25">
      <c r="A9" s="18">
        <f t="shared" si="0"/>
        <v>45542</v>
      </c>
      <c r="B9" s="77">
        <v>0</v>
      </c>
      <c r="C9" s="77">
        <v>300</v>
      </c>
      <c r="D9" s="77">
        <v>100</v>
      </c>
      <c r="E9" s="77">
        <v>284</v>
      </c>
      <c r="F9" s="77">
        <v>0</v>
      </c>
      <c r="G9" s="77">
        <v>0</v>
      </c>
      <c r="H9" s="77">
        <v>0</v>
      </c>
      <c r="I9" s="77"/>
      <c r="J9" s="76"/>
      <c r="K9" s="76"/>
      <c r="L9" s="78"/>
    </row>
    <row r="10" spans="1:12" x14ac:dyDescent="0.25">
      <c r="A10" s="18">
        <f t="shared" si="0"/>
        <v>45543</v>
      </c>
      <c r="B10" s="77">
        <v>0</v>
      </c>
      <c r="C10" s="77">
        <v>271</v>
      </c>
      <c r="D10" s="77">
        <v>100</v>
      </c>
      <c r="E10" s="77">
        <v>283</v>
      </c>
      <c r="F10" s="77">
        <v>0</v>
      </c>
      <c r="G10" s="77">
        <v>0</v>
      </c>
      <c r="H10" s="77">
        <v>0</v>
      </c>
      <c r="I10" s="77"/>
      <c r="J10" s="76" t="s">
        <v>140</v>
      </c>
      <c r="K10" s="76"/>
      <c r="L10" s="78"/>
    </row>
    <row r="11" spans="1:12" x14ac:dyDescent="0.25">
      <c r="A11" s="18">
        <f t="shared" si="0"/>
        <v>45544</v>
      </c>
      <c r="B11" s="77">
        <v>0</v>
      </c>
      <c r="C11" s="77">
        <v>250</v>
      </c>
      <c r="D11" s="77">
        <v>116</v>
      </c>
      <c r="E11" s="77">
        <v>287</v>
      </c>
      <c r="F11" s="77">
        <v>0</v>
      </c>
      <c r="G11" s="77">
        <v>0</v>
      </c>
      <c r="H11" s="77">
        <v>0</v>
      </c>
      <c r="I11" s="77"/>
      <c r="J11" s="76"/>
      <c r="K11" s="76"/>
      <c r="L11" s="78"/>
    </row>
    <row r="12" spans="1:12" x14ac:dyDescent="0.25">
      <c r="A12" s="18">
        <f t="shared" si="0"/>
        <v>45545</v>
      </c>
      <c r="B12" s="77">
        <v>0</v>
      </c>
      <c r="C12" s="77">
        <v>160</v>
      </c>
      <c r="D12" s="77">
        <v>115</v>
      </c>
      <c r="E12" s="77">
        <v>284</v>
      </c>
      <c r="F12" s="77">
        <v>0</v>
      </c>
      <c r="G12" s="77">
        <v>0</v>
      </c>
      <c r="H12" s="77">
        <v>0</v>
      </c>
      <c r="I12" s="77"/>
      <c r="J12" s="76" t="s">
        <v>141</v>
      </c>
      <c r="K12" s="76"/>
      <c r="L12" s="78"/>
    </row>
    <row r="13" spans="1:12" x14ac:dyDescent="0.25">
      <c r="A13" s="18">
        <f t="shared" si="0"/>
        <v>45546</v>
      </c>
      <c r="B13" s="77">
        <v>0</v>
      </c>
      <c r="C13" s="77">
        <v>115</v>
      </c>
      <c r="D13" s="77">
        <v>29</v>
      </c>
      <c r="E13" s="77">
        <v>271</v>
      </c>
      <c r="F13" s="77">
        <v>0.01</v>
      </c>
      <c r="G13" s="77">
        <v>0</v>
      </c>
      <c r="H13" s="77">
        <v>0</v>
      </c>
      <c r="I13" s="77"/>
      <c r="J13" s="76" t="s">
        <v>142</v>
      </c>
      <c r="K13" s="76"/>
      <c r="L13" s="78"/>
    </row>
    <row r="14" spans="1:12" x14ac:dyDescent="0.25">
      <c r="A14" s="18">
        <f t="shared" si="0"/>
        <v>45547</v>
      </c>
      <c r="B14" s="77">
        <v>0</v>
      </c>
      <c r="C14" s="77">
        <v>97</v>
      </c>
      <c r="D14" s="77">
        <v>0</v>
      </c>
      <c r="E14" s="77">
        <v>274</v>
      </c>
      <c r="F14" s="77">
        <v>0</v>
      </c>
      <c r="G14" s="77">
        <v>0</v>
      </c>
      <c r="H14" s="77">
        <v>0</v>
      </c>
      <c r="I14" s="77"/>
      <c r="J14" s="76" t="s">
        <v>143</v>
      </c>
      <c r="K14" s="76"/>
      <c r="L14" s="78"/>
    </row>
    <row r="15" spans="1:12" x14ac:dyDescent="0.25">
      <c r="A15" s="18">
        <f t="shared" si="0"/>
        <v>45548</v>
      </c>
      <c r="B15" s="77">
        <v>0</v>
      </c>
      <c r="C15" s="77">
        <v>100</v>
      </c>
      <c r="D15" s="77">
        <v>0</v>
      </c>
      <c r="E15" s="77">
        <v>258</v>
      </c>
      <c r="F15" s="77">
        <v>0</v>
      </c>
      <c r="G15" s="77">
        <v>0</v>
      </c>
      <c r="H15" s="77">
        <v>0</v>
      </c>
      <c r="I15" s="77"/>
      <c r="J15" s="76"/>
      <c r="K15" s="76"/>
      <c r="L15" s="78"/>
    </row>
    <row r="16" spans="1:12" x14ac:dyDescent="0.25">
      <c r="A16" s="18">
        <f t="shared" si="0"/>
        <v>45549</v>
      </c>
      <c r="B16" s="77">
        <v>0</v>
      </c>
      <c r="C16" s="77">
        <v>116</v>
      </c>
      <c r="D16" s="77">
        <v>0</v>
      </c>
      <c r="E16" s="77">
        <v>242</v>
      </c>
      <c r="F16" s="77">
        <v>0</v>
      </c>
      <c r="G16" s="77">
        <v>0</v>
      </c>
      <c r="H16" s="77">
        <v>0</v>
      </c>
      <c r="I16" s="77"/>
      <c r="J16" s="76" t="s">
        <v>144</v>
      </c>
      <c r="K16" s="76"/>
      <c r="L16" s="78"/>
    </row>
    <row r="17" spans="1:12" x14ac:dyDescent="0.25">
      <c r="A17" s="18">
        <f t="shared" si="0"/>
        <v>45550</v>
      </c>
      <c r="B17" s="77">
        <v>0</v>
      </c>
      <c r="C17" s="77">
        <v>99</v>
      </c>
      <c r="D17" s="77">
        <v>0</v>
      </c>
      <c r="E17" s="77">
        <v>222</v>
      </c>
      <c r="F17" s="77">
        <v>0.01</v>
      </c>
      <c r="G17" s="77">
        <v>0</v>
      </c>
      <c r="H17" s="77">
        <v>0</v>
      </c>
      <c r="I17" s="77"/>
      <c r="J17" s="76" t="s">
        <v>145</v>
      </c>
      <c r="K17" s="76"/>
      <c r="L17" s="78"/>
    </row>
    <row r="18" spans="1:12" x14ac:dyDescent="0.25">
      <c r="A18" s="18">
        <f t="shared" si="0"/>
        <v>45551</v>
      </c>
      <c r="B18" s="77">
        <v>0</v>
      </c>
      <c r="C18" s="77">
        <v>59</v>
      </c>
      <c r="D18" s="77">
        <v>39</v>
      </c>
      <c r="E18" s="77">
        <v>190</v>
      </c>
      <c r="F18" s="77">
        <v>7.0000000000000007E-2</v>
      </c>
      <c r="G18" s="77">
        <v>0</v>
      </c>
      <c r="H18" s="77">
        <v>0</v>
      </c>
      <c r="I18" s="77"/>
      <c r="J18" s="76" t="s">
        <v>146</v>
      </c>
      <c r="K18" s="76"/>
      <c r="L18" s="78"/>
    </row>
    <row r="19" spans="1:12" x14ac:dyDescent="0.25">
      <c r="A19" s="18">
        <f t="shared" si="0"/>
        <v>45552</v>
      </c>
      <c r="B19" s="77">
        <v>0</v>
      </c>
      <c r="C19" s="77">
        <v>18</v>
      </c>
      <c r="D19" s="77">
        <v>61</v>
      </c>
      <c r="E19" s="77">
        <v>177</v>
      </c>
      <c r="F19" s="77">
        <v>0.03</v>
      </c>
      <c r="G19" s="77">
        <v>0</v>
      </c>
      <c r="H19" s="77">
        <v>0</v>
      </c>
      <c r="I19" s="77"/>
      <c r="J19" s="76" t="s">
        <v>147</v>
      </c>
      <c r="K19" s="76"/>
      <c r="L19" s="78"/>
    </row>
    <row r="20" spans="1:12" x14ac:dyDescent="0.25">
      <c r="A20" s="18">
        <f t="shared" si="0"/>
        <v>45553</v>
      </c>
      <c r="B20" s="77">
        <v>0</v>
      </c>
      <c r="C20" s="77">
        <v>0</v>
      </c>
      <c r="D20" s="77">
        <v>72</v>
      </c>
      <c r="E20" s="77">
        <v>151</v>
      </c>
      <c r="F20" s="77">
        <v>0.04</v>
      </c>
      <c r="G20" s="77">
        <v>0</v>
      </c>
      <c r="H20" s="77">
        <v>0</v>
      </c>
      <c r="I20" s="77"/>
      <c r="J20" s="76"/>
      <c r="K20" s="76"/>
      <c r="L20" s="78"/>
    </row>
    <row r="21" spans="1:12" x14ac:dyDescent="0.25">
      <c r="A21" s="18">
        <f t="shared" si="0"/>
        <v>45554</v>
      </c>
      <c r="B21" s="77">
        <v>0</v>
      </c>
      <c r="C21" s="77">
        <v>0</v>
      </c>
      <c r="D21" s="77">
        <v>83</v>
      </c>
      <c r="E21" s="77">
        <v>133</v>
      </c>
      <c r="F21" s="77">
        <v>0</v>
      </c>
      <c r="G21" s="77">
        <v>0</v>
      </c>
      <c r="H21" s="77">
        <v>0</v>
      </c>
      <c r="I21" s="77"/>
      <c r="J21" s="76"/>
      <c r="K21" s="76"/>
      <c r="L21" s="78"/>
    </row>
    <row r="22" spans="1:12" x14ac:dyDescent="0.25">
      <c r="A22" s="18">
        <f t="shared" si="0"/>
        <v>45555</v>
      </c>
      <c r="B22" s="77">
        <v>0</v>
      </c>
      <c r="C22" s="77">
        <v>0</v>
      </c>
      <c r="D22" s="77">
        <v>86</v>
      </c>
      <c r="E22" s="77">
        <v>169</v>
      </c>
      <c r="F22" s="77">
        <v>0</v>
      </c>
      <c r="G22" s="77">
        <v>0</v>
      </c>
      <c r="H22" s="77">
        <v>0</v>
      </c>
      <c r="I22" s="77"/>
      <c r="J22" s="76"/>
      <c r="K22" s="76"/>
      <c r="L22" s="78"/>
    </row>
    <row r="23" spans="1:12" x14ac:dyDescent="0.25">
      <c r="A23" s="18">
        <f t="shared" si="0"/>
        <v>45556</v>
      </c>
      <c r="B23" s="77">
        <v>0</v>
      </c>
      <c r="C23" s="77">
        <v>0</v>
      </c>
      <c r="D23" s="77">
        <v>35</v>
      </c>
      <c r="E23" s="77">
        <v>149</v>
      </c>
      <c r="F23" s="77">
        <v>0</v>
      </c>
      <c r="G23" s="77">
        <v>0</v>
      </c>
      <c r="H23" s="77">
        <v>0</v>
      </c>
      <c r="I23" s="77"/>
      <c r="J23" s="76"/>
      <c r="K23" s="76"/>
      <c r="L23" s="78"/>
    </row>
    <row r="24" spans="1:12" x14ac:dyDescent="0.25">
      <c r="A24" s="18">
        <f t="shared" si="0"/>
        <v>45557</v>
      </c>
      <c r="B24" s="77">
        <v>0</v>
      </c>
      <c r="C24" s="77">
        <v>0</v>
      </c>
      <c r="D24" s="77">
        <v>29</v>
      </c>
      <c r="E24" s="77">
        <v>151</v>
      </c>
      <c r="F24" s="77">
        <v>0</v>
      </c>
      <c r="G24" s="77">
        <v>0</v>
      </c>
      <c r="H24" s="77">
        <v>0</v>
      </c>
      <c r="I24" s="77"/>
      <c r="J24" s="76"/>
      <c r="K24" s="76"/>
      <c r="L24" s="78"/>
    </row>
    <row r="25" spans="1:12" x14ac:dyDescent="0.25">
      <c r="A25" s="18">
        <f t="shared" si="0"/>
        <v>45558</v>
      </c>
      <c r="B25" s="77">
        <v>0</v>
      </c>
      <c r="C25" s="77">
        <v>56</v>
      </c>
      <c r="D25" s="77">
        <v>2</v>
      </c>
      <c r="E25" s="77">
        <v>250</v>
      </c>
      <c r="F25" s="77">
        <v>0</v>
      </c>
      <c r="G25" s="77">
        <v>0</v>
      </c>
      <c r="H25" s="77">
        <v>0</v>
      </c>
      <c r="I25" s="77"/>
      <c r="J25" s="76" t="s">
        <v>148</v>
      </c>
      <c r="K25" s="76"/>
      <c r="L25" s="78"/>
    </row>
    <row r="26" spans="1:12" x14ac:dyDescent="0.25">
      <c r="A26" s="18">
        <f t="shared" si="0"/>
        <v>45559</v>
      </c>
      <c r="B26" s="77">
        <v>0</v>
      </c>
      <c r="C26" s="77">
        <v>77</v>
      </c>
      <c r="D26" s="77">
        <v>0</v>
      </c>
      <c r="E26" s="77">
        <v>281</v>
      </c>
      <c r="F26" s="77">
        <v>0</v>
      </c>
      <c r="G26" s="77">
        <v>0</v>
      </c>
      <c r="H26" s="77">
        <v>0</v>
      </c>
      <c r="I26" s="77"/>
      <c r="J26" s="76" t="s">
        <v>149</v>
      </c>
      <c r="K26" s="76"/>
      <c r="L26" s="78"/>
    </row>
    <row r="27" spans="1:12" x14ac:dyDescent="0.25">
      <c r="A27" s="18">
        <f t="shared" si="0"/>
        <v>45560</v>
      </c>
      <c r="B27" s="77">
        <v>0</v>
      </c>
      <c r="C27" s="77">
        <v>44</v>
      </c>
      <c r="D27" s="77">
        <v>0</v>
      </c>
      <c r="E27" s="77">
        <v>258</v>
      </c>
      <c r="F27" s="77">
        <v>0</v>
      </c>
      <c r="G27" s="77">
        <v>0</v>
      </c>
      <c r="H27" s="77">
        <v>0</v>
      </c>
      <c r="I27" s="77"/>
      <c r="J27" s="76" t="s">
        <v>150</v>
      </c>
      <c r="K27" s="76"/>
      <c r="L27" s="78"/>
    </row>
    <row r="28" spans="1:12" x14ac:dyDescent="0.25">
      <c r="A28" s="18">
        <f t="shared" si="0"/>
        <v>45561</v>
      </c>
      <c r="B28" s="77">
        <v>0</v>
      </c>
      <c r="C28" s="77">
        <v>0</v>
      </c>
      <c r="D28" s="77">
        <v>5</v>
      </c>
      <c r="E28" s="77">
        <v>229</v>
      </c>
      <c r="F28" s="77">
        <v>0</v>
      </c>
      <c r="G28" s="77">
        <v>0</v>
      </c>
      <c r="H28" s="77">
        <v>0</v>
      </c>
      <c r="I28" s="77"/>
      <c r="J28" s="76"/>
      <c r="K28" s="76"/>
      <c r="L28" s="78"/>
    </row>
    <row r="29" spans="1:12" x14ac:dyDescent="0.25">
      <c r="A29" s="18">
        <f t="shared" si="0"/>
        <v>45562</v>
      </c>
      <c r="B29" s="77">
        <v>0</v>
      </c>
      <c r="C29" s="77">
        <v>0</v>
      </c>
      <c r="D29" s="77">
        <v>1</v>
      </c>
      <c r="E29" s="77">
        <v>206</v>
      </c>
      <c r="F29" s="77">
        <v>0</v>
      </c>
      <c r="G29" s="77">
        <v>0</v>
      </c>
      <c r="H29" s="77">
        <v>0</v>
      </c>
      <c r="I29" s="77"/>
      <c r="J29" s="76"/>
      <c r="K29" s="76"/>
    </row>
    <row r="30" spans="1:12" x14ac:dyDescent="0.25">
      <c r="A30" s="18">
        <f t="shared" si="0"/>
        <v>45563</v>
      </c>
      <c r="B30" s="77">
        <v>0</v>
      </c>
      <c r="C30" s="77">
        <v>0</v>
      </c>
      <c r="D30" s="77">
        <v>0</v>
      </c>
      <c r="E30" s="77">
        <v>181</v>
      </c>
      <c r="F30" s="77">
        <v>0</v>
      </c>
      <c r="G30" s="77">
        <v>0</v>
      </c>
      <c r="H30" s="77">
        <v>0</v>
      </c>
      <c r="I30" s="77"/>
      <c r="J30" s="76"/>
      <c r="K30" s="76"/>
    </row>
    <row r="31" spans="1:12" x14ac:dyDescent="0.25">
      <c r="A31" s="18">
        <f t="shared" si="0"/>
        <v>45564</v>
      </c>
      <c r="B31" s="77">
        <v>0</v>
      </c>
      <c r="C31" s="77">
        <v>0</v>
      </c>
      <c r="D31" s="77">
        <v>0</v>
      </c>
      <c r="E31" s="77">
        <v>174</v>
      </c>
      <c r="F31" s="77">
        <v>0</v>
      </c>
      <c r="G31" s="77">
        <v>0</v>
      </c>
      <c r="H31" s="77">
        <v>0</v>
      </c>
      <c r="I31" s="77"/>
      <c r="J31" s="76"/>
      <c r="K31" s="76"/>
    </row>
    <row r="32" spans="1:12" ht="15.75" thickBot="1" x14ac:dyDescent="0.3">
      <c r="A32" s="18">
        <f t="shared" si="0"/>
        <v>45565</v>
      </c>
      <c r="B32" s="77">
        <v>0</v>
      </c>
      <c r="C32" s="77">
        <v>0</v>
      </c>
      <c r="D32" s="77">
        <v>0</v>
      </c>
      <c r="E32" s="77">
        <v>176</v>
      </c>
      <c r="F32" s="77"/>
      <c r="G32" s="77"/>
      <c r="H32" s="77"/>
      <c r="I32" s="77"/>
    </row>
    <row r="33" spans="1:15" s="6" customFormat="1" ht="15.75" thickTop="1" x14ac:dyDescent="0.25">
      <c r="A33" s="10" t="s">
        <v>8</v>
      </c>
      <c r="B33" s="11">
        <f>SUM(B3:B32)</f>
        <v>0</v>
      </c>
      <c r="C33" s="11">
        <f t="shared" ref="C33:H33" si="1">SUM(C3:C32)</f>
        <v>3331</v>
      </c>
      <c r="D33" s="11">
        <f t="shared" si="1"/>
        <v>1473</v>
      </c>
      <c r="E33" s="11">
        <f t="shared" si="1"/>
        <v>7036</v>
      </c>
      <c r="F33" s="12">
        <f t="shared" si="1"/>
        <v>0.16</v>
      </c>
      <c r="G33" s="12">
        <f t="shared" si="1"/>
        <v>0</v>
      </c>
      <c r="H33" s="11">
        <f t="shared" si="1"/>
        <v>0</v>
      </c>
      <c r="I33" s="12"/>
    </row>
    <row r="34" spans="1:15" s="6" customFormat="1" x14ac:dyDescent="0.25">
      <c r="A34" s="13" t="s">
        <v>9</v>
      </c>
      <c r="B34" s="14">
        <f>SUM(B33+'Aug 2024'!B35)</f>
        <v>0</v>
      </c>
      <c r="C34" s="14">
        <f>SUM(C33+'Aug 2024'!C35)</f>
        <v>61072</v>
      </c>
      <c r="D34" s="14">
        <f>SUM(D33+'Aug 2024'!D35)</f>
        <v>25789</v>
      </c>
      <c r="E34" s="14">
        <f>SUM(E33+'Aug 2024'!E35)</f>
        <v>88351</v>
      </c>
      <c r="F34" s="15">
        <f>SUM(F33+'Aug 2024'!F35)</f>
        <v>8.9300000000000015</v>
      </c>
      <c r="G34" s="15">
        <f>SUM(G33+'Aug 2024'!G35)</f>
        <v>10.65</v>
      </c>
      <c r="H34" s="14">
        <f>SUM(H33+'Aug 2024'!H35)</f>
        <v>6707</v>
      </c>
      <c r="I34" s="15"/>
    </row>
    <row r="36" spans="1:15" x14ac:dyDescent="0.25">
      <c r="A36" t="s">
        <v>10</v>
      </c>
      <c r="B36" s="17">
        <f>SUM(B3:B32)*1.9835</f>
        <v>0</v>
      </c>
      <c r="C36" s="17">
        <f>SUM(C3:C32)*1.9835</f>
        <v>6607.0385000000006</v>
      </c>
      <c r="D36" s="17">
        <f>SUM(D3:D32)*1.9835</f>
        <v>2921.6955000000003</v>
      </c>
      <c r="E36" s="17">
        <f>SUM(E3:E32)*1.9835</f>
        <v>13955.906000000001</v>
      </c>
      <c r="F36" s="17"/>
      <c r="G36" s="17"/>
      <c r="H36" s="17"/>
    </row>
    <row r="37" spans="1:15" x14ac:dyDescent="0.25">
      <c r="B37" s="17"/>
      <c r="C37" s="17"/>
      <c r="D37" s="17"/>
      <c r="E37" s="17"/>
      <c r="F37" s="17"/>
      <c r="G37" s="17"/>
      <c r="H37" s="17"/>
    </row>
    <row r="38" spans="1:15" x14ac:dyDescent="0.25">
      <c r="A38" t="s">
        <v>24</v>
      </c>
      <c r="B38" s="17">
        <f>SUM(B36+'Aug 2024'!B39)</f>
        <v>0</v>
      </c>
      <c r="C38" s="17">
        <f>SUM(C36+'Aug 2024'!C39)</f>
        <v>128893.78049999999</v>
      </c>
      <c r="D38" s="17">
        <f>SUM(D36+'Aug 2024'!D39)</f>
        <v>58816.725500000008</v>
      </c>
      <c r="E38" s="17">
        <f>SUM(E36+'Aug 2024'!E39)</f>
        <v>183455.89850000001</v>
      </c>
      <c r="F38" s="17"/>
      <c r="G38" s="17"/>
      <c r="H38" s="17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3" sqref="F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41.28515625" customWidth="1"/>
  </cols>
  <sheetData>
    <row r="1" spans="1:15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5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5" x14ac:dyDescent="0.25">
      <c r="A3" s="7">
        <v>45505</v>
      </c>
      <c r="B3" s="77">
        <v>0</v>
      </c>
      <c r="C3" s="77">
        <v>400</v>
      </c>
      <c r="D3" s="77">
        <v>0</v>
      </c>
      <c r="E3" s="77">
        <v>517</v>
      </c>
      <c r="F3" s="77">
        <v>0</v>
      </c>
      <c r="G3" s="77">
        <v>0</v>
      </c>
      <c r="H3" s="77">
        <v>0</v>
      </c>
      <c r="I3" s="77" t="s">
        <v>29</v>
      </c>
      <c r="J3" s="79"/>
      <c r="K3" s="78"/>
      <c r="L3" s="78"/>
      <c r="M3" s="78"/>
      <c r="N3" s="78"/>
      <c r="O3" s="78"/>
    </row>
    <row r="4" spans="1:15" x14ac:dyDescent="0.25">
      <c r="A4" s="7">
        <f>A3+1</f>
        <v>45506</v>
      </c>
      <c r="B4" s="77">
        <v>0</v>
      </c>
      <c r="C4" s="77">
        <v>400</v>
      </c>
      <c r="D4" s="77">
        <v>0</v>
      </c>
      <c r="E4" s="77">
        <v>507</v>
      </c>
      <c r="F4" s="77">
        <v>0</v>
      </c>
      <c r="G4" s="77">
        <v>0</v>
      </c>
      <c r="H4" s="77">
        <v>0</v>
      </c>
      <c r="I4" s="77" t="s">
        <v>29</v>
      </c>
      <c r="J4" s="79"/>
      <c r="K4" s="78"/>
      <c r="L4" s="78"/>
      <c r="M4" s="78"/>
      <c r="N4" s="78"/>
      <c r="O4" s="78"/>
    </row>
    <row r="5" spans="1:15" x14ac:dyDescent="0.25">
      <c r="A5" s="7">
        <f t="shared" ref="A5:A33" si="0">A4+1</f>
        <v>45507</v>
      </c>
      <c r="B5" s="77">
        <v>0</v>
      </c>
      <c r="C5" s="77">
        <v>400</v>
      </c>
      <c r="D5" s="77">
        <v>0</v>
      </c>
      <c r="E5" s="77">
        <v>504</v>
      </c>
      <c r="F5" s="77">
        <v>0</v>
      </c>
      <c r="G5" s="77">
        <v>0</v>
      </c>
      <c r="H5" s="77">
        <v>0</v>
      </c>
      <c r="I5" s="77" t="s">
        <v>29</v>
      </c>
      <c r="J5" s="79"/>
      <c r="K5" s="78"/>
      <c r="L5" s="78"/>
      <c r="M5" s="78"/>
      <c r="N5" s="78"/>
      <c r="O5" s="78"/>
    </row>
    <row r="6" spans="1:15" x14ac:dyDescent="0.25">
      <c r="A6" s="7">
        <f t="shared" si="0"/>
        <v>45508</v>
      </c>
      <c r="B6" s="77">
        <v>0</v>
      </c>
      <c r="C6" s="77">
        <v>378</v>
      </c>
      <c r="D6" s="77">
        <v>0</v>
      </c>
      <c r="E6" s="77">
        <v>491</v>
      </c>
      <c r="F6" s="77">
        <v>0</v>
      </c>
      <c r="G6" s="77">
        <v>0</v>
      </c>
      <c r="H6" s="77">
        <v>0</v>
      </c>
      <c r="I6" s="77" t="s">
        <v>29</v>
      </c>
      <c r="J6" s="79" t="s">
        <v>121</v>
      </c>
      <c r="K6" s="78"/>
      <c r="L6" s="78"/>
      <c r="M6" s="78"/>
      <c r="N6" s="78"/>
      <c r="O6" s="78"/>
    </row>
    <row r="7" spans="1:15" x14ac:dyDescent="0.25">
      <c r="A7" s="7">
        <f t="shared" si="0"/>
        <v>45509</v>
      </c>
      <c r="B7" s="77">
        <v>0</v>
      </c>
      <c r="C7" s="77">
        <v>328</v>
      </c>
      <c r="D7" s="77">
        <v>2</v>
      </c>
      <c r="E7" s="77">
        <v>439</v>
      </c>
      <c r="F7" s="77">
        <v>0</v>
      </c>
      <c r="G7" s="77">
        <v>0</v>
      </c>
      <c r="H7" s="77">
        <v>0</v>
      </c>
      <c r="I7" s="77" t="s">
        <v>29</v>
      </c>
      <c r="J7" s="79" t="s">
        <v>122</v>
      </c>
      <c r="K7" s="78"/>
      <c r="L7" s="78"/>
      <c r="M7" s="78"/>
      <c r="N7" s="78"/>
      <c r="O7" s="78"/>
    </row>
    <row r="8" spans="1:15" x14ac:dyDescent="0.25">
      <c r="A8" s="7">
        <f t="shared" si="0"/>
        <v>45510</v>
      </c>
      <c r="B8" s="77">
        <v>0</v>
      </c>
      <c r="C8" s="77">
        <v>300</v>
      </c>
      <c r="D8" s="77">
        <v>0</v>
      </c>
      <c r="E8" s="77">
        <v>437</v>
      </c>
      <c r="F8" s="77">
        <v>0</v>
      </c>
      <c r="G8" s="77">
        <v>0</v>
      </c>
      <c r="H8" s="77">
        <v>0</v>
      </c>
      <c r="I8" s="77" t="s">
        <v>29</v>
      </c>
      <c r="J8" s="79"/>
      <c r="K8" s="78"/>
      <c r="L8" s="78"/>
      <c r="M8" s="78"/>
      <c r="N8" s="78"/>
      <c r="O8" s="78"/>
    </row>
    <row r="9" spans="1:15" x14ac:dyDescent="0.25">
      <c r="A9" s="7">
        <f t="shared" si="0"/>
        <v>45511</v>
      </c>
      <c r="B9" s="77">
        <v>0</v>
      </c>
      <c r="C9" s="77">
        <v>300</v>
      </c>
      <c r="D9" s="77">
        <v>0</v>
      </c>
      <c r="E9" s="77">
        <v>460</v>
      </c>
      <c r="F9" s="77">
        <v>0</v>
      </c>
      <c r="G9" s="77">
        <v>0</v>
      </c>
      <c r="H9" s="77">
        <v>0</v>
      </c>
      <c r="I9" s="77" t="s">
        <v>29</v>
      </c>
      <c r="J9" s="79"/>
      <c r="K9" s="78"/>
      <c r="L9" s="78"/>
      <c r="M9" s="78"/>
      <c r="N9" s="78"/>
      <c r="O9" s="78"/>
    </row>
    <row r="10" spans="1:15" x14ac:dyDescent="0.25">
      <c r="A10" s="7">
        <f t="shared" si="0"/>
        <v>45512</v>
      </c>
      <c r="B10" s="77">
        <v>0</v>
      </c>
      <c r="C10" s="77">
        <v>300</v>
      </c>
      <c r="D10" s="77">
        <v>0</v>
      </c>
      <c r="E10" s="77">
        <v>426</v>
      </c>
      <c r="F10" s="77">
        <v>0</v>
      </c>
      <c r="G10" s="77">
        <v>0</v>
      </c>
      <c r="H10" s="77">
        <v>0</v>
      </c>
      <c r="I10" s="77" t="s">
        <v>29</v>
      </c>
      <c r="J10" s="79"/>
      <c r="K10" s="78"/>
      <c r="L10" s="78"/>
      <c r="M10" s="78"/>
      <c r="N10" s="78"/>
      <c r="O10" s="78"/>
    </row>
    <row r="11" spans="1:15" x14ac:dyDescent="0.25">
      <c r="A11" s="7">
        <f t="shared" si="0"/>
        <v>45513</v>
      </c>
      <c r="B11" s="77">
        <v>0</v>
      </c>
      <c r="C11" s="77">
        <v>300</v>
      </c>
      <c r="D11" s="77">
        <v>0</v>
      </c>
      <c r="E11" s="77">
        <v>414</v>
      </c>
      <c r="F11" s="77">
        <v>0</v>
      </c>
      <c r="G11" s="77">
        <v>0</v>
      </c>
      <c r="H11" s="77">
        <v>0</v>
      </c>
      <c r="I11" s="77" t="s">
        <v>29</v>
      </c>
      <c r="J11" s="79"/>
      <c r="K11" s="78"/>
      <c r="L11" s="78"/>
      <c r="M11" s="78"/>
      <c r="N11" s="78"/>
      <c r="O11" s="78"/>
    </row>
    <row r="12" spans="1:15" x14ac:dyDescent="0.25">
      <c r="A12" s="7">
        <f t="shared" si="0"/>
        <v>45514</v>
      </c>
      <c r="B12" s="77">
        <v>0</v>
      </c>
      <c r="C12" s="77">
        <v>283</v>
      </c>
      <c r="D12" s="77">
        <v>0</v>
      </c>
      <c r="E12" s="77">
        <v>405</v>
      </c>
      <c r="F12" s="77">
        <v>0</v>
      </c>
      <c r="G12" s="77">
        <v>0</v>
      </c>
      <c r="H12" s="77">
        <v>0</v>
      </c>
      <c r="I12" s="77" t="s">
        <v>29</v>
      </c>
      <c r="J12" s="76" t="s">
        <v>123</v>
      </c>
      <c r="K12" s="78"/>
      <c r="L12" s="78"/>
      <c r="M12" s="78"/>
      <c r="N12" s="78"/>
      <c r="O12" s="78"/>
    </row>
    <row r="13" spans="1:15" x14ac:dyDescent="0.25">
      <c r="A13" s="7">
        <f t="shared" si="0"/>
        <v>45515</v>
      </c>
      <c r="B13" s="77">
        <v>0</v>
      </c>
      <c r="C13" s="77">
        <v>250</v>
      </c>
      <c r="D13" s="77">
        <v>0</v>
      </c>
      <c r="E13" s="77">
        <v>409</v>
      </c>
      <c r="F13" s="77">
        <v>0</v>
      </c>
      <c r="G13" s="77">
        <v>0</v>
      </c>
      <c r="H13" s="77">
        <v>0</v>
      </c>
      <c r="I13" s="77" t="s">
        <v>29</v>
      </c>
      <c r="J13" s="76"/>
      <c r="K13" s="76"/>
      <c r="L13" s="78"/>
      <c r="M13" s="78"/>
      <c r="N13" s="78"/>
      <c r="O13" s="78"/>
    </row>
    <row r="14" spans="1:15" x14ac:dyDescent="0.25">
      <c r="A14" s="7">
        <f t="shared" si="0"/>
        <v>45516</v>
      </c>
      <c r="B14" s="77">
        <v>0</v>
      </c>
      <c r="C14" s="77">
        <v>292</v>
      </c>
      <c r="D14" s="77">
        <v>0</v>
      </c>
      <c r="E14" s="77">
        <v>401</v>
      </c>
      <c r="F14" s="77">
        <v>0</v>
      </c>
      <c r="G14" s="77">
        <v>0</v>
      </c>
      <c r="H14" s="77">
        <v>0</v>
      </c>
      <c r="I14" s="77"/>
      <c r="J14" s="76" t="s">
        <v>124</v>
      </c>
      <c r="K14" s="76"/>
      <c r="L14" s="78"/>
      <c r="M14" s="78"/>
      <c r="N14" s="78"/>
      <c r="O14" s="78"/>
    </row>
    <row r="15" spans="1:15" x14ac:dyDescent="0.25">
      <c r="A15" s="7">
        <f t="shared" si="0"/>
        <v>45517</v>
      </c>
      <c r="B15" s="77">
        <v>0</v>
      </c>
      <c r="C15" s="77">
        <v>321</v>
      </c>
      <c r="D15" s="77">
        <v>0</v>
      </c>
      <c r="E15" s="77">
        <v>422</v>
      </c>
      <c r="F15" s="77">
        <v>0</v>
      </c>
      <c r="G15" s="77">
        <v>0</v>
      </c>
      <c r="H15" s="77">
        <v>0</v>
      </c>
      <c r="I15" s="77"/>
      <c r="J15" s="236" t="s">
        <v>125</v>
      </c>
      <c r="K15" s="76"/>
      <c r="L15" s="78"/>
      <c r="M15" s="78"/>
      <c r="N15" s="78"/>
      <c r="O15" s="78"/>
    </row>
    <row r="16" spans="1:15" x14ac:dyDescent="0.25">
      <c r="A16" s="7">
        <f t="shared" si="0"/>
        <v>45518</v>
      </c>
      <c r="B16" s="77">
        <v>0</v>
      </c>
      <c r="C16" s="77">
        <v>385</v>
      </c>
      <c r="D16" s="77">
        <v>0</v>
      </c>
      <c r="E16" s="77">
        <v>466</v>
      </c>
      <c r="F16" s="77">
        <v>0</v>
      </c>
      <c r="G16" s="77">
        <v>0</v>
      </c>
      <c r="H16" s="77">
        <v>0</v>
      </c>
      <c r="I16" s="77"/>
      <c r="J16" s="76" t="s">
        <v>126</v>
      </c>
      <c r="K16" s="76"/>
      <c r="L16" s="78"/>
      <c r="M16" s="78"/>
      <c r="N16" s="78"/>
      <c r="O16" s="78"/>
    </row>
    <row r="17" spans="1:15" x14ac:dyDescent="0.25">
      <c r="A17" s="7">
        <f t="shared" si="0"/>
        <v>45519</v>
      </c>
      <c r="B17" s="77">
        <v>0</v>
      </c>
      <c r="C17" s="77">
        <v>400</v>
      </c>
      <c r="D17" s="77">
        <v>0</v>
      </c>
      <c r="E17" s="77">
        <v>486</v>
      </c>
      <c r="F17" s="77">
        <v>0.17</v>
      </c>
      <c r="G17" s="77">
        <v>0</v>
      </c>
      <c r="H17" s="77">
        <v>0</v>
      </c>
      <c r="I17" s="77"/>
      <c r="J17" s="76" t="s">
        <v>127</v>
      </c>
      <c r="K17" s="76"/>
      <c r="L17" s="78"/>
      <c r="M17" s="78"/>
      <c r="N17" s="78"/>
      <c r="O17" s="78"/>
    </row>
    <row r="18" spans="1:15" x14ac:dyDescent="0.25">
      <c r="A18" s="7">
        <f t="shared" si="0"/>
        <v>45520</v>
      </c>
      <c r="B18" s="77">
        <v>0</v>
      </c>
      <c r="C18" s="77">
        <v>332</v>
      </c>
      <c r="D18" s="77">
        <v>16</v>
      </c>
      <c r="E18" s="77">
        <v>522</v>
      </c>
      <c r="F18" s="77">
        <v>0</v>
      </c>
      <c r="G18" s="77">
        <v>0</v>
      </c>
      <c r="H18" s="77">
        <v>0</v>
      </c>
      <c r="I18" s="77"/>
      <c r="J18" s="76" t="s">
        <v>128</v>
      </c>
      <c r="K18" s="76"/>
      <c r="L18" s="78"/>
      <c r="M18" s="78"/>
      <c r="N18" s="78"/>
      <c r="O18" s="78"/>
    </row>
    <row r="19" spans="1:15" x14ac:dyDescent="0.25">
      <c r="A19" s="7">
        <f t="shared" si="0"/>
        <v>45521</v>
      </c>
      <c r="B19" s="77">
        <v>0</v>
      </c>
      <c r="C19" s="77">
        <v>400</v>
      </c>
      <c r="D19" s="77">
        <v>74</v>
      </c>
      <c r="E19" s="77">
        <v>489</v>
      </c>
      <c r="F19" s="77">
        <v>0</v>
      </c>
      <c r="G19" s="77">
        <v>0</v>
      </c>
      <c r="H19" s="77">
        <v>0</v>
      </c>
      <c r="I19" s="77"/>
      <c r="J19" s="76"/>
      <c r="K19" s="76"/>
      <c r="L19" s="78"/>
      <c r="M19" s="78"/>
      <c r="N19" s="78"/>
      <c r="O19" s="78"/>
    </row>
    <row r="20" spans="1:15" x14ac:dyDescent="0.25">
      <c r="A20" s="7">
        <f t="shared" si="0"/>
        <v>45522</v>
      </c>
      <c r="B20" s="77">
        <v>0</v>
      </c>
      <c r="C20" s="77">
        <v>400</v>
      </c>
      <c r="D20" s="77">
        <v>100</v>
      </c>
      <c r="E20" s="77">
        <v>503</v>
      </c>
      <c r="F20" s="77">
        <v>0</v>
      </c>
      <c r="G20" s="77">
        <v>0</v>
      </c>
      <c r="H20" s="77">
        <v>0</v>
      </c>
      <c r="I20" s="77"/>
      <c r="J20" s="76" t="s">
        <v>105</v>
      </c>
      <c r="K20" s="76"/>
      <c r="L20" s="78"/>
      <c r="M20" s="78"/>
      <c r="N20" s="78"/>
      <c r="O20" s="78"/>
    </row>
    <row r="21" spans="1:15" x14ac:dyDescent="0.25">
      <c r="A21" s="7">
        <f t="shared" si="0"/>
        <v>45523</v>
      </c>
      <c r="B21" s="77">
        <v>0</v>
      </c>
      <c r="C21" s="77">
        <v>421</v>
      </c>
      <c r="D21" s="77">
        <v>100</v>
      </c>
      <c r="E21" s="77">
        <v>535</v>
      </c>
      <c r="F21" s="77">
        <v>0</v>
      </c>
      <c r="G21" s="77">
        <v>0</v>
      </c>
      <c r="H21" s="77">
        <v>0</v>
      </c>
      <c r="I21" s="77"/>
      <c r="J21" s="76"/>
      <c r="K21" s="76"/>
      <c r="L21" s="78"/>
      <c r="M21" s="78"/>
      <c r="N21" s="78"/>
      <c r="O21" s="78"/>
    </row>
    <row r="22" spans="1:15" x14ac:dyDescent="0.25">
      <c r="A22" s="7">
        <f t="shared" si="0"/>
        <v>45524</v>
      </c>
      <c r="B22" s="77">
        <v>0</v>
      </c>
      <c r="C22" s="77">
        <v>450</v>
      </c>
      <c r="D22" s="77">
        <v>100</v>
      </c>
      <c r="E22" s="77">
        <v>539</v>
      </c>
      <c r="F22" s="77">
        <v>0</v>
      </c>
      <c r="G22" s="77">
        <v>0</v>
      </c>
      <c r="H22" s="77">
        <v>0</v>
      </c>
      <c r="I22" s="77"/>
      <c r="J22" s="76"/>
      <c r="K22" s="76"/>
      <c r="L22" s="78"/>
      <c r="M22" s="78"/>
      <c r="N22" s="78"/>
      <c r="O22" s="78"/>
    </row>
    <row r="23" spans="1:15" x14ac:dyDescent="0.25">
      <c r="A23" s="7">
        <f t="shared" si="0"/>
        <v>45525</v>
      </c>
      <c r="B23" s="77">
        <v>0</v>
      </c>
      <c r="C23" s="77">
        <v>450</v>
      </c>
      <c r="D23" s="77">
        <v>100</v>
      </c>
      <c r="E23" s="77">
        <v>539</v>
      </c>
      <c r="F23" s="77">
        <v>0</v>
      </c>
      <c r="G23" s="77">
        <v>0</v>
      </c>
      <c r="H23" s="77">
        <v>0</v>
      </c>
      <c r="I23" s="77"/>
      <c r="J23" s="76"/>
      <c r="K23" s="76"/>
      <c r="L23" s="78"/>
      <c r="M23" s="78"/>
      <c r="N23" s="78"/>
      <c r="O23" s="78"/>
    </row>
    <row r="24" spans="1:15" x14ac:dyDescent="0.25">
      <c r="A24" s="7">
        <f t="shared" si="0"/>
        <v>45526</v>
      </c>
      <c r="B24" s="77">
        <v>0</v>
      </c>
      <c r="C24" s="77">
        <v>450</v>
      </c>
      <c r="D24" s="77">
        <v>100</v>
      </c>
      <c r="E24" s="77">
        <v>549</v>
      </c>
      <c r="F24" s="77">
        <v>0</v>
      </c>
      <c r="G24" s="77">
        <v>0</v>
      </c>
      <c r="H24" s="77">
        <v>0</v>
      </c>
      <c r="I24" s="77"/>
      <c r="J24" s="76"/>
      <c r="K24" s="76"/>
      <c r="L24" s="78"/>
      <c r="M24" s="78"/>
      <c r="N24" s="78"/>
      <c r="O24" s="78"/>
    </row>
    <row r="25" spans="1:15" x14ac:dyDescent="0.25">
      <c r="A25" s="7">
        <f t="shared" si="0"/>
        <v>45527</v>
      </c>
      <c r="B25" s="77">
        <v>0</v>
      </c>
      <c r="C25" s="77">
        <v>398</v>
      </c>
      <c r="D25" s="77">
        <v>110</v>
      </c>
      <c r="E25" s="77">
        <v>542</v>
      </c>
      <c r="F25" s="77">
        <v>0.21</v>
      </c>
      <c r="G25" s="77">
        <v>0</v>
      </c>
      <c r="H25" s="77">
        <v>0</v>
      </c>
      <c r="I25" s="77"/>
      <c r="J25" s="76" t="s">
        <v>129</v>
      </c>
      <c r="K25" s="76"/>
      <c r="L25" s="78"/>
      <c r="M25" s="78"/>
      <c r="N25" s="78"/>
      <c r="O25" s="78"/>
    </row>
    <row r="26" spans="1:15" x14ac:dyDescent="0.25">
      <c r="A26" s="7">
        <f t="shared" si="0"/>
        <v>45528</v>
      </c>
      <c r="B26" s="77">
        <v>0</v>
      </c>
      <c r="C26" s="77">
        <v>350</v>
      </c>
      <c r="D26" s="77">
        <v>116</v>
      </c>
      <c r="E26" s="77">
        <v>497</v>
      </c>
      <c r="F26" s="77">
        <v>0.25</v>
      </c>
      <c r="G26" s="77">
        <v>0</v>
      </c>
      <c r="H26" s="77">
        <v>0</v>
      </c>
      <c r="I26" s="77"/>
      <c r="J26" s="76"/>
      <c r="K26" s="76"/>
      <c r="L26" s="78"/>
      <c r="M26" s="78"/>
      <c r="N26" s="78"/>
      <c r="O26" s="78"/>
    </row>
    <row r="27" spans="1:15" x14ac:dyDescent="0.25">
      <c r="A27" s="7">
        <f t="shared" si="0"/>
        <v>45529</v>
      </c>
      <c r="B27" s="77">
        <v>0</v>
      </c>
      <c r="C27" s="77">
        <v>282</v>
      </c>
      <c r="D27" s="77">
        <v>125</v>
      </c>
      <c r="E27" s="77">
        <v>430</v>
      </c>
      <c r="F27" s="77">
        <v>0</v>
      </c>
      <c r="G27" s="77">
        <v>0</v>
      </c>
      <c r="H27" s="77">
        <v>0</v>
      </c>
      <c r="I27" s="77"/>
      <c r="J27" s="76" t="s">
        <v>130</v>
      </c>
      <c r="K27" s="76"/>
      <c r="L27" s="78"/>
      <c r="M27" s="78"/>
      <c r="N27" s="78"/>
      <c r="O27" s="78"/>
    </row>
    <row r="28" spans="1:15" x14ac:dyDescent="0.25">
      <c r="A28" s="7">
        <f t="shared" si="0"/>
        <v>45530</v>
      </c>
      <c r="B28" s="77"/>
      <c r="C28" s="77">
        <v>217</v>
      </c>
      <c r="D28" s="77">
        <v>102</v>
      </c>
      <c r="E28" s="77">
        <v>379</v>
      </c>
      <c r="F28" s="77"/>
      <c r="G28" s="77"/>
      <c r="H28" s="77"/>
      <c r="I28" s="77"/>
      <c r="J28" s="76" t="s">
        <v>131</v>
      </c>
      <c r="K28" s="76"/>
      <c r="L28" s="78"/>
      <c r="M28" s="78"/>
      <c r="N28" s="78"/>
      <c r="O28" s="78"/>
    </row>
    <row r="29" spans="1:15" x14ac:dyDescent="0.25">
      <c r="A29" s="7">
        <f t="shared" si="0"/>
        <v>45531</v>
      </c>
      <c r="B29" s="77"/>
      <c r="C29" s="77">
        <v>200</v>
      </c>
      <c r="D29" s="77">
        <v>100</v>
      </c>
      <c r="E29" s="77">
        <v>361</v>
      </c>
      <c r="F29" s="77"/>
      <c r="G29" s="77"/>
      <c r="H29" s="77"/>
      <c r="I29" s="77"/>
      <c r="J29" s="76"/>
      <c r="K29" s="76"/>
      <c r="L29" s="78"/>
      <c r="M29" s="78"/>
      <c r="N29" s="78"/>
      <c r="O29" s="78"/>
    </row>
    <row r="30" spans="1:15" x14ac:dyDescent="0.25">
      <c r="A30" s="7">
        <f t="shared" si="0"/>
        <v>45532</v>
      </c>
      <c r="B30" s="77"/>
      <c r="C30" s="77">
        <v>252</v>
      </c>
      <c r="D30" s="77">
        <v>100</v>
      </c>
      <c r="E30" s="77">
        <v>346</v>
      </c>
      <c r="F30" s="77"/>
      <c r="G30" s="77"/>
      <c r="H30" s="77"/>
      <c r="I30" s="77"/>
      <c r="J30" s="76" t="s">
        <v>132</v>
      </c>
      <c r="K30" s="76"/>
      <c r="L30" s="78"/>
      <c r="M30" s="78"/>
      <c r="N30" s="78"/>
      <c r="O30" s="78"/>
    </row>
    <row r="31" spans="1:15" x14ac:dyDescent="0.25">
      <c r="A31" s="7">
        <f t="shared" si="0"/>
        <v>45533</v>
      </c>
      <c r="B31" s="77"/>
      <c r="C31" s="77">
        <v>336</v>
      </c>
      <c r="D31" s="77">
        <v>100</v>
      </c>
      <c r="E31" s="77">
        <v>315</v>
      </c>
      <c r="F31" s="77"/>
      <c r="G31" s="77"/>
      <c r="H31" s="77"/>
      <c r="I31" s="77"/>
      <c r="J31" s="76" t="s">
        <v>133</v>
      </c>
      <c r="K31" s="76"/>
      <c r="L31" s="78"/>
      <c r="M31" s="78"/>
      <c r="N31" s="78"/>
      <c r="O31" s="78"/>
    </row>
    <row r="32" spans="1:15" x14ac:dyDescent="0.25">
      <c r="A32" s="7">
        <f t="shared" si="0"/>
        <v>45534</v>
      </c>
      <c r="B32" s="77"/>
      <c r="C32" s="77">
        <v>350</v>
      </c>
      <c r="D32" s="77">
        <v>100</v>
      </c>
      <c r="E32" s="77">
        <v>353</v>
      </c>
      <c r="F32" s="77"/>
      <c r="G32" s="77"/>
      <c r="H32" s="77"/>
      <c r="I32" s="77"/>
      <c r="J32" s="76" t="s">
        <v>134</v>
      </c>
      <c r="K32" s="76"/>
      <c r="L32" s="78"/>
      <c r="M32" s="78"/>
      <c r="N32" s="78"/>
      <c r="O32" s="78"/>
    </row>
    <row r="33" spans="1:15" ht="15.75" thickBot="1" x14ac:dyDescent="0.3">
      <c r="A33" s="7">
        <f t="shared" si="0"/>
        <v>45535</v>
      </c>
      <c r="B33" s="77"/>
      <c r="C33" s="77">
        <v>329</v>
      </c>
      <c r="D33" s="77">
        <v>100</v>
      </c>
      <c r="E33" s="77">
        <v>347</v>
      </c>
      <c r="F33" s="77"/>
      <c r="G33" s="77"/>
      <c r="H33" s="77"/>
      <c r="I33" s="77"/>
      <c r="J33" s="76"/>
      <c r="K33" s="76"/>
      <c r="L33" s="78"/>
      <c r="M33" s="78"/>
      <c r="N33" s="78"/>
      <c r="O33" s="78"/>
    </row>
    <row r="34" spans="1:15" s="6" customFormat="1" ht="15.75" collapsed="1" thickTop="1" x14ac:dyDescent="0.25">
      <c r="A34" s="10" t="s">
        <v>8</v>
      </c>
      <c r="B34" s="11">
        <f>SUM(B3:B33)</f>
        <v>0</v>
      </c>
      <c r="C34" s="11">
        <f t="shared" ref="C34:H34" si="1">SUM(C3:C33)</f>
        <v>10654</v>
      </c>
      <c r="D34" s="11">
        <f t="shared" si="1"/>
        <v>1545</v>
      </c>
      <c r="E34" s="11">
        <f t="shared" si="1"/>
        <v>14030</v>
      </c>
      <c r="F34" s="12">
        <f t="shared" si="1"/>
        <v>0.63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SUM(B34+'Jul 2024'!B35)</f>
        <v>0</v>
      </c>
      <c r="C35" s="14">
        <f>SUM(C34+'Jul 2024'!C35)</f>
        <v>57741</v>
      </c>
      <c r="D35" s="14">
        <f>SUM(D34+'Jul 2024'!D35)</f>
        <v>24316</v>
      </c>
      <c r="E35" s="14">
        <f>SUM(E34+'Jul 2024'!E35)</f>
        <v>81315</v>
      </c>
      <c r="F35" s="15">
        <f>SUM(F34+'Jul 2024'!F35)</f>
        <v>8.7700000000000014</v>
      </c>
      <c r="G35" s="15">
        <f>SUM(G34+'Jul 2024'!G35)</f>
        <v>10.65</v>
      </c>
      <c r="H35" s="14">
        <f>SUM(H34+'Jul 2024'!H35)</f>
        <v>6707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21132.208999999999</v>
      </c>
      <c r="D37" s="17">
        <f>SUM(D3:D33)*1.9835</f>
        <v>3064.5075000000002</v>
      </c>
      <c r="E37" s="17">
        <f>SUM(E3:E33)*1.9835</f>
        <v>27828.505000000001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SUM(B37+'Jul 2024'!B39)</f>
        <v>0</v>
      </c>
      <c r="C39" s="17">
        <f>SUM(C37+'Jul 2024'!C39)</f>
        <v>122286.742</v>
      </c>
      <c r="D39" s="17">
        <f>SUM(D37+'Jul 2024'!D39)</f>
        <v>55895.030000000006</v>
      </c>
      <c r="E39" s="17">
        <f>SUM(E37+'Jul 2024'!E39)</f>
        <v>169499.99250000002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8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9.1406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45474</v>
      </c>
      <c r="B3" s="77">
        <v>0</v>
      </c>
      <c r="C3" s="77">
        <v>319</v>
      </c>
      <c r="D3" s="77">
        <v>3</v>
      </c>
      <c r="E3" s="77">
        <v>466</v>
      </c>
      <c r="F3" s="77">
        <v>0</v>
      </c>
      <c r="G3" s="77">
        <v>0</v>
      </c>
      <c r="H3" s="77">
        <v>0</v>
      </c>
      <c r="I3" s="77" t="s">
        <v>29</v>
      </c>
      <c r="J3" s="76" t="s">
        <v>99</v>
      </c>
    </row>
    <row r="4" spans="1:10" x14ac:dyDescent="0.25">
      <c r="A4" s="18">
        <f>A3+1</f>
        <v>45475</v>
      </c>
      <c r="B4" s="77">
        <v>0</v>
      </c>
      <c r="C4" s="77">
        <v>335</v>
      </c>
      <c r="D4" s="77">
        <v>0</v>
      </c>
      <c r="E4" s="77">
        <v>439</v>
      </c>
      <c r="F4" s="77">
        <v>0</v>
      </c>
      <c r="G4" s="77">
        <v>0</v>
      </c>
      <c r="H4" s="77">
        <v>0</v>
      </c>
      <c r="I4" s="77" t="s">
        <v>29</v>
      </c>
      <c r="J4" s="76" t="s">
        <v>100</v>
      </c>
    </row>
    <row r="5" spans="1:10" x14ac:dyDescent="0.25">
      <c r="A5" s="18">
        <f t="shared" ref="A5:A33" si="0">A4+1</f>
        <v>45476</v>
      </c>
      <c r="B5" s="77">
        <v>0</v>
      </c>
      <c r="C5" s="77">
        <v>399</v>
      </c>
      <c r="D5" s="77">
        <v>0</v>
      </c>
      <c r="E5" s="77">
        <v>443</v>
      </c>
      <c r="F5" s="77">
        <v>0</v>
      </c>
      <c r="G5" s="77">
        <v>0</v>
      </c>
      <c r="H5" s="77">
        <v>0</v>
      </c>
      <c r="I5" s="77" t="s">
        <v>29</v>
      </c>
      <c r="J5" s="76" t="s">
        <v>101</v>
      </c>
    </row>
    <row r="6" spans="1:10" x14ac:dyDescent="0.25">
      <c r="A6" s="18">
        <f t="shared" si="0"/>
        <v>45477</v>
      </c>
      <c r="B6" s="77">
        <v>0</v>
      </c>
      <c r="C6" s="77">
        <v>330</v>
      </c>
      <c r="D6" s="77">
        <v>0</v>
      </c>
      <c r="E6" s="77">
        <v>419</v>
      </c>
      <c r="F6" s="77">
        <v>0</v>
      </c>
      <c r="G6" s="77">
        <v>0</v>
      </c>
      <c r="H6" s="77">
        <v>0</v>
      </c>
      <c r="I6" s="77" t="s">
        <v>29</v>
      </c>
      <c r="J6" s="76" t="s">
        <v>102</v>
      </c>
    </row>
    <row r="7" spans="1:10" x14ac:dyDescent="0.25">
      <c r="A7" s="18">
        <f t="shared" si="0"/>
        <v>45478</v>
      </c>
      <c r="B7" s="77">
        <v>0</v>
      </c>
      <c r="C7" s="77">
        <v>300</v>
      </c>
      <c r="D7" s="77">
        <v>0</v>
      </c>
      <c r="E7" s="77">
        <v>405</v>
      </c>
      <c r="F7" s="77">
        <v>0</v>
      </c>
      <c r="G7" s="77">
        <v>0</v>
      </c>
      <c r="H7" s="77">
        <v>0</v>
      </c>
      <c r="I7" s="77" t="s">
        <v>29</v>
      </c>
      <c r="J7" s="76"/>
    </row>
    <row r="8" spans="1:10" x14ac:dyDescent="0.25">
      <c r="A8" s="18">
        <f t="shared" si="0"/>
        <v>45479</v>
      </c>
      <c r="B8" s="77">
        <v>0</v>
      </c>
      <c r="C8" s="77">
        <v>300</v>
      </c>
      <c r="D8" s="77">
        <v>0</v>
      </c>
      <c r="E8" s="77">
        <v>403</v>
      </c>
      <c r="F8" s="77">
        <v>0</v>
      </c>
      <c r="G8" s="77">
        <v>0</v>
      </c>
      <c r="H8" s="77">
        <v>0</v>
      </c>
      <c r="I8" s="77" t="s">
        <v>29</v>
      </c>
      <c r="J8" s="76"/>
    </row>
    <row r="9" spans="1:10" x14ac:dyDescent="0.25">
      <c r="A9" s="18">
        <f t="shared" si="0"/>
        <v>45480</v>
      </c>
      <c r="B9" s="77">
        <v>0</v>
      </c>
      <c r="C9" s="77">
        <v>300</v>
      </c>
      <c r="D9" s="77">
        <v>0</v>
      </c>
      <c r="E9" s="77">
        <v>390</v>
      </c>
      <c r="F9" s="77">
        <v>0</v>
      </c>
      <c r="G9" s="77">
        <v>0</v>
      </c>
      <c r="H9" s="77">
        <v>0</v>
      </c>
      <c r="I9" s="77" t="s">
        <v>29</v>
      </c>
      <c r="J9" s="76"/>
    </row>
    <row r="10" spans="1:10" x14ac:dyDescent="0.25">
      <c r="A10" s="18">
        <f t="shared" si="0"/>
        <v>45481</v>
      </c>
      <c r="B10" s="77">
        <v>0</v>
      </c>
      <c r="C10" s="77">
        <v>331</v>
      </c>
      <c r="D10" s="77">
        <v>0</v>
      </c>
      <c r="E10" s="77">
        <v>427</v>
      </c>
      <c r="F10" s="77">
        <v>0</v>
      </c>
      <c r="G10" s="77">
        <v>0</v>
      </c>
      <c r="H10" s="77">
        <v>0</v>
      </c>
      <c r="I10" s="77" t="s">
        <v>29</v>
      </c>
      <c r="J10" s="76" t="s">
        <v>103</v>
      </c>
    </row>
    <row r="11" spans="1:10" x14ac:dyDescent="0.25">
      <c r="A11" s="18">
        <f t="shared" si="0"/>
        <v>45482</v>
      </c>
      <c r="B11" s="77">
        <v>0</v>
      </c>
      <c r="C11" s="77">
        <v>350</v>
      </c>
      <c r="D11" s="77">
        <v>0</v>
      </c>
      <c r="E11" s="77">
        <v>383</v>
      </c>
      <c r="F11" s="77">
        <v>0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18">
        <f t="shared" si="0"/>
        <v>45483</v>
      </c>
      <c r="B12" s="77">
        <v>0</v>
      </c>
      <c r="C12" s="77">
        <v>350</v>
      </c>
      <c r="D12" s="77">
        <v>0</v>
      </c>
      <c r="E12" s="77">
        <v>414</v>
      </c>
      <c r="F12" s="77">
        <v>0</v>
      </c>
      <c r="G12" s="77">
        <v>0</v>
      </c>
      <c r="H12" s="77">
        <v>0</v>
      </c>
      <c r="I12" s="77" t="s">
        <v>29</v>
      </c>
      <c r="J12" s="76"/>
    </row>
    <row r="13" spans="1:10" x14ac:dyDescent="0.25">
      <c r="A13" s="18">
        <f t="shared" si="0"/>
        <v>45484</v>
      </c>
      <c r="B13" s="77">
        <v>0</v>
      </c>
      <c r="C13" s="77">
        <v>381</v>
      </c>
      <c r="D13" s="77">
        <v>0</v>
      </c>
      <c r="E13" s="77">
        <v>410</v>
      </c>
      <c r="F13" s="77">
        <v>0</v>
      </c>
      <c r="G13" s="77">
        <v>0</v>
      </c>
      <c r="H13" s="77">
        <v>0</v>
      </c>
      <c r="I13" s="77" t="s">
        <v>29</v>
      </c>
      <c r="J13" s="76" t="s">
        <v>104</v>
      </c>
    </row>
    <row r="14" spans="1:10" x14ac:dyDescent="0.25">
      <c r="A14" s="18">
        <f t="shared" si="0"/>
        <v>45485</v>
      </c>
      <c r="B14" s="77">
        <v>0</v>
      </c>
      <c r="C14" s="77">
        <v>421</v>
      </c>
      <c r="D14" s="77">
        <v>0</v>
      </c>
      <c r="E14" s="77">
        <v>458</v>
      </c>
      <c r="F14" s="77">
        <v>0</v>
      </c>
      <c r="G14" s="77">
        <v>0</v>
      </c>
      <c r="H14" s="77">
        <v>0</v>
      </c>
      <c r="I14" s="77" t="s">
        <v>29</v>
      </c>
      <c r="J14" s="76" t="s">
        <v>105</v>
      </c>
    </row>
    <row r="15" spans="1:10" x14ac:dyDescent="0.25">
      <c r="A15" s="18">
        <f t="shared" si="0"/>
        <v>45486</v>
      </c>
      <c r="B15" s="77">
        <v>0</v>
      </c>
      <c r="C15" s="77">
        <v>460</v>
      </c>
      <c r="D15" s="77">
        <v>0</v>
      </c>
      <c r="E15" s="77">
        <v>488</v>
      </c>
      <c r="F15" s="77">
        <v>0</v>
      </c>
      <c r="G15" s="77">
        <v>0</v>
      </c>
      <c r="H15" s="77">
        <v>0</v>
      </c>
      <c r="I15" s="77" t="s">
        <v>29</v>
      </c>
      <c r="J15" s="76" t="s">
        <v>106</v>
      </c>
    </row>
    <row r="16" spans="1:10" x14ac:dyDescent="0.25">
      <c r="A16" s="18">
        <f t="shared" si="0"/>
        <v>45487</v>
      </c>
      <c r="B16" s="77">
        <v>0</v>
      </c>
      <c r="C16" s="77">
        <v>416</v>
      </c>
      <c r="D16" s="77">
        <v>15</v>
      </c>
      <c r="E16" s="77">
        <v>485</v>
      </c>
      <c r="F16" s="77">
        <v>0</v>
      </c>
      <c r="G16" s="77">
        <v>0</v>
      </c>
      <c r="H16" s="77">
        <v>0</v>
      </c>
      <c r="I16" s="77" t="s">
        <v>29</v>
      </c>
      <c r="J16" s="76" t="s">
        <v>107</v>
      </c>
    </row>
    <row r="17" spans="1:10" x14ac:dyDescent="0.25">
      <c r="A17" s="18">
        <f t="shared" si="0"/>
        <v>45488</v>
      </c>
      <c r="B17" s="77">
        <v>0</v>
      </c>
      <c r="C17" s="77">
        <v>419</v>
      </c>
      <c r="D17" s="77">
        <v>11</v>
      </c>
      <c r="E17" s="77">
        <v>509</v>
      </c>
      <c r="F17" s="77">
        <v>0</v>
      </c>
      <c r="G17" s="77">
        <v>0</v>
      </c>
      <c r="H17" s="77">
        <v>0</v>
      </c>
      <c r="I17" s="77" t="s">
        <v>29</v>
      </c>
      <c r="J17" s="76" t="s">
        <v>108</v>
      </c>
    </row>
    <row r="18" spans="1:10" x14ac:dyDescent="0.25">
      <c r="A18" s="18">
        <f t="shared" si="0"/>
        <v>45489</v>
      </c>
      <c r="B18" s="77">
        <v>0</v>
      </c>
      <c r="C18" s="77">
        <v>450</v>
      </c>
      <c r="D18" s="77">
        <v>10</v>
      </c>
      <c r="E18" s="77">
        <v>557</v>
      </c>
      <c r="F18" s="77">
        <v>0</v>
      </c>
      <c r="G18" s="77">
        <v>0</v>
      </c>
      <c r="H18" s="77">
        <v>0</v>
      </c>
      <c r="I18" s="77" t="s">
        <v>29</v>
      </c>
      <c r="J18" s="76"/>
    </row>
    <row r="19" spans="1:10" x14ac:dyDescent="0.25">
      <c r="A19" s="18">
        <f t="shared" si="0"/>
        <v>45490</v>
      </c>
      <c r="B19" s="77">
        <v>0</v>
      </c>
      <c r="C19" s="77">
        <v>386</v>
      </c>
      <c r="D19" s="77">
        <v>25</v>
      </c>
      <c r="E19" s="77">
        <v>555</v>
      </c>
      <c r="F19" s="77">
        <v>0</v>
      </c>
      <c r="G19" s="77">
        <v>0</v>
      </c>
      <c r="H19" s="77">
        <v>0</v>
      </c>
      <c r="I19" s="77" t="s">
        <v>29</v>
      </c>
      <c r="J19" s="76" t="s">
        <v>109</v>
      </c>
    </row>
    <row r="20" spans="1:10" x14ac:dyDescent="0.25">
      <c r="A20" s="18">
        <f t="shared" si="0"/>
        <v>45491</v>
      </c>
      <c r="B20" s="77">
        <v>0</v>
      </c>
      <c r="C20" s="77">
        <v>419</v>
      </c>
      <c r="D20" s="77">
        <v>19</v>
      </c>
      <c r="E20" s="77">
        <v>572</v>
      </c>
      <c r="F20" s="77">
        <v>0</v>
      </c>
      <c r="G20" s="77">
        <v>0</v>
      </c>
      <c r="H20" s="77">
        <v>0</v>
      </c>
      <c r="I20" s="77" t="s">
        <v>29</v>
      </c>
      <c r="J20" s="76" t="s">
        <v>110</v>
      </c>
    </row>
    <row r="21" spans="1:10" x14ac:dyDescent="0.25">
      <c r="A21" s="18">
        <f t="shared" si="0"/>
        <v>45492</v>
      </c>
      <c r="B21" s="77">
        <v>0</v>
      </c>
      <c r="C21" s="77">
        <v>481</v>
      </c>
      <c r="D21" s="77">
        <v>0</v>
      </c>
      <c r="E21" s="77">
        <v>561</v>
      </c>
      <c r="F21" s="77">
        <v>0</v>
      </c>
      <c r="G21" s="77">
        <v>0</v>
      </c>
      <c r="H21" s="77">
        <v>0</v>
      </c>
      <c r="I21" s="77" t="s">
        <v>29</v>
      </c>
      <c r="J21" s="76" t="s">
        <v>111</v>
      </c>
    </row>
    <row r="22" spans="1:10" x14ac:dyDescent="0.25">
      <c r="A22" s="18">
        <f t="shared" si="0"/>
        <v>45493</v>
      </c>
      <c r="B22" s="77">
        <v>0</v>
      </c>
      <c r="C22" s="77">
        <v>479</v>
      </c>
      <c r="D22" s="77">
        <v>0</v>
      </c>
      <c r="E22" s="77">
        <v>574</v>
      </c>
      <c r="F22" s="77">
        <v>0</v>
      </c>
      <c r="G22" s="77">
        <v>0</v>
      </c>
      <c r="H22" s="77">
        <v>0</v>
      </c>
      <c r="I22" s="77" t="s">
        <v>29</v>
      </c>
      <c r="J22" s="76" t="s">
        <v>112</v>
      </c>
    </row>
    <row r="23" spans="1:10" x14ac:dyDescent="0.25">
      <c r="A23" s="18">
        <f t="shared" si="0"/>
        <v>45494</v>
      </c>
      <c r="B23" s="77">
        <v>0</v>
      </c>
      <c r="C23" s="77">
        <v>429</v>
      </c>
      <c r="D23" s="77">
        <v>0</v>
      </c>
      <c r="E23" s="77">
        <v>579</v>
      </c>
      <c r="F23" s="77">
        <v>0</v>
      </c>
      <c r="G23" s="77">
        <v>0</v>
      </c>
      <c r="H23" s="77">
        <v>0</v>
      </c>
      <c r="I23" s="77" t="s">
        <v>29</v>
      </c>
      <c r="J23" s="76" t="s">
        <v>113</v>
      </c>
    </row>
    <row r="24" spans="1:10" x14ac:dyDescent="0.25">
      <c r="A24" s="18">
        <f t="shared" si="0"/>
        <v>45495</v>
      </c>
      <c r="B24" s="77">
        <v>0</v>
      </c>
      <c r="C24" s="77">
        <v>385</v>
      </c>
      <c r="D24" s="77">
        <v>0</v>
      </c>
      <c r="E24" s="77">
        <v>561</v>
      </c>
      <c r="F24" s="77">
        <v>0</v>
      </c>
      <c r="G24" s="77">
        <v>0</v>
      </c>
      <c r="H24" s="77">
        <v>0</v>
      </c>
      <c r="I24" s="77" t="s">
        <v>29</v>
      </c>
      <c r="J24" s="76" t="s">
        <v>114</v>
      </c>
    </row>
    <row r="25" spans="1:10" x14ac:dyDescent="0.25">
      <c r="A25" s="18">
        <f t="shared" si="0"/>
        <v>45496</v>
      </c>
      <c r="B25" s="77">
        <v>0</v>
      </c>
      <c r="C25" s="77">
        <v>441</v>
      </c>
      <c r="D25" s="77">
        <v>0</v>
      </c>
      <c r="E25" s="77">
        <v>545</v>
      </c>
      <c r="F25" s="77">
        <v>0</v>
      </c>
      <c r="G25" s="77">
        <v>0</v>
      </c>
      <c r="H25" s="77">
        <v>0</v>
      </c>
      <c r="I25" s="77" t="s">
        <v>29</v>
      </c>
      <c r="J25" s="76" t="s">
        <v>115</v>
      </c>
    </row>
    <row r="26" spans="1:10" x14ac:dyDescent="0.25">
      <c r="A26" s="18">
        <f t="shared" si="0"/>
        <v>45497</v>
      </c>
      <c r="B26" s="77">
        <v>0</v>
      </c>
      <c r="C26" s="77">
        <v>466</v>
      </c>
      <c r="D26" s="77">
        <v>0</v>
      </c>
      <c r="E26" s="77">
        <v>552</v>
      </c>
      <c r="F26" s="77">
        <v>0</v>
      </c>
      <c r="G26" s="77">
        <v>0</v>
      </c>
      <c r="H26" s="77">
        <v>0</v>
      </c>
      <c r="I26" s="77" t="s">
        <v>29</v>
      </c>
      <c r="J26" s="76" t="s">
        <v>116</v>
      </c>
    </row>
    <row r="27" spans="1:10" x14ac:dyDescent="0.25">
      <c r="A27" s="18">
        <f t="shared" si="0"/>
        <v>45498</v>
      </c>
      <c r="B27" s="77">
        <v>0</v>
      </c>
      <c r="C27" s="77">
        <v>431</v>
      </c>
      <c r="D27" s="77">
        <v>0</v>
      </c>
      <c r="E27" s="77">
        <v>537</v>
      </c>
      <c r="F27" s="77">
        <v>0</v>
      </c>
      <c r="G27" s="77">
        <v>0</v>
      </c>
      <c r="H27" s="77">
        <v>0</v>
      </c>
      <c r="I27" s="77" t="s">
        <v>29</v>
      </c>
      <c r="J27" s="76" t="s">
        <v>117</v>
      </c>
    </row>
    <row r="28" spans="1:10" x14ac:dyDescent="0.25">
      <c r="A28" s="18">
        <f t="shared" si="0"/>
        <v>45499</v>
      </c>
      <c r="B28" s="77">
        <v>0</v>
      </c>
      <c r="C28" s="77">
        <v>400</v>
      </c>
      <c r="D28" s="77">
        <v>3</v>
      </c>
      <c r="E28" s="77">
        <v>515</v>
      </c>
      <c r="F28" s="77">
        <v>0</v>
      </c>
      <c r="G28" s="77">
        <v>0</v>
      </c>
      <c r="H28" s="77">
        <v>0</v>
      </c>
      <c r="I28" s="77" t="s">
        <v>29</v>
      </c>
      <c r="J28" s="76"/>
    </row>
    <row r="29" spans="1:10" x14ac:dyDescent="0.25">
      <c r="A29" s="18">
        <f t="shared" si="0"/>
        <v>45500</v>
      </c>
      <c r="B29" s="77">
        <v>0</v>
      </c>
      <c r="C29" s="77">
        <v>365</v>
      </c>
      <c r="D29" s="77">
        <v>26</v>
      </c>
      <c r="E29" s="77">
        <v>544</v>
      </c>
      <c r="F29" s="77">
        <v>0</v>
      </c>
      <c r="G29" s="77">
        <v>0</v>
      </c>
      <c r="H29" s="77">
        <v>0</v>
      </c>
      <c r="I29" s="77" t="s">
        <v>29</v>
      </c>
      <c r="J29" s="76" t="s">
        <v>118</v>
      </c>
    </row>
    <row r="30" spans="1:10" x14ac:dyDescent="0.25">
      <c r="A30" s="18">
        <f t="shared" si="0"/>
        <v>45501</v>
      </c>
      <c r="B30" s="77">
        <v>0</v>
      </c>
      <c r="C30" s="77">
        <v>350</v>
      </c>
      <c r="D30" s="77">
        <v>4</v>
      </c>
      <c r="E30" s="77">
        <v>557</v>
      </c>
      <c r="F30" s="77">
        <v>0</v>
      </c>
      <c r="G30" s="77">
        <v>0</v>
      </c>
      <c r="H30" s="77">
        <v>0</v>
      </c>
      <c r="I30" s="77" t="s">
        <v>29</v>
      </c>
      <c r="J30" s="76"/>
    </row>
    <row r="31" spans="1:10" x14ac:dyDescent="0.25">
      <c r="A31" s="18">
        <f t="shared" si="0"/>
        <v>45502</v>
      </c>
      <c r="B31" s="77">
        <v>0</v>
      </c>
      <c r="C31" s="77">
        <v>350</v>
      </c>
      <c r="D31" s="77">
        <v>0</v>
      </c>
      <c r="E31" s="77">
        <v>573</v>
      </c>
      <c r="F31" s="77">
        <v>0</v>
      </c>
      <c r="G31" s="77">
        <v>0</v>
      </c>
      <c r="H31" s="77">
        <v>0</v>
      </c>
      <c r="I31" s="77"/>
      <c r="J31" s="76"/>
    </row>
    <row r="32" spans="1:10" x14ac:dyDescent="0.25">
      <c r="A32" s="18">
        <f t="shared" si="0"/>
        <v>45503</v>
      </c>
      <c r="B32" s="77">
        <v>0</v>
      </c>
      <c r="C32" s="77">
        <v>372</v>
      </c>
      <c r="D32" s="77">
        <v>0</v>
      </c>
      <c r="E32" s="77">
        <v>548</v>
      </c>
      <c r="F32" s="77">
        <v>0</v>
      </c>
      <c r="G32" s="77">
        <v>0</v>
      </c>
      <c r="H32" s="77">
        <v>0</v>
      </c>
      <c r="I32" s="77"/>
      <c r="J32" s="76" t="s">
        <v>119</v>
      </c>
    </row>
    <row r="33" spans="1:15" ht="15.75" thickBot="1" x14ac:dyDescent="0.3">
      <c r="A33" s="18">
        <f t="shared" si="0"/>
        <v>45504</v>
      </c>
      <c r="B33" s="77">
        <v>0</v>
      </c>
      <c r="C33" s="77">
        <v>414</v>
      </c>
      <c r="D33" s="77">
        <v>0</v>
      </c>
      <c r="E33" s="77">
        <v>535</v>
      </c>
      <c r="F33" s="77">
        <v>0</v>
      </c>
      <c r="G33" s="77">
        <v>0</v>
      </c>
      <c r="H33" s="77">
        <v>0</v>
      </c>
      <c r="I33" s="77"/>
      <c r="J33" s="76" t="s">
        <v>120</v>
      </c>
    </row>
    <row r="34" spans="1:15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12029</v>
      </c>
      <c r="D34" s="11">
        <f t="shared" si="1"/>
        <v>116</v>
      </c>
      <c r="E34" s="11">
        <f t="shared" si="1"/>
        <v>15404</v>
      </c>
      <c r="F34" s="12">
        <f t="shared" si="1"/>
        <v>0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SUM(B34+'Jun 2024'!B34)</f>
        <v>0</v>
      </c>
      <c r="C35" s="14">
        <f>SUM(C34+'Jun 2024'!C34)</f>
        <v>47087</v>
      </c>
      <c r="D35" s="14">
        <f>SUM(D34+'Jun 2024'!D34)</f>
        <v>22771</v>
      </c>
      <c r="E35" s="14">
        <f>SUM(E34+'Jun 2024'!E34)</f>
        <v>67285</v>
      </c>
      <c r="F35" s="15">
        <f>SUM(F34+'Jun 2024'!F34)</f>
        <v>8.14</v>
      </c>
      <c r="G35" s="15">
        <f>SUM(G34+'Jun 2024'!G34)</f>
        <v>10.65</v>
      </c>
      <c r="H35" s="14">
        <f>SUM(H34+'Jun 2024'!H34)</f>
        <v>6707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23859.521499999999</v>
      </c>
      <c r="D37" s="17">
        <f>SUM(D3:D33)*1.9835</f>
        <v>230.08600000000001</v>
      </c>
      <c r="E37" s="17">
        <f>SUM(E3:E33)*1.9835</f>
        <v>30553.833999999999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SUM(B37+'Jun 2024'!B38)</f>
        <v>0</v>
      </c>
      <c r="C39" s="17">
        <f>SUM(C37+'Jun 2024'!C38)</f>
        <v>101154.533</v>
      </c>
      <c r="D39" s="17">
        <f>SUM(D37+'Jun 2024'!D38)</f>
        <v>52830.522500000006</v>
      </c>
      <c r="E39" s="17">
        <f>SUM(E37+'Jun 2024'!E38)</f>
        <v>141671.48750000002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7"/>
  <sheetViews>
    <sheetView zoomScale="80" zoomScaleNormal="8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I33" sqref="I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2.140625" bestFit="1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45444</v>
      </c>
      <c r="B3" s="77">
        <v>0</v>
      </c>
      <c r="C3" s="77">
        <v>244</v>
      </c>
      <c r="D3" s="77">
        <v>52</v>
      </c>
      <c r="E3" s="77">
        <v>347</v>
      </c>
      <c r="F3" s="77">
        <v>0</v>
      </c>
      <c r="G3" s="77">
        <v>0</v>
      </c>
      <c r="H3" s="77">
        <v>0</v>
      </c>
      <c r="I3" s="77" t="s">
        <v>29</v>
      </c>
      <c r="J3" s="76" t="s">
        <v>78</v>
      </c>
    </row>
    <row r="4" spans="1:10" x14ac:dyDescent="0.25">
      <c r="A4" s="18">
        <f>A3+1</f>
        <v>45445</v>
      </c>
      <c r="B4" s="77">
        <v>0</v>
      </c>
      <c r="C4" s="77">
        <v>180</v>
      </c>
      <c r="D4" s="77">
        <v>31</v>
      </c>
      <c r="E4" s="77">
        <v>315</v>
      </c>
      <c r="F4" s="77">
        <v>0</v>
      </c>
      <c r="G4" s="77">
        <v>0</v>
      </c>
      <c r="H4" s="77">
        <v>0</v>
      </c>
      <c r="I4" s="77" t="s">
        <v>29</v>
      </c>
      <c r="J4" s="76" t="s">
        <v>79</v>
      </c>
    </row>
    <row r="5" spans="1:10" x14ac:dyDescent="0.25">
      <c r="A5" s="18">
        <f t="shared" ref="A5:A32" si="0">A4+1</f>
        <v>45446</v>
      </c>
      <c r="B5" s="77">
        <v>0</v>
      </c>
      <c r="C5" s="77">
        <v>150</v>
      </c>
      <c r="D5" s="77">
        <v>21</v>
      </c>
      <c r="E5" s="77">
        <v>326</v>
      </c>
      <c r="F5" s="77">
        <v>0.01</v>
      </c>
      <c r="G5" s="77">
        <v>0</v>
      </c>
      <c r="H5" s="77">
        <v>0</v>
      </c>
      <c r="I5" s="77" t="s">
        <v>29</v>
      </c>
      <c r="J5" s="76"/>
    </row>
    <row r="6" spans="1:10" x14ac:dyDescent="0.25">
      <c r="A6" s="18">
        <f t="shared" si="0"/>
        <v>45447</v>
      </c>
      <c r="B6" s="77">
        <v>0</v>
      </c>
      <c r="C6" s="77">
        <v>150</v>
      </c>
      <c r="D6" s="77">
        <v>0</v>
      </c>
      <c r="E6" s="77">
        <v>348</v>
      </c>
      <c r="F6" s="77">
        <v>0</v>
      </c>
      <c r="G6" s="77">
        <v>0</v>
      </c>
      <c r="H6" s="77">
        <v>0</v>
      </c>
      <c r="I6" s="77" t="s">
        <v>29</v>
      </c>
      <c r="J6" s="76"/>
    </row>
    <row r="7" spans="1:10" x14ac:dyDescent="0.25">
      <c r="A7" s="18">
        <f t="shared" si="0"/>
        <v>45448</v>
      </c>
      <c r="B7" s="77">
        <v>0</v>
      </c>
      <c r="C7" s="77">
        <v>171</v>
      </c>
      <c r="D7" s="77">
        <v>0</v>
      </c>
      <c r="E7" s="77">
        <v>365</v>
      </c>
      <c r="F7" s="77">
        <v>0</v>
      </c>
      <c r="G7" s="77">
        <v>0</v>
      </c>
      <c r="H7" s="77">
        <v>0</v>
      </c>
      <c r="I7" s="77" t="s">
        <v>29</v>
      </c>
      <c r="J7" s="76" t="s">
        <v>80</v>
      </c>
    </row>
    <row r="8" spans="1:10" x14ac:dyDescent="0.25">
      <c r="A8" s="18">
        <f t="shared" si="0"/>
        <v>45449</v>
      </c>
      <c r="B8" s="77">
        <v>0</v>
      </c>
      <c r="C8" s="77">
        <v>246</v>
      </c>
      <c r="D8" s="77">
        <v>0</v>
      </c>
      <c r="E8" s="77">
        <v>360</v>
      </c>
      <c r="F8" s="77">
        <v>0</v>
      </c>
      <c r="G8" s="77">
        <v>0</v>
      </c>
      <c r="H8" s="77">
        <v>0</v>
      </c>
      <c r="I8" s="77" t="s">
        <v>29</v>
      </c>
      <c r="J8" s="76" t="s">
        <v>81</v>
      </c>
    </row>
    <row r="9" spans="1:10" x14ac:dyDescent="0.25">
      <c r="A9" s="18">
        <f t="shared" si="0"/>
        <v>45450</v>
      </c>
      <c r="B9" s="77">
        <v>0</v>
      </c>
      <c r="C9" s="77">
        <v>308</v>
      </c>
      <c r="D9" s="77">
        <v>0</v>
      </c>
      <c r="E9" s="77">
        <v>386</v>
      </c>
      <c r="F9" s="77">
        <v>0</v>
      </c>
      <c r="G9" s="77">
        <v>0</v>
      </c>
      <c r="H9" s="77">
        <v>0</v>
      </c>
      <c r="I9" s="77" t="s">
        <v>29</v>
      </c>
      <c r="J9" s="76" t="s">
        <v>82</v>
      </c>
    </row>
    <row r="10" spans="1:10" x14ac:dyDescent="0.25">
      <c r="A10" s="18">
        <f t="shared" si="0"/>
        <v>45451</v>
      </c>
      <c r="B10" s="77">
        <v>0</v>
      </c>
      <c r="C10" s="77">
        <v>336</v>
      </c>
      <c r="D10" s="77">
        <v>0</v>
      </c>
      <c r="E10" s="77">
        <v>411</v>
      </c>
      <c r="F10" s="77">
        <v>0.15</v>
      </c>
      <c r="G10" s="77">
        <v>0</v>
      </c>
      <c r="H10" s="77">
        <v>0</v>
      </c>
      <c r="I10" s="77" t="s">
        <v>29</v>
      </c>
      <c r="J10" s="76" t="s">
        <v>83</v>
      </c>
    </row>
    <row r="11" spans="1:10" x14ac:dyDescent="0.25">
      <c r="A11" s="18">
        <f t="shared" si="0"/>
        <v>45452</v>
      </c>
      <c r="B11" s="77">
        <v>0</v>
      </c>
      <c r="C11" s="77">
        <v>300</v>
      </c>
      <c r="D11" s="77">
        <v>0</v>
      </c>
      <c r="E11" s="77">
        <v>438</v>
      </c>
      <c r="F11" s="77">
        <v>0.08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18">
        <f t="shared" si="0"/>
        <v>45453</v>
      </c>
      <c r="B12" s="77">
        <v>0</v>
      </c>
      <c r="C12" s="77">
        <v>300</v>
      </c>
      <c r="D12" s="77">
        <v>2</v>
      </c>
      <c r="E12" s="77">
        <v>449</v>
      </c>
      <c r="F12" s="77">
        <v>0</v>
      </c>
      <c r="G12" s="77">
        <v>0</v>
      </c>
      <c r="H12" s="77">
        <v>0</v>
      </c>
      <c r="I12" s="77" t="s">
        <v>29</v>
      </c>
      <c r="J12" s="76"/>
    </row>
    <row r="13" spans="1:10" x14ac:dyDescent="0.25">
      <c r="A13" s="18">
        <f t="shared" si="0"/>
        <v>45454</v>
      </c>
      <c r="B13" s="77">
        <v>0</v>
      </c>
      <c r="C13" s="77">
        <v>300</v>
      </c>
      <c r="D13" s="77">
        <v>1</v>
      </c>
      <c r="E13" s="77">
        <v>456</v>
      </c>
      <c r="F13" s="77">
        <v>0</v>
      </c>
      <c r="G13" s="77">
        <v>0</v>
      </c>
      <c r="H13" s="77">
        <v>0</v>
      </c>
      <c r="I13" s="77" t="s">
        <v>29</v>
      </c>
      <c r="J13" s="76"/>
    </row>
    <row r="14" spans="1:10" x14ac:dyDescent="0.25">
      <c r="A14" s="18">
        <f t="shared" si="0"/>
        <v>45455</v>
      </c>
      <c r="B14" s="77">
        <v>0</v>
      </c>
      <c r="C14" s="77">
        <v>324</v>
      </c>
      <c r="D14" s="77">
        <v>0</v>
      </c>
      <c r="E14" s="77">
        <v>454</v>
      </c>
      <c r="F14" s="77">
        <v>0</v>
      </c>
      <c r="G14" s="77">
        <v>0</v>
      </c>
      <c r="H14" s="77">
        <v>0</v>
      </c>
      <c r="I14" s="77" t="s">
        <v>29</v>
      </c>
      <c r="J14" s="76" t="s">
        <v>84</v>
      </c>
    </row>
    <row r="15" spans="1:10" x14ac:dyDescent="0.25">
      <c r="A15" s="18">
        <f t="shared" si="0"/>
        <v>45456</v>
      </c>
      <c r="B15" s="77">
        <v>0</v>
      </c>
      <c r="C15" s="77">
        <v>410</v>
      </c>
      <c r="D15" s="77">
        <v>0</v>
      </c>
      <c r="E15" s="77">
        <v>494</v>
      </c>
      <c r="F15" s="77">
        <v>0</v>
      </c>
      <c r="G15" s="77">
        <v>0</v>
      </c>
      <c r="H15" s="77">
        <v>0</v>
      </c>
      <c r="I15" s="77" t="s">
        <v>29</v>
      </c>
      <c r="J15" s="76" t="s">
        <v>85</v>
      </c>
    </row>
    <row r="16" spans="1:10" x14ac:dyDescent="0.25">
      <c r="A16" s="18">
        <f t="shared" si="0"/>
        <v>45457</v>
      </c>
      <c r="B16" s="77">
        <v>0</v>
      </c>
      <c r="C16" s="77">
        <v>465</v>
      </c>
      <c r="D16" s="77">
        <v>0</v>
      </c>
      <c r="E16" s="77">
        <v>544</v>
      </c>
      <c r="F16" s="77">
        <v>0</v>
      </c>
      <c r="G16" s="77">
        <v>0</v>
      </c>
      <c r="H16" s="77">
        <v>0</v>
      </c>
      <c r="I16" s="77" t="s">
        <v>29</v>
      </c>
      <c r="J16" s="236" t="s">
        <v>86</v>
      </c>
    </row>
    <row r="17" spans="1:10" x14ac:dyDescent="0.25">
      <c r="A17" s="18">
        <f t="shared" si="0"/>
        <v>45458</v>
      </c>
      <c r="B17" s="77">
        <v>0</v>
      </c>
      <c r="C17" s="77">
        <v>454</v>
      </c>
      <c r="D17" s="77">
        <v>0</v>
      </c>
      <c r="E17" s="77">
        <v>564</v>
      </c>
      <c r="F17" s="77">
        <v>0</v>
      </c>
      <c r="G17" s="77">
        <v>0</v>
      </c>
      <c r="H17" s="77">
        <v>0</v>
      </c>
      <c r="I17" s="77" t="s">
        <v>29</v>
      </c>
      <c r="J17" s="76" t="s">
        <v>87</v>
      </c>
    </row>
    <row r="18" spans="1:10" x14ac:dyDescent="0.25">
      <c r="A18" s="18">
        <f t="shared" si="0"/>
        <v>45459</v>
      </c>
      <c r="B18" s="237">
        <v>0</v>
      </c>
      <c r="C18" s="77">
        <v>470</v>
      </c>
      <c r="D18" s="77">
        <v>0</v>
      </c>
      <c r="E18" s="77">
        <v>569</v>
      </c>
      <c r="F18" s="77">
        <v>0</v>
      </c>
      <c r="G18" s="77">
        <v>0</v>
      </c>
      <c r="H18" s="77">
        <v>0</v>
      </c>
      <c r="I18" s="77" t="s">
        <v>29</v>
      </c>
      <c r="J18" s="76" t="s">
        <v>88</v>
      </c>
    </row>
    <row r="19" spans="1:10" x14ac:dyDescent="0.25">
      <c r="A19" s="18">
        <f t="shared" si="0"/>
        <v>45460</v>
      </c>
      <c r="B19" s="77">
        <v>0</v>
      </c>
      <c r="C19" s="77">
        <v>435</v>
      </c>
      <c r="D19" s="77">
        <v>15</v>
      </c>
      <c r="E19" s="77">
        <v>581</v>
      </c>
      <c r="F19" s="77">
        <v>0</v>
      </c>
      <c r="G19" s="77">
        <v>0</v>
      </c>
      <c r="H19" s="77">
        <v>0</v>
      </c>
      <c r="I19" s="77" t="s">
        <v>29</v>
      </c>
      <c r="J19" s="76" t="s">
        <v>89</v>
      </c>
    </row>
    <row r="20" spans="1:10" x14ac:dyDescent="0.25">
      <c r="A20" s="18">
        <f t="shared" si="0"/>
        <v>45461</v>
      </c>
      <c r="B20" s="77">
        <v>0</v>
      </c>
      <c r="C20" s="77">
        <v>472</v>
      </c>
      <c r="D20" s="77">
        <v>0</v>
      </c>
      <c r="E20" s="77">
        <v>599</v>
      </c>
      <c r="F20" s="77">
        <v>0</v>
      </c>
      <c r="G20" s="77">
        <v>0</v>
      </c>
      <c r="H20" s="77">
        <v>0</v>
      </c>
      <c r="I20" s="77" t="s">
        <v>29</v>
      </c>
      <c r="J20" s="76" t="s">
        <v>90</v>
      </c>
    </row>
    <row r="21" spans="1:10" x14ac:dyDescent="0.25">
      <c r="A21" s="18">
        <f t="shared" si="0"/>
        <v>45462</v>
      </c>
      <c r="B21" s="77">
        <v>0</v>
      </c>
      <c r="C21" s="77">
        <v>413</v>
      </c>
      <c r="D21" s="77">
        <v>0</v>
      </c>
      <c r="E21" s="77">
        <v>554</v>
      </c>
      <c r="F21" s="77">
        <v>0</v>
      </c>
      <c r="G21" s="77">
        <v>0</v>
      </c>
      <c r="H21" s="77">
        <v>0</v>
      </c>
      <c r="I21" s="77" t="s">
        <v>29</v>
      </c>
      <c r="J21" s="76" t="s">
        <v>91</v>
      </c>
    </row>
    <row r="22" spans="1:10" x14ac:dyDescent="0.25">
      <c r="A22" s="18">
        <f t="shared" si="0"/>
        <v>45463</v>
      </c>
      <c r="B22" s="77">
        <v>0</v>
      </c>
      <c r="C22" s="77">
        <v>473</v>
      </c>
      <c r="D22" s="77">
        <v>0</v>
      </c>
      <c r="E22" s="77">
        <v>554</v>
      </c>
      <c r="F22" s="77">
        <v>0</v>
      </c>
      <c r="G22" s="77">
        <v>0</v>
      </c>
      <c r="H22" s="77">
        <v>0</v>
      </c>
      <c r="I22" s="77" t="s">
        <v>29</v>
      </c>
      <c r="J22" s="76" t="s">
        <v>68</v>
      </c>
    </row>
    <row r="23" spans="1:10" x14ac:dyDescent="0.25">
      <c r="A23" s="18">
        <f t="shared" si="0"/>
        <v>45464</v>
      </c>
      <c r="B23" s="77">
        <v>0</v>
      </c>
      <c r="C23" s="77">
        <v>504</v>
      </c>
      <c r="D23" s="77">
        <v>0</v>
      </c>
      <c r="E23" s="77">
        <v>568</v>
      </c>
      <c r="F23" s="77">
        <v>0</v>
      </c>
      <c r="G23" s="77">
        <v>0</v>
      </c>
      <c r="H23" s="77">
        <v>0</v>
      </c>
      <c r="I23" s="77" t="s">
        <v>29</v>
      </c>
      <c r="J23" s="76" t="s">
        <v>92</v>
      </c>
    </row>
    <row r="24" spans="1:10" x14ac:dyDescent="0.25">
      <c r="A24" s="18">
        <f t="shared" si="0"/>
        <v>45465</v>
      </c>
      <c r="B24" s="77">
        <v>0</v>
      </c>
      <c r="C24" s="77">
        <v>550</v>
      </c>
      <c r="D24" s="77">
        <v>0</v>
      </c>
      <c r="E24" s="77">
        <v>556</v>
      </c>
      <c r="F24" s="77">
        <v>0</v>
      </c>
      <c r="G24" s="77">
        <v>0</v>
      </c>
      <c r="H24" s="77">
        <v>0</v>
      </c>
      <c r="I24" s="77" t="s">
        <v>29</v>
      </c>
      <c r="J24" s="76" t="s">
        <v>93</v>
      </c>
    </row>
    <row r="25" spans="1:10" x14ac:dyDescent="0.25">
      <c r="A25" s="18">
        <f t="shared" si="0"/>
        <v>45466</v>
      </c>
      <c r="B25" s="77">
        <v>0</v>
      </c>
      <c r="C25" s="77">
        <v>450</v>
      </c>
      <c r="D25" s="77">
        <v>0</v>
      </c>
      <c r="E25" s="77">
        <v>566</v>
      </c>
      <c r="F25" s="77">
        <v>0</v>
      </c>
      <c r="G25" s="77">
        <v>0</v>
      </c>
      <c r="H25" s="77">
        <v>0</v>
      </c>
      <c r="I25" s="77" t="s">
        <v>29</v>
      </c>
      <c r="J25" s="76" t="s">
        <v>94</v>
      </c>
    </row>
    <row r="26" spans="1:10" x14ac:dyDescent="0.25">
      <c r="A26" s="18">
        <f t="shared" si="0"/>
        <v>45467</v>
      </c>
      <c r="B26" s="77">
        <v>0</v>
      </c>
      <c r="C26" s="77">
        <v>435</v>
      </c>
      <c r="D26" s="77">
        <v>0</v>
      </c>
      <c r="E26" s="77">
        <v>583</v>
      </c>
      <c r="F26" s="77">
        <v>0</v>
      </c>
      <c r="G26" s="77">
        <v>0</v>
      </c>
      <c r="H26" s="77">
        <v>0</v>
      </c>
      <c r="I26" s="77" t="s">
        <v>29</v>
      </c>
      <c r="J26" s="76"/>
    </row>
    <row r="27" spans="1:10" x14ac:dyDescent="0.25">
      <c r="A27" s="18">
        <f t="shared" si="0"/>
        <v>45468</v>
      </c>
      <c r="B27" s="77">
        <v>0</v>
      </c>
      <c r="C27" s="77">
        <v>501</v>
      </c>
      <c r="D27" s="77">
        <v>0</v>
      </c>
      <c r="E27" s="77">
        <v>572</v>
      </c>
      <c r="F27" s="77">
        <v>0</v>
      </c>
      <c r="G27" s="77">
        <v>0</v>
      </c>
      <c r="H27" s="77">
        <v>0</v>
      </c>
      <c r="I27" s="77" t="s">
        <v>29</v>
      </c>
      <c r="J27" s="76" t="s">
        <v>95</v>
      </c>
    </row>
    <row r="28" spans="1:10" x14ac:dyDescent="0.25">
      <c r="A28" s="18">
        <f t="shared" si="0"/>
        <v>45469</v>
      </c>
      <c r="B28" s="77">
        <v>0</v>
      </c>
      <c r="C28" s="77">
        <v>515</v>
      </c>
      <c r="D28" s="77">
        <v>0</v>
      </c>
      <c r="E28" s="77">
        <v>573</v>
      </c>
      <c r="F28" s="77">
        <v>0</v>
      </c>
      <c r="G28" s="77">
        <v>0</v>
      </c>
      <c r="H28" s="77">
        <v>0</v>
      </c>
      <c r="I28" s="77" t="s">
        <v>29</v>
      </c>
      <c r="J28" s="76" t="s">
        <v>96</v>
      </c>
    </row>
    <row r="29" spans="1:10" x14ac:dyDescent="0.25">
      <c r="A29" s="18">
        <f t="shared" si="0"/>
        <v>45470</v>
      </c>
      <c r="B29" s="77">
        <v>0</v>
      </c>
      <c r="C29" s="77">
        <v>500</v>
      </c>
      <c r="D29" s="77">
        <v>0</v>
      </c>
      <c r="E29" s="77">
        <v>530</v>
      </c>
      <c r="F29" s="77">
        <v>0</v>
      </c>
      <c r="G29" s="77">
        <v>0</v>
      </c>
      <c r="H29" s="77">
        <v>0</v>
      </c>
      <c r="I29" s="77" t="s">
        <v>29</v>
      </c>
      <c r="J29" s="76"/>
    </row>
    <row r="30" spans="1:10" x14ac:dyDescent="0.25">
      <c r="A30" s="18">
        <f t="shared" si="0"/>
        <v>45471</v>
      </c>
      <c r="B30" s="77">
        <v>0</v>
      </c>
      <c r="C30" s="77">
        <v>500</v>
      </c>
      <c r="D30" s="77">
        <v>16</v>
      </c>
      <c r="E30" s="77">
        <v>538</v>
      </c>
      <c r="F30" s="77">
        <v>0</v>
      </c>
      <c r="G30" s="77">
        <v>0</v>
      </c>
      <c r="H30" s="77">
        <v>0</v>
      </c>
      <c r="I30" s="77" t="s">
        <v>29</v>
      </c>
      <c r="J30" s="76"/>
    </row>
    <row r="31" spans="1:10" x14ac:dyDescent="0.25">
      <c r="A31" s="18">
        <f t="shared" si="0"/>
        <v>45472</v>
      </c>
      <c r="B31" s="77">
        <v>0</v>
      </c>
      <c r="C31" s="77">
        <v>467</v>
      </c>
      <c r="D31" s="77">
        <v>19</v>
      </c>
      <c r="E31" s="77">
        <v>540</v>
      </c>
      <c r="F31" s="77">
        <v>0</v>
      </c>
      <c r="G31" s="77">
        <v>0</v>
      </c>
      <c r="H31" s="77">
        <v>0</v>
      </c>
      <c r="I31" s="77" t="s">
        <v>29</v>
      </c>
      <c r="J31" s="76" t="s">
        <v>97</v>
      </c>
    </row>
    <row r="32" spans="1:10" ht="15.75" thickBot="1" x14ac:dyDescent="0.3">
      <c r="A32" s="18">
        <f t="shared" si="0"/>
        <v>45473</v>
      </c>
      <c r="B32" s="77">
        <v>0</v>
      </c>
      <c r="C32" s="77">
        <v>400</v>
      </c>
      <c r="D32" s="77">
        <v>18</v>
      </c>
      <c r="E32" s="77">
        <v>496</v>
      </c>
      <c r="F32" s="77">
        <v>0</v>
      </c>
      <c r="G32" s="77">
        <v>0</v>
      </c>
      <c r="H32" s="77">
        <v>0</v>
      </c>
      <c r="I32" s="77" t="s">
        <v>29</v>
      </c>
      <c r="J32" s="76" t="s">
        <v>98</v>
      </c>
    </row>
    <row r="33" spans="1:15" s="6" customFormat="1" ht="15.75" thickTop="1" x14ac:dyDescent="0.25">
      <c r="A33" s="10" t="s">
        <v>8</v>
      </c>
      <c r="B33" s="11">
        <f>SUM(B3:B32)</f>
        <v>0</v>
      </c>
      <c r="C33" s="11">
        <f t="shared" ref="C33:H33" si="1">SUM(C3:C32)</f>
        <v>11423</v>
      </c>
      <c r="D33" s="11">
        <f t="shared" si="1"/>
        <v>175</v>
      </c>
      <c r="E33" s="11">
        <f t="shared" si="1"/>
        <v>14636</v>
      </c>
      <c r="F33" s="12">
        <f t="shared" si="1"/>
        <v>0.24</v>
      </c>
      <c r="G33" s="12">
        <f t="shared" si="1"/>
        <v>0</v>
      </c>
      <c r="H33" s="11">
        <f t="shared" si="1"/>
        <v>0</v>
      </c>
      <c r="I33" s="12"/>
    </row>
    <row r="34" spans="1:15" s="6" customFormat="1" x14ac:dyDescent="0.25">
      <c r="A34" s="13" t="s">
        <v>9</v>
      </c>
      <c r="B34" s="14">
        <f>SUM(B33+'May 2024'!B35)</f>
        <v>0</v>
      </c>
      <c r="C34" s="14">
        <f>SUM(C33+'May 2024'!C35)</f>
        <v>35058</v>
      </c>
      <c r="D34" s="14">
        <f>SUM(D33+'May 2024'!D35)</f>
        <v>22655</v>
      </c>
      <c r="E34" s="14">
        <f>SUM(E33+'May 2024'!E35)</f>
        <v>51881</v>
      </c>
      <c r="F34" s="15">
        <f>SUM(F33+'May 2024'!F35)</f>
        <v>8.14</v>
      </c>
      <c r="G34" s="15">
        <f>SUM(G33+'May 2024'!G35)</f>
        <v>10.65</v>
      </c>
      <c r="H34" s="14">
        <f>SUM(H33+'May 2024'!H35)</f>
        <v>6707</v>
      </c>
      <c r="I34" s="15"/>
    </row>
    <row r="36" spans="1:15" x14ac:dyDescent="0.25">
      <c r="A36" t="s">
        <v>10</v>
      </c>
      <c r="B36" s="17">
        <f>SUM(B3:B32)*1.9835</f>
        <v>0</v>
      </c>
      <c r="C36" s="17">
        <f>SUM(C3:C32)*1.9835</f>
        <v>22657.520499999999</v>
      </c>
      <c r="D36" s="17">
        <f>SUM(D3:D32)*1.9835</f>
        <v>347.11250000000001</v>
      </c>
      <c r="E36" s="17">
        <f>SUM(E3:E32)*1.9835</f>
        <v>29030.506000000001</v>
      </c>
      <c r="F36" s="17"/>
      <c r="G36" s="17"/>
      <c r="H36" s="17"/>
      <c r="J36" s="16"/>
    </row>
    <row r="38" spans="1:15" x14ac:dyDescent="0.25">
      <c r="A38" t="s">
        <v>24</v>
      </c>
      <c r="B38" s="17">
        <f>SUM(B36+'May 2024'!B39)</f>
        <v>0</v>
      </c>
      <c r="C38" s="17">
        <f>SUM(C36+'May 2024'!C39)</f>
        <v>77295.011499999993</v>
      </c>
      <c r="D38" s="17">
        <f>SUM(D36+'May 2024'!D39)</f>
        <v>52600.436500000003</v>
      </c>
      <c r="E38" s="17">
        <f>SUM(E36+'May 2024'!E39)</f>
        <v>111117.65350000001</v>
      </c>
      <c r="F38" s="17"/>
      <c r="G38" s="17"/>
      <c r="H38" s="17"/>
      <c r="J38" s="16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39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45413</v>
      </c>
      <c r="B3" s="77">
        <v>0</v>
      </c>
      <c r="C3" s="77">
        <v>217</v>
      </c>
      <c r="D3" s="77">
        <v>50</v>
      </c>
      <c r="E3" s="77">
        <v>245</v>
      </c>
      <c r="F3" s="77">
        <v>0</v>
      </c>
      <c r="G3" s="77">
        <v>0</v>
      </c>
      <c r="H3" s="77">
        <v>0</v>
      </c>
      <c r="I3" s="77" t="s">
        <v>29</v>
      </c>
      <c r="J3" s="79" t="s">
        <v>61</v>
      </c>
    </row>
    <row r="4" spans="1:10" x14ac:dyDescent="0.25">
      <c r="A4" s="167">
        <f>A3+1</f>
        <v>45414</v>
      </c>
      <c r="B4" s="77">
        <v>0</v>
      </c>
      <c r="C4" s="77">
        <v>250</v>
      </c>
      <c r="D4" s="77">
        <v>50</v>
      </c>
      <c r="E4" s="77">
        <v>250</v>
      </c>
      <c r="F4" s="77">
        <v>0.08</v>
      </c>
      <c r="G4" s="77">
        <v>0</v>
      </c>
      <c r="H4" s="77">
        <v>0</v>
      </c>
      <c r="I4" s="77" t="s">
        <v>29</v>
      </c>
      <c r="J4" s="79"/>
    </row>
    <row r="5" spans="1:10" x14ac:dyDescent="0.25">
      <c r="A5" s="167">
        <f t="shared" ref="A5:A33" si="0">A4+1</f>
        <v>45415</v>
      </c>
      <c r="B5" s="77">
        <v>0</v>
      </c>
      <c r="C5" s="77">
        <v>250</v>
      </c>
      <c r="D5" s="77">
        <v>57</v>
      </c>
      <c r="E5" s="77">
        <v>236</v>
      </c>
      <c r="F5" s="77">
        <v>0</v>
      </c>
      <c r="G5" s="77">
        <v>0</v>
      </c>
      <c r="H5" s="77">
        <v>0</v>
      </c>
      <c r="I5" s="77" t="s">
        <v>29</v>
      </c>
      <c r="J5" s="79"/>
    </row>
    <row r="6" spans="1:10" x14ac:dyDescent="0.25">
      <c r="A6" s="167">
        <f t="shared" si="0"/>
        <v>45416</v>
      </c>
      <c r="B6" s="77">
        <v>0</v>
      </c>
      <c r="C6" s="77">
        <v>204</v>
      </c>
      <c r="D6" s="77">
        <v>75</v>
      </c>
      <c r="E6" s="77">
        <v>222</v>
      </c>
      <c r="F6" s="77">
        <v>0.22</v>
      </c>
      <c r="G6" s="77">
        <v>0</v>
      </c>
      <c r="H6" s="77">
        <v>0</v>
      </c>
      <c r="I6" s="77" t="s">
        <v>29</v>
      </c>
      <c r="J6" s="79" t="s">
        <v>62</v>
      </c>
    </row>
    <row r="7" spans="1:10" x14ac:dyDescent="0.25">
      <c r="A7" s="167">
        <f t="shared" si="0"/>
        <v>45417</v>
      </c>
      <c r="B7" s="77">
        <v>0</v>
      </c>
      <c r="C7" s="77">
        <v>150</v>
      </c>
      <c r="D7" s="77">
        <v>75</v>
      </c>
      <c r="E7" s="77">
        <v>223</v>
      </c>
      <c r="F7" s="77">
        <v>0.02</v>
      </c>
      <c r="G7" s="77">
        <v>0</v>
      </c>
      <c r="H7" s="77">
        <v>0</v>
      </c>
      <c r="I7" s="77" t="s">
        <v>29</v>
      </c>
      <c r="J7" s="79"/>
    </row>
    <row r="8" spans="1:10" x14ac:dyDescent="0.25">
      <c r="A8" s="167">
        <f t="shared" si="0"/>
        <v>45418</v>
      </c>
      <c r="B8" s="77">
        <v>0</v>
      </c>
      <c r="C8" s="77">
        <v>150</v>
      </c>
      <c r="D8" s="77">
        <v>86</v>
      </c>
      <c r="E8" s="77">
        <v>258</v>
      </c>
      <c r="F8" s="77">
        <v>0</v>
      </c>
      <c r="G8" s="77">
        <v>0</v>
      </c>
      <c r="H8" s="77">
        <v>0</v>
      </c>
      <c r="I8" s="77" t="s">
        <v>29</v>
      </c>
      <c r="J8" s="79"/>
    </row>
    <row r="9" spans="1:10" x14ac:dyDescent="0.25">
      <c r="A9" s="167">
        <f t="shared" si="0"/>
        <v>45419</v>
      </c>
      <c r="B9" s="77">
        <v>0</v>
      </c>
      <c r="C9" s="77">
        <v>185</v>
      </c>
      <c r="D9" s="77">
        <v>57</v>
      </c>
      <c r="E9" s="77">
        <v>316</v>
      </c>
      <c r="F9" s="77" t="s">
        <v>30</v>
      </c>
      <c r="G9" s="77">
        <v>0</v>
      </c>
      <c r="H9" s="77">
        <v>0</v>
      </c>
      <c r="I9" s="77" t="s">
        <v>29</v>
      </c>
      <c r="J9" s="79" t="s">
        <v>63</v>
      </c>
    </row>
    <row r="10" spans="1:10" x14ac:dyDescent="0.25">
      <c r="A10" s="167">
        <f t="shared" si="0"/>
        <v>45420</v>
      </c>
      <c r="B10" s="77">
        <v>0</v>
      </c>
      <c r="C10" s="77">
        <v>272</v>
      </c>
      <c r="D10" s="77">
        <v>22</v>
      </c>
      <c r="E10" s="77">
        <v>388</v>
      </c>
      <c r="F10" s="77">
        <v>0</v>
      </c>
      <c r="G10" s="77">
        <v>0</v>
      </c>
      <c r="H10" s="77">
        <v>0</v>
      </c>
      <c r="I10" s="77" t="s">
        <v>29</v>
      </c>
      <c r="J10" s="79" t="s">
        <v>64</v>
      </c>
    </row>
    <row r="11" spans="1:10" x14ac:dyDescent="0.25">
      <c r="A11" s="167">
        <f t="shared" si="0"/>
        <v>45421</v>
      </c>
      <c r="B11" s="77">
        <v>0</v>
      </c>
      <c r="C11" s="77">
        <v>321</v>
      </c>
      <c r="D11" s="77">
        <v>0</v>
      </c>
      <c r="E11" s="77">
        <v>403</v>
      </c>
      <c r="F11" s="77">
        <v>0</v>
      </c>
      <c r="G11" s="77">
        <v>0</v>
      </c>
      <c r="H11" s="77">
        <v>0</v>
      </c>
      <c r="I11" s="77" t="s">
        <v>29</v>
      </c>
      <c r="J11" s="79" t="s">
        <v>65</v>
      </c>
    </row>
    <row r="12" spans="1:10" x14ac:dyDescent="0.25">
      <c r="A12" s="167">
        <f t="shared" si="0"/>
        <v>45422</v>
      </c>
      <c r="B12" s="77">
        <v>0</v>
      </c>
      <c r="C12" s="77">
        <v>350</v>
      </c>
      <c r="D12" s="77">
        <v>0</v>
      </c>
      <c r="E12" s="77">
        <v>417</v>
      </c>
      <c r="F12" s="77">
        <v>0</v>
      </c>
      <c r="G12" s="77">
        <v>0</v>
      </c>
      <c r="H12" s="77">
        <v>0</v>
      </c>
      <c r="I12" s="77" t="s">
        <v>29</v>
      </c>
      <c r="J12" s="79"/>
    </row>
    <row r="13" spans="1:10" x14ac:dyDescent="0.25">
      <c r="A13" s="167">
        <f t="shared" si="0"/>
        <v>45423</v>
      </c>
      <c r="B13" s="77">
        <v>0</v>
      </c>
      <c r="C13" s="77">
        <v>376</v>
      </c>
      <c r="D13" s="77">
        <v>0</v>
      </c>
      <c r="E13" s="77">
        <v>439</v>
      </c>
      <c r="F13" s="77">
        <v>0</v>
      </c>
      <c r="G13" s="77">
        <v>0</v>
      </c>
      <c r="H13" s="77">
        <v>0</v>
      </c>
      <c r="I13" s="77" t="s">
        <v>29</v>
      </c>
      <c r="J13" s="79" t="s">
        <v>66</v>
      </c>
    </row>
    <row r="14" spans="1:10" x14ac:dyDescent="0.25">
      <c r="A14" s="167">
        <f t="shared" si="0"/>
        <v>45424</v>
      </c>
      <c r="B14" s="77">
        <v>0</v>
      </c>
      <c r="C14" s="77">
        <v>433</v>
      </c>
      <c r="D14" s="77">
        <v>0</v>
      </c>
      <c r="E14" s="77">
        <v>447</v>
      </c>
      <c r="F14" s="77">
        <v>0</v>
      </c>
      <c r="G14" s="77">
        <v>0</v>
      </c>
      <c r="H14" s="77">
        <v>0</v>
      </c>
      <c r="I14" s="77" t="s">
        <v>29</v>
      </c>
      <c r="J14" s="79" t="s">
        <v>67</v>
      </c>
    </row>
    <row r="15" spans="1:10" x14ac:dyDescent="0.25">
      <c r="A15" s="167">
        <f t="shared" si="0"/>
        <v>45425</v>
      </c>
      <c r="B15" s="77">
        <v>0</v>
      </c>
      <c r="C15" s="77">
        <v>450</v>
      </c>
      <c r="D15" s="77">
        <v>54</v>
      </c>
      <c r="E15" s="77">
        <v>472</v>
      </c>
      <c r="F15" s="77" t="s">
        <v>30</v>
      </c>
      <c r="G15" s="77">
        <v>0</v>
      </c>
      <c r="H15" s="77">
        <v>0</v>
      </c>
      <c r="I15" s="77" t="s">
        <v>29</v>
      </c>
      <c r="J15" s="79"/>
    </row>
    <row r="16" spans="1:10" x14ac:dyDescent="0.25">
      <c r="A16" s="167">
        <f t="shared" si="0"/>
        <v>45426</v>
      </c>
      <c r="B16" s="77">
        <v>0</v>
      </c>
      <c r="C16" s="77">
        <v>450</v>
      </c>
      <c r="D16" s="77">
        <v>81</v>
      </c>
      <c r="E16" s="77">
        <v>466</v>
      </c>
      <c r="F16" s="77">
        <v>0</v>
      </c>
      <c r="G16" s="77">
        <v>0</v>
      </c>
      <c r="H16" s="77">
        <v>0</v>
      </c>
      <c r="I16" s="77" t="s">
        <v>29</v>
      </c>
      <c r="J16" s="79"/>
    </row>
    <row r="17" spans="1:10" x14ac:dyDescent="0.25">
      <c r="A17" s="167">
        <f t="shared" si="0"/>
        <v>45427</v>
      </c>
      <c r="B17" s="77">
        <v>0</v>
      </c>
      <c r="C17" s="77">
        <v>473</v>
      </c>
      <c r="D17" s="77">
        <v>39</v>
      </c>
      <c r="E17" s="77">
        <v>470</v>
      </c>
      <c r="F17" s="77">
        <v>0</v>
      </c>
      <c r="G17" s="77">
        <v>0</v>
      </c>
      <c r="H17" s="77">
        <v>0</v>
      </c>
      <c r="I17" s="77" t="s">
        <v>29</v>
      </c>
      <c r="J17" s="79" t="s">
        <v>68</v>
      </c>
    </row>
    <row r="18" spans="1:10" x14ac:dyDescent="0.25">
      <c r="A18" s="167">
        <f t="shared" si="0"/>
        <v>45428</v>
      </c>
      <c r="B18" s="77">
        <v>0</v>
      </c>
      <c r="C18" s="77">
        <v>500</v>
      </c>
      <c r="D18" s="77">
        <v>63</v>
      </c>
      <c r="E18" s="77">
        <v>486</v>
      </c>
      <c r="F18" s="77">
        <v>0</v>
      </c>
      <c r="G18" s="77">
        <v>0</v>
      </c>
      <c r="H18" s="77">
        <v>0</v>
      </c>
      <c r="I18" s="77" t="s">
        <v>29</v>
      </c>
      <c r="J18" s="79"/>
    </row>
    <row r="19" spans="1:10" x14ac:dyDescent="0.25">
      <c r="A19" s="167">
        <f t="shared" si="0"/>
        <v>45429</v>
      </c>
      <c r="B19" s="77">
        <v>0</v>
      </c>
      <c r="C19" s="77">
        <v>500</v>
      </c>
      <c r="D19" s="77">
        <v>100</v>
      </c>
      <c r="E19" s="77">
        <v>492</v>
      </c>
      <c r="F19" s="77">
        <v>0</v>
      </c>
      <c r="G19" s="77">
        <v>0</v>
      </c>
      <c r="H19" s="77">
        <v>0</v>
      </c>
      <c r="I19" s="77" t="s">
        <v>29</v>
      </c>
      <c r="J19" s="79"/>
    </row>
    <row r="20" spans="1:10" x14ac:dyDescent="0.25">
      <c r="A20" s="167">
        <f t="shared" si="0"/>
        <v>45430</v>
      </c>
      <c r="B20" s="77">
        <v>0</v>
      </c>
      <c r="C20" s="77">
        <v>500</v>
      </c>
      <c r="D20" s="77">
        <v>100</v>
      </c>
      <c r="E20" s="77">
        <v>489</v>
      </c>
      <c r="F20" s="77">
        <v>0</v>
      </c>
      <c r="G20" s="77">
        <v>0</v>
      </c>
      <c r="H20" s="77">
        <v>0</v>
      </c>
      <c r="I20" s="77" t="s">
        <v>29</v>
      </c>
      <c r="J20" s="76"/>
    </row>
    <row r="21" spans="1:10" x14ac:dyDescent="0.25">
      <c r="A21" s="167">
        <f t="shared" si="0"/>
        <v>45431</v>
      </c>
      <c r="B21" s="77">
        <v>0</v>
      </c>
      <c r="C21" s="77">
        <v>500</v>
      </c>
      <c r="D21" s="77">
        <v>108</v>
      </c>
      <c r="E21" s="77">
        <v>474</v>
      </c>
      <c r="F21" s="77">
        <v>0</v>
      </c>
      <c r="G21" s="77">
        <v>0</v>
      </c>
      <c r="H21" s="77">
        <v>0</v>
      </c>
      <c r="I21" s="77" t="s">
        <v>29</v>
      </c>
      <c r="J21" s="76"/>
    </row>
    <row r="22" spans="1:10" x14ac:dyDescent="0.25">
      <c r="A22" s="167">
        <f t="shared" si="0"/>
        <v>45432</v>
      </c>
      <c r="B22" s="77">
        <v>0</v>
      </c>
      <c r="C22" s="77">
        <v>449</v>
      </c>
      <c r="D22" s="77">
        <v>156</v>
      </c>
      <c r="E22" s="77">
        <v>478</v>
      </c>
      <c r="F22" s="77">
        <v>0</v>
      </c>
      <c r="G22" s="77">
        <v>0</v>
      </c>
      <c r="H22" s="77">
        <v>0</v>
      </c>
      <c r="I22" s="77" t="s">
        <v>29</v>
      </c>
      <c r="J22" s="76" t="s">
        <v>69</v>
      </c>
    </row>
    <row r="23" spans="1:10" x14ac:dyDescent="0.25">
      <c r="A23" s="167">
        <f t="shared" si="0"/>
        <v>45433</v>
      </c>
      <c r="B23" s="77">
        <v>0</v>
      </c>
      <c r="C23" s="77">
        <v>379</v>
      </c>
      <c r="D23" s="77">
        <v>128</v>
      </c>
      <c r="E23" s="77">
        <v>436</v>
      </c>
      <c r="F23" s="77">
        <v>0</v>
      </c>
      <c r="G23" s="77">
        <v>0</v>
      </c>
      <c r="H23" s="77">
        <v>0</v>
      </c>
      <c r="I23" s="77" t="s">
        <v>29</v>
      </c>
      <c r="J23" s="76" t="s">
        <v>70</v>
      </c>
    </row>
    <row r="24" spans="1:10" x14ac:dyDescent="0.25">
      <c r="A24" s="167">
        <f t="shared" si="0"/>
        <v>45434</v>
      </c>
      <c r="B24" s="77">
        <v>0</v>
      </c>
      <c r="C24" s="77">
        <v>317</v>
      </c>
      <c r="D24" s="77">
        <v>82</v>
      </c>
      <c r="E24" s="77">
        <v>413</v>
      </c>
      <c r="F24" s="77">
        <v>0</v>
      </c>
      <c r="G24" s="77">
        <v>0</v>
      </c>
      <c r="H24" s="77">
        <v>0</v>
      </c>
      <c r="I24" s="77" t="s">
        <v>29</v>
      </c>
      <c r="J24" s="76" t="s">
        <v>71</v>
      </c>
    </row>
    <row r="25" spans="1:10" x14ac:dyDescent="0.25">
      <c r="A25" s="167">
        <f t="shared" si="0"/>
        <v>45435</v>
      </c>
      <c r="B25" s="77">
        <v>0</v>
      </c>
      <c r="C25" s="77">
        <v>266</v>
      </c>
      <c r="D25" s="77">
        <v>89</v>
      </c>
      <c r="E25" s="77">
        <v>409</v>
      </c>
      <c r="F25" s="77">
        <v>0</v>
      </c>
      <c r="G25" s="77">
        <v>0</v>
      </c>
      <c r="H25" s="77">
        <v>0</v>
      </c>
      <c r="I25" s="77" t="s">
        <v>29</v>
      </c>
      <c r="J25" s="76" t="s">
        <v>72</v>
      </c>
    </row>
    <row r="26" spans="1:10" x14ac:dyDescent="0.25">
      <c r="A26" s="167">
        <f t="shared" si="0"/>
        <v>45436</v>
      </c>
      <c r="B26" s="77">
        <v>0</v>
      </c>
      <c r="C26" s="77">
        <v>215</v>
      </c>
      <c r="D26" s="77">
        <v>83</v>
      </c>
      <c r="E26" s="77">
        <v>408</v>
      </c>
      <c r="F26" s="77">
        <v>0</v>
      </c>
      <c r="G26" s="77">
        <v>0</v>
      </c>
      <c r="H26" s="77">
        <v>0</v>
      </c>
      <c r="I26" s="77" t="s">
        <v>29</v>
      </c>
      <c r="J26" s="76" t="s">
        <v>75</v>
      </c>
    </row>
    <row r="27" spans="1:10" x14ac:dyDescent="0.25">
      <c r="A27" s="167">
        <f t="shared" si="0"/>
        <v>45437</v>
      </c>
      <c r="B27" s="77">
        <v>0</v>
      </c>
      <c r="C27" s="77">
        <v>200</v>
      </c>
      <c r="D27" s="77">
        <v>41</v>
      </c>
      <c r="E27" s="77">
        <v>399</v>
      </c>
      <c r="F27" s="77">
        <v>0</v>
      </c>
      <c r="G27" s="77">
        <v>0</v>
      </c>
      <c r="H27" s="77">
        <v>0</v>
      </c>
      <c r="I27" s="77" t="s">
        <v>29</v>
      </c>
      <c r="J27" s="76"/>
    </row>
    <row r="28" spans="1:10" x14ac:dyDescent="0.25">
      <c r="A28" s="167">
        <f t="shared" si="0"/>
        <v>45438</v>
      </c>
      <c r="B28" s="77">
        <v>0</v>
      </c>
      <c r="C28" s="77">
        <v>179</v>
      </c>
      <c r="D28" s="77">
        <v>35</v>
      </c>
      <c r="E28" s="77">
        <v>363</v>
      </c>
      <c r="F28" s="77">
        <v>0</v>
      </c>
      <c r="G28" s="77">
        <v>0</v>
      </c>
      <c r="H28" s="77">
        <v>0</v>
      </c>
      <c r="I28" s="77" t="s">
        <v>29</v>
      </c>
      <c r="J28" s="76" t="s">
        <v>76</v>
      </c>
    </row>
    <row r="29" spans="1:10" x14ac:dyDescent="0.25">
      <c r="A29" s="167">
        <f t="shared" si="0"/>
        <v>45439</v>
      </c>
      <c r="B29" s="77">
        <v>0</v>
      </c>
      <c r="C29" s="77">
        <v>150</v>
      </c>
      <c r="D29" s="77">
        <v>50</v>
      </c>
      <c r="E29" s="77">
        <v>357</v>
      </c>
      <c r="F29" s="77">
        <v>0</v>
      </c>
      <c r="G29" s="77">
        <v>0</v>
      </c>
      <c r="H29" s="77">
        <v>0</v>
      </c>
      <c r="I29" s="77" t="s">
        <v>29</v>
      </c>
      <c r="J29" s="76"/>
    </row>
    <row r="30" spans="1:10" x14ac:dyDescent="0.25">
      <c r="A30" s="167">
        <f t="shared" si="0"/>
        <v>45440</v>
      </c>
      <c r="B30" s="77">
        <v>0</v>
      </c>
      <c r="C30" s="77">
        <v>194</v>
      </c>
      <c r="D30" s="77">
        <v>18</v>
      </c>
      <c r="E30" s="77">
        <v>412</v>
      </c>
      <c r="F30" s="77">
        <v>0</v>
      </c>
      <c r="G30" s="77">
        <v>0</v>
      </c>
      <c r="H30" s="77">
        <v>0</v>
      </c>
      <c r="I30" s="77" t="s">
        <v>29</v>
      </c>
      <c r="J30" s="76" t="s">
        <v>77</v>
      </c>
    </row>
    <row r="31" spans="1:10" x14ac:dyDescent="0.25">
      <c r="A31" s="167">
        <f t="shared" si="0"/>
        <v>45441</v>
      </c>
      <c r="B31" s="77">
        <v>0</v>
      </c>
      <c r="C31" s="77">
        <v>296</v>
      </c>
      <c r="D31" s="77">
        <v>0</v>
      </c>
      <c r="E31" s="77">
        <v>407</v>
      </c>
      <c r="F31" s="77">
        <v>0</v>
      </c>
      <c r="G31" s="77">
        <v>0</v>
      </c>
      <c r="H31" s="77">
        <v>0</v>
      </c>
      <c r="I31" s="77" t="s">
        <v>29</v>
      </c>
      <c r="J31" s="76" t="s">
        <v>73</v>
      </c>
    </row>
    <row r="32" spans="1:10" x14ac:dyDescent="0.25">
      <c r="A32" s="167">
        <f t="shared" si="0"/>
        <v>45442</v>
      </c>
      <c r="B32" s="77">
        <v>0</v>
      </c>
      <c r="C32" s="77">
        <v>340</v>
      </c>
      <c r="D32" s="77">
        <v>0</v>
      </c>
      <c r="E32" s="77">
        <v>343</v>
      </c>
      <c r="F32" s="77">
        <v>0</v>
      </c>
      <c r="G32" s="77">
        <v>0</v>
      </c>
      <c r="H32" s="77">
        <v>0</v>
      </c>
      <c r="I32" s="77" t="s">
        <v>29</v>
      </c>
      <c r="J32" s="76" t="s">
        <v>74</v>
      </c>
    </row>
    <row r="33" spans="1:16" ht="15.75" thickBot="1" x14ac:dyDescent="0.3">
      <c r="A33" s="167">
        <f t="shared" si="0"/>
        <v>45443</v>
      </c>
      <c r="B33" s="77">
        <v>0</v>
      </c>
      <c r="C33" s="77">
        <v>300</v>
      </c>
      <c r="D33" s="77">
        <v>26</v>
      </c>
      <c r="E33" s="77">
        <v>338</v>
      </c>
      <c r="F33" s="77">
        <v>0</v>
      </c>
      <c r="G33" s="77">
        <v>0</v>
      </c>
      <c r="H33" s="77">
        <v>0</v>
      </c>
      <c r="I33" s="77" t="s">
        <v>29</v>
      </c>
      <c r="J33" s="76"/>
    </row>
    <row r="34" spans="1:16" s="94" customFormat="1" ht="15.75" thickTop="1" x14ac:dyDescent="0.25">
      <c r="A34" s="104" t="s">
        <v>8</v>
      </c>
      <c r="B34" s="169">
        <f>SUM(B3:B33)</f>
        <v>0</v>
      </c>
      <c r="C34" s="169">
        <f t="shared" ref="C34:H34" si="1">SUM(C3:C33)</f>
        <v>9816</v>
      </c>
      <c r="D34" s="169">
        <f t="shared" si="1"/>
        <v>1725</v>
      </c>
      <c r="E34" s="169">
        <f t="shared" si="1"/>
        <v>11956</v>
      </c>
      <c r="F34" s="170">
        <f t="shared" si="1"/>
        <v>0.32</v>
      </c>
      <c r="G34" s="170">
        <f t="shared" si="1"/>
        <v>0</v>
      </c>
      <c r="H34" s="169">
        <f t="shared" si="1"/>
        <v>0</v>
      </c>
      <c r="I34" s="170"/>
    </row>
    <row r="35" spans="1:16" s="94" customFormat="1" x14ac:dyDescent="0.25">
      <c r="A35" s="106" t="s">
        <v>9</v>
      </c>
      <c r="B35" s="107">
        <f>SUM(B34+'Apr 2024'!B34)</f>
        <v>0</v>
      </c>
      <c r="C35" s="107">
        <f>SUM(C34+'Apr 2024'!C34)</f>
        <v>23635</v>
      </c>
      <c r="D35" s="107">
        <f>SUM(D34+'Apr 2024'!D34)</f>
        <v>22480</v>
      </c>
      <c r="E35" s="107">
        <f>SUM(E34+'Apr 2024'!E34)</f>
        <v>37245</v>
      </c>
      <c r="F35" s="108">
        <f>SUM(F34+'Apr 2024'!F34)</f>
        <v>7.9000000000000012</v>
      </c>
      <c r="G35" s="108">
        <f>SUM(G34+'Apr 2024'!G34)</f>
        <v>10.65</v>
      </c>
      <c r="H35" s="107">
        <f>SUM(H34+'Apr 2024'!H34)</f>
        <v>6707</v>
      </c>
      <c r="I35" s="108"/>
    </row>
    <row r="37" spans="1:16" x14ac:dyDescent="0.25">
      <c r="A37" s="168" t="s">
        <v>10</v>
      </c>
      <c r="B37" s="173">
        <f>SUM(B3:B33)*1.9835</f>
        <v>0</v>
      </c>
      <c r="C37" s="173">
        <f>SUM(C3:C33)*1.9835</f>
        <v>19470.036</v>
      </c>
      <c r="D37" s="173">
        <f>SUM(D3:D33)*1.9835</f>
        <v>3421.5374999999999</v>
      </c>
      <c r="E37" s="173">
        <f>SUM(E3:E33)*1.9835</f>
        <v>23714.725999999999</v>
      </c>
      <c r="F37" s="173"/>
      <c r="G37" s="173"/>
      <c r="H37" s="173"/>
      <c r="J37" s="174"/>
    </row>
    <row r="39" spans="1:16" x14ac:dyDescent="0.25">
      <c r="A39" s="168" t="s">
        <v>24</v>
      </c>
      <c r="B39" s="173">
        <f>SUM(B37+'Apr 2024'!B38)</f>
        <v>0</v>
      </c>
      <c r="C39" s="173">
        <f>SUM(C37+'Apr 2024'!C38)</f>
        <v>54637.491000000002</v>
      </c>
      <c r="D39" s="173">
        <f>SUM(D37+'Apr 2024'!D38)</f>
        <v>52253.324000000001</v>
      </c>
      <c r="E39" s="173">
        <f>SUM(E37+'Apr 2024'!E38)</f>
        <v>82087.147500000006</v>
      </c>
      <c r="F39" s="173"/>
      <c r="G39" s="173"/>
      <c r="H39" s="173"/>
      <c r="J39" s="174"/>
    </row>
    <row r="40" spans="1:16" x14ac:dyDescent="0.25">
      <c r="J40" s="178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8"/>
      <c r="K41" s="176"/>
      <c r="L41" s="176"/>
      <c r="M41" s="176"/>
      <c r="N41" s="176"/>
      <c r="O41" s="177"/>
      <c r="P41" s="176"/>
    </row>
    <row r="42" spans="1:16" ht="16.899999999999999" customHeight="1" x14ac:dyDescent="0.25">
      <c r="A42" s="175"/>
      <c r="B42" s="175"/>
      <c r="C42" s="175"/>
      <c r="D42" s="175"/>
      <c r="E42" s="175"/>
      <c r="F42" s="175"/>
      <c r="G42" s="175"/>
      <c r="H42" s="249"/>
      <c r="I42" s="250"/>
      <c r="J42" s="178"/>
      <c r="K42" s="176"/>
      <c r="L42" s="176"/>
      <c r="M42" s="176"/>
      <c r="N42" s="176"/>
      <c r="O42" s="177"/>
      <c r="P42" s="176"/>
    </row>
    <row r="43" spans="1:16" ht="13.9" customHeight="1" thickBot="1" x14ac:dyDescent="0.3">
      <c r="A43" s="251" t="s">
        <v>23</v>
      </c>
      <c r="B43" s="251"/>
      <c r="C43" s="251"/>
      <c r="D43" s="251"/>
      <c r="E43" s="251"/>
      <c r="F43" s="251"/>
      <c r="G43" s="251"/>
      <c r="H43" s="251"/>
      <c r="I43" s="251"/>
      <c r="J43" s="252"/>
      <c r="K43" s="252"/>
      <c r="L43" s="178"/>
      <c r="M43" s="178"/>
      <c r="N43" s="178"/>
      <c r="O43" s="179"/>
      <c r="P43" s="178"/>
    </row>
    <row r="44" spans="1:16" ht="15.6" customHeight="1" x14ac:dyDescent="0.25">
      <c r="A44" s="180" t="s">
        <v>17</v>
      </c>
      <c r="B44" s="181"/>
      <c r="C44" s="182"/>
      <c r="D44" s="183"/>
      <c r="E44" s="183"/>
      <c r="F44" s="184"/>
      <c r="G44" s="185"/>
      <c r="H44" s="186"/>
      <c r="I44" s="187"/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205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215"/>
      <c r="K48" s="178"/>
      <c r="L48" s="178"/>
      <c r="M48" s="178"/>
      <c r="N48" s="178"/>
      <c r="O48" s="179"/>
    </row>
    <row r="49" spans="1:16" x14ac:dyDescent="0.25">
      <c r="A49" s="188"/>
      <c r="B49" s="189"/>
      <c r="C49" s="182"/>
      <c r="D49" s="183"/>
      <c r="E49" s="183"/>
      <c r="F49" s="190"/>
      <c r="G49" s="185">
        <f>SUM(24-E49)</f>
        <v>24</v>
      </c>
      <c r="H49" s="186">
        <f>SUM(D49+F49)</f>
        <v>0</v>
      </c>
      <c r="I49" s="187">
        <f>SUM(D49/24*E49+H49/24*G49)</f>
        <v>0</v>
      </c>
      <c r="K49" s="178"/>
      <c r="L49" s="178"/>
      <c r="M49" s="178"/>
      <c r="N49" s="178"/>
      <c r="O49" s="179"/>
    </row>
    <row r="50" spans="1:16" ht="13.15" customHeight="1" x14ac:dyDescent="0.25">
      <c r="A50" s="191"/>
      <c r="B50" s="191"/>
      <c r="C50" s="192"/>
      <c r="D50" s="192"/>
      <c r="E50" s="192"/>
      <c r="F50" s="192"/>
      <c r="G50" s="192"/>
      <c r="H50" s="193"/>
      <c r="I50" s="178"/>
      <c r="K50" s="178"/>
      <c r="L50" s="178"/>
      <c r="M50" s="178"/>
      <c r="N50" s="178"/>
      <c r="O50" s="179"/>
      <c r="P50" s="178"/>
    </row>
    <row r="51" spans="1:16" ht="15.75" thickBot="1" x14ac:dyDescent="0.3">
      <c r="A51" s="194" t="s">
        <v>18</v>
      </c>
      <c r="B51" s="194"/>
      <c r="C51" s="194"/>
      <c r="D51" s="194"/>
      <c r="E51" s="194"/>
      <c r="F51" s="195"/>
      <c r="G51" s="196"/>
      <c r="H51" s="193"/>
      <c r="I51" s="178"/>
      <c r="K51" s="178"/>
      <c r="L51" s="178"/>
      <c r="M51" s="178"/>
      <c r="N51" s="178"/>
      <c r="O51" s="179"/>
      <c r="P51" s="178"/>
    </row>
    <row r="52" spans="1:16" ht="26.25" x14ac:dyDescent="0.25">
      <c r="A52" s="197" t="s">
        <v>19</v>
      </c>
      <c r="B52" s="198"/>
      <c r="C52" s="199" t="s">
        <v>13</v>
      </c>
      <c r="D52" s="200" t="s">
        <v>14</v>
      </c>
      <c r="E52" s="200" t="s">
        <v>15</v>
      </c>
      <c r="F52" s="201" t="s">
        <v>16</v>
      </c>
      <c r="G52" s="202" t="s">
        <v>20</v>
      </c>
      <c r="H52" s="203"/>
      <c r="I52" s="204"/>
      <c r="K52" s="205"/>
    </row>
    <row r="53" spans="1:16" x14ac:dyDescent="0.25">
      <c r="A53" s="206"/>
      <c r="B53" s="207"/>
      <c r="C53" s="208"/>
      <c r="D53" s="209"/>
      <c r="E53" s="210"/>
      <c r="F53" s="211"/>
      <c r="G53" s="212">
        <f>SUM(D53/24*E53)</f>
        <v>0</v>
      </c>
      <c r="H53" s="213"/>
      <c r="I53" s="214"/>
      <c r="J53" s="234"/>
      <c r="K53" s="215"/>
    </row>
    <row r="54" spans="1:16" x14ac:dyDescent="0.25">
      <c r="A54" s="216"/>
      <c r="B54" s="217"/>
      <c r="C54" s="218"/>
      <c r="D54" s="219"/>
      <c r="E54" s="210"/>
      <c r="F54" s="220"/>
      <c r="G54" s="221">
        <f>SUM(D54/24*E54)</f>
        <v>0</v>
      </c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>
        <f>SUM(D55/24*E55)</f>
        <v>0</v>
      </c>
      <c r="H55" s="213"/>
      <c r="I55" s="214"/>
    </row>
    <row r="56" spans="1:16" x14ac:dyDescent="0.25">
      <c r="A56" s="216"/>
      <c r="B56" s="217"/>
      <c r="C56" s="218"/>
      <c r="D56" s="219"/>
      <c r="E56" s="210"/>
      <c r="F56" s="222"/>
      <c r="G56" s="221">
        <f>SUM(D56/24*E56)</f>
        <v>0</v>
      </c>
      <c r="H56" s="213"/>
      <c r="I56" s="214"/>
    </row>
    <row r="57" spans="1:16" ht="15.75" thickBot="1" x14ac:dyDescent="0.3">
      <c r="A57" s="223"/>
      <c r="B57" s="224"/>
      <c r="C57" s="225"/>
      <c r="D57" s="226"/>
      <c r="E57" s="227"/>
      <c r="F57" s="226"/>
      <c r="G57" s="228">
        <f>SUM(D57/24*E57)</f>
        <v>0</v>
      </c>
      <c r="H57" s="213"/>
      <c r="I57" s="214"/>
    </row>
    <row r="58" spans="1:16" s="234" customFormat="1" ht="30" customHeight="1" x14ac:dyDescent="0.25">
      <c r="A58" s="253" t="s">
        <v>21</v>
      </c>
      <c r="B58" s="254"/>
      <c r="C58" s="254"/>
      <c r="D58" s="255"/>
      <c r="E58" s="229">
        <f>SUM(E53:E57)</f>
        <v>0</v>
      </c>
      <c r="F58" s="230" t="s">
        <v>22</v>
      </c>
      <c r="G58" s="231">
        <f>SUM(G53:G57)</f>
        <v>0</v>
      </c>
      <c r="H58" s="232"/>
      <c r="I58" s="233"/>
      <c r="J58" s="168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3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3" sqref="I33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27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45383</v>
      </c>
      <c r="B3" s="77">
        <v>0</v>
      </c>
      <c r="C3" s="77">
        <v>275</v>
      </c>
      <c r="D3" s="77">
        <v>250</v>
      </c>
      <c r="E3" s="77">
        <v>229</v>
      </c>
      <c r="F3" s="77">
        <v>0</v>
      </c>
      <c r="G3" s="77">
        <v>0</v>
      </c>
      <c r="H3" s="77">
        <v>317</v>
      </c>
      <c r="I3" s="77" t="s">
        <v>29</v>
      </c>
      <c r="J3" s="79"/>
    </row>
    <row r="4" spans="1:10" ht="30" x14ac:dyDescent="0.25">
      <c r="A4" s="167">
        <f>A3+1</f>
        <v>45384</v>
      </c>
      <c r="B4" s="77">
        <v>0</v>
      </c>
      <c r="C4" s="77">
        <v>273</v>
      </c>
      <c r="D4" s="77">
        <v>235</v>
      </c>
      <c r="E4" s="77">
        <v>207</v>
      </c>
      <c r="F4" s="77">
        <v>0</v>
      </c>
      <c r="G4" s="77">
        <v>0</v>
      </c>
      <c r="H4" s="77">
        <v>317</v>
      </c>
      <c r="I4" s="77" t="s">
        <v>29</v>
      </c>
      <c r="J4" s="79" t="s">
        <v>49</v>
      </c>
    </row>
    <row r="5" spans="1:10" x14ac:dyDescent="0.25">
      <c r="A5" s="167">
        <f t="shared" ref="A5:A32" si="0">A4+1</f>
        <v>45385</v>
      </c>
      <c r="B5" s="77">
        <v>0</v>
      </c>
      <c r="C5" s="77">
        <v>234</v>
      </c>
      <c r="D5" s="77">
        <v>220</v>
      </c>
      <c r="E5" s="77">
        <v>179</v>
      </c>
      <c r="F5" s="77">
        <v>0.06</v>
      </c>
      <c r="G5" s="77">
        <v>0</v>
      </c>
      <c r="H5" s="77">
        <v>317</v>
      </c>
      <c r="I5" s="77" t="s">
        <v>29</v>
      </c>
      <c r="J5" s="79" t="s">
        <v>50</v>
      </c>
    </row>
    <row r="6" spans="1:10" x14ac:dyDescent="0.25">
      <c r="A6" s="167">
        <f t="shared" si="0"/>
        <v>45386</v>
      </c>
      <c r="B6" s="77">
        <v>0</v>
      </c>
      <c r="C6" s="77">
        <v>200</v>
      </c>
      <c r="D6" s="77">
        <v>220</v>
      </c>
      <c r="E6" s="77">
        <v>140</v>
      </c>
      <c r="F6" s="77">
        <v>0.19</v>
      </c>
      <c r="G6" s="77">
        <v>0</v>
      </c>
      <c r="H6" s="77">
        <v>317</v>
      </c>
      <c r="I6" s="87" t="s">
        <v>29</v>
      </c>
      <c r="J6" s="79"/>
    </row>
    <row r="7" spans="1:10" x14ac:dyDescent="0.25">
      <c r="A7" s="167">
        <f t="shared" si="0"/>
        <v>45387</v>
      </c>
      <c r="B7" s="77">
        <v>0</v>
      </c>
      <c r="C7" s="77">
        <v>181</v>
      </c>
      <c r="D7" s="77">
        <v>220</v>
      </c>
      <c r="E7" s="77">
        <v>117</v>
      </c>
      <c r="F7" s="77" t="s">
        <v>30</v>
      </c>
      <c r="G7" s="77">
        <v>0</v>
      </c>
      <c r="H7" s="77">
        <v>317</v>
      </c>
      <c r="I7" s="77" t="s">
        <v>29</v>
      </c>
      <c r="J7" s="79" t="s">
        <v>51</v>
      </c>
    </row>
    <row r="8" spans="1:10" x14ac:dyDescent="0.25">
      <c r="A8" s="167">
        <f t="shared" si="0"/>
        <v>45388</v>
      </c>
      <c r="B8" s="77">
        <v>0</v>
      </c>
      <c r="C8" s="77">
        <v>150</v>
      </c>
      <c r="D8" s="77">
        <v>230</v>
      </c>
      <c r="E8" s="77">
        <v>101</v>
      </c>
      <c r="F8" s="77">
        <v>0</v>
      </c>
      <c r="G8" s="77">
        <v>0</v>
      </c>
      <c r="H8" s="77">
        <v>317</v>
      </c>
      <c r="I8" s="77" t="s">
        <v>29</v>
      </c>
      <c r="J8" s="79"/>
    </row>
    <row r="9" spans="1:10" x14ac:dyDescent="0.25">
      <c r="A9" s="167">
        <f t="shared" si="0"/>
        <v>45389</v>
      </c>
      <c r="B9" s="77">
        <v>0</v>
      </c>
      <c r="C9" s="77">
        <v>150</v>
      </c>
      <c r="D9" s="77">
        <v>256</v>
      </c>
      <c r="E9" s="77">
        <v>94</v>
      </c>
      <c r="F9" s="77">
        <v>0.03</v>
      </c>
      <c r="G9" s="77">
        <v>0</v>
      </c>
      <c r="H9" s="77">
        <v>317</v>
      </c>
      <c r="I9" s="77" t="s">
        <v>29</v>
      </c>
      <c r="J9" s="79"/>
    </row>
    <row r="10" spans="1:10" x14ac:dyDescent="0.25">
      <c r="A10" s="167">
        <f t="shared" si="0"/>
        <v>45390</v>
      </c>
      <c r="B10" s="77">
        <v>0</v>
      </c>
      <c r="C10" s="77">
        <v>150</v>
      </c>
      <c r="D10" s="77">
        <v>250</v>
      </c>
      <c r="E10" s="77">
        <v>87</v>
      </c>
      <c r="F10" s="77">
        <v>0</v>
      </c>
      <c r="G10" s="77">
        <v>0</v>
      </c>
      <c r="H10" s="77">
        <v>317</v>
      </c>
      <c r="I10" s="77" t="s">
        <v>29</v>
      </c>
      <c r="J10" s="79"/>
    </row>
    <row r="11" spans="1:10" x14ac:dyDescent="0.25">
      <c r="A11" s="167">
        <f t="shared" si="0"/>
        <v>45391</v>
      </c>
      <c r="B11" s="77">
        <v>0</v>
      </c>
      <c r="C11" s="77">
        <v>150</v>
      </c>
      <c r="D11" s="77">
        <v>250</v>
      </c>
      <c r="E11" s="77">
        <v>87</v>
      </c>
      <c r="F11" s="77" t="s">
        <v>30</v>
      </c>
      <c r="G11" s="77">
        <v>0</v>
      </c>
      <c r="H11" s="77">
        <v>317</v>
      </c>
      <c r="I11" s="77" t="s">
        <v>29</v>
      </c>
      <c r="J11" s="79"/>
    </row>
    <row r="12" spans="1:10" x14ac:dyDescent="0.25">
      <c r="A12" s="167">
        <f t="shared" si="0"/>
        <v>45392</v>
      </c>
      <c r="B12" s="77">
        <v>0</v>
      </c>
      <c r="C12" s="77">
        <v>150</v>
      </c>
      <c r="D12" s="77">
        <v>215</v>
      </c>
      <c r="E12" s="77">
        <v>90</v>
      </c>
      <c r="F12" s="77">
        <v>0</v>
      </c>
      <c r="G12" s="77">
        <v>0</v>
      </c>
      <c r="H12" s="77">
        <v>317</v>
      </c>
      <c r="I12" s="77" t="s">
        <v>29</v>
      </c>
      <c r="J12" s="79"/>
    </row>
    <row r="13" spans="1:10" x14ac:dyDescent="0.25">
      <c r="A13" s="167">
        <f t="shared" si="0"/>
        <v>45393</v>
      </c>
      <c r="B13" s="77">
        <v>0</v>
      </c>
      <c r="C13" s="77">
        <v>150</v>
      </c>
      <c r="D13" s="77">
        <v>199</v>
      </c>
      <c r="E13" s="77">
        <v>96</v>
      </c>
      <c r="F13" s="77">
        <v>0</v>
      </c>
      <c r="G13" s="77">
        <v>0</v>
      </c>
      <c r="H13" s="77">
        <v>317</v>
      </c>
      <c r="I13" s="77" t="s">
        <v>29</v>
      </c>
      <c r="J13" s="79"/>
    </row>
    <row r="14" spans="1:10" ht="30" x14ac:dyDescent="0.25">
      <c r="A14" s="167">
        <f t="shared" si="0"/>
        <v>45394</v>
      </c>
      <c r="B14" s="77">
        <v>0</v>
      </c>
      <c r="C14" s="77">
        <v>38</v>
      </c>
      <c r="D14" s="77">
        <v>83</v>
      </c>
      <c r="E14" s="77">
        <v>84</v>
      </c>
      <c r="F14" s="77" t="s">
        <v>30</v>
      </c>
      <c r="G14" s="77">
        <v>0</v>
      </c>
      <c r="H14" s="77">
        <v>112</v>
      </c>
      <c r="I14" s="77" t="s">
        <v>29</v>
      </c>
      <c r="J14" s="79" t="s">
        <v>52</v>
      </c>
    </row>
    <row r="15" spans="1:10" x14ac:dyDescent="0.25">
      <c r="A15" s="167">
        <f t="shared" si="0"/>
        <v>45395</v>
      </c>
      <c r="B15" s="77">
        <v>0</v>
      </c>
      <c r="C15" s="77">
        <v>33</v>
      </c>
      <c r="D15" s="77">
        <v>0</v>
      </c>
      <c r="E15" s="77">
        <v>87</v>
      </c>
      <c r="F15" s="77">
        <v>0.01</v>
      </c>
      <c r="G15" s="77">
        <v>0</v>
      </c>
      <c r="H15" s="77">
        <v>0</v>
      </c>
      <c r="I15" s="77" t="s">
        <v>29</v>
      </c>
      <c r="J15" s="79" t="s">
        <v>53</v>
      </c>
    </row>
    <row r="16" spans="1:10" x14ac:dyDescent="0.25">
      <c r="A16" s="167">
        <f t="shared" si="0"/>
        <v>45396</v>
      </c>
      <c r="B16" s="77">
        <v>0</v>
      </c>
      <c r="C16" s="77">
        <v>35</v>
      </c>
      <c r="D16" s="77">
        <v>23</v>
      </c>
      <c r="E16" s="77">
        <v>88</v>
      </c>
      <c r="F16" s="77">
        <v>0.62</v>
      </c>
      <c r="G16" s="77">
        <v>0</v>
      </c>
      <c r="H16" s="77">
        <v>0</v>
      </c>
      <c r="I16" s="77" t="s">
        <v>29</v>
      </c>
      <c r="J16" s="79" t="s">
        <v>54</v>
      </c>
    </row>
    <row r="17" spans="1:10" x14ac:dyDescent="0.25">
      <c r="A17" s="167">
        <f t="shared" si="0"/>
        <v>45397</v>
      </c>
      <c r="B17" s="77">
        <v>0</v>
      </c>
      <c r="C17" s="77">
        <v>20</v>
      </c>
      <c r="D17" s="77">
        <v>56</v>
      </c>
      <c r="E17" s="77">
        <v>90</v>
      </c>
      <c r="F17" s="77">
        <v>0.05</v>
      </c>
      <c r="G17" s="77">
        <v>0</v>
      </c>
      <c r="H17" s="77">
        <v>0</v>
      </c>
      <c r="I17" s="77" t="s">
        <v>29</v>
      </c>
      <c r="J17" s="79"/>
    </row>
    <row r="18" spans="1:10" x14ac:dyDescent="0.25">
      <c r="A18" s="167">
        <f t="shared" si="0"/>
        <v>45398</v>
      </c>
      <c r="B18" s="77">
        <v>0</v>
      </c>
      <c r="C18" s="77">
        <v>14</v>
      </c>
      <c r="D18" s="77">
        <v>70</v>
      </c>
      <c r="E18" s="77">
        <v>90</v>
      </c>
      <c r="F18" s="77">
        <v>0</v>
      </c>
      <c r="G18" s="77">
        <v>0</v>
      </c>
      <c r="H18" s="77">
        <v>0</v>
      </c>
      <c r="I18" s="77" t="s">
        <v>29</v>
      </c>
      <c r="J18" s="79" t="s">
        <v>55</v>
      </c>
    </row>
    <row r="19" spans="1:10" x14ac:dyDescent="0.25">
      <c r="A19" s="167">
        <f t="shared" si="0"/>
        <v>45399</v>
      </c>
      <c r="B19" s="77">
        <v>0</v>
      </c>
      <c r="C19" s="77">
        <v>0</v>
      </c>
      <c r="D19" s="77">
        <v>70</v>
      </c>
      <c r="E19" s="77">
        <v>90</v>
      </c>
      <c r="F19" s="77">
        <v>0</v>
      </c>
      <c r="G19" s="77">
        <v>0</v>
      </c>
      <c r="H19" s="77">
        <v>0</v>
      </c>
      <c r="I19" s="77" t="s">
        <v>29</v>
      </c>
      <c r="J19" s="79"/>
    </row>
    <row r="20" spans="1:10" x14ac:dyDescent="0.25">
      <c r="A20" s="167">
        <f t="shared" si="0"/>
        <v>45400</v>
      </c>
      <c r="B20" s="77">
        <v>0</v>
      </c>
      <c r="C20" s="77">
        <v>8</v>
      </c>
      <c r="D20" s="77">
        <v>70</v>
      </c>
      <c r="E20" s="77">
        <v>94</v>
      </c>
      <c r="F20" s="77">
        <v>0</v>
      </c>
      <c r="G20" s="77">
        <v>0</v>
      </c>
      <c r="H20" s="77">
        <v>0</v>
      </c>
      <c r="I20" s="77" t="s">
        <v>29</v>
      </c>
      <c r="J20" s="79" t="s">
        <v>56</v>
      </c>
    </row>
    <row r="21" spans="1:10" x14ac:dyDescent="0.25">
      <c r="A21" s="167">
        <f t="shared" si="0"/>
        <v>45401</v>
      </c>
      <c r="B21" s="77">
        <v>0</v>
      </c>
      <c r="C21" s="77">
        <v>25</v>
      </c>
      <c r="D21" s="77">
        <v>70</v>
      </c>
      <c r="E21" s="77">
        <v>98</v>
      </c>
      <c r="F21" s="77">
        <v>0</v>
      </c>
      <c r="G21" s="77">
        <v>0</v>
      </c>
      <c r="H21" s="77">
        <v>0</v>
      </c>
      <c r="I21" s="77" t="s">
        <v>29</v>
      </c>
      <c r="J21" s="79"/>
    </row>
    <row r="22" spans="1:10" x14ac:dyDescent="0.25">
      <c r="A22" s="167">
        <f t="shared" si="0"/>
        <v>45402</v>
      </c>
      <c r="B22" s="77">
        <v>0</v>
      </c>
      <c r="C22" s="77">
        <v>33</v>
      </c>
      <c r="D22" s="77">
        <v>70</v>
      </c>
      <c r="E22" s="77">
        <v>95</v>
      </c>
      <c r="F22" s="77">
        <v>0</v>
      </c>
      <c r="G22" s="77">
        <v>0</v>
      </c>
      <c r="H22" s="77">
        <v>0</v>
      </c>
      <c r="I22" s="77" t="s">
        <v>29</v>
      </c>
      <c r="J22" s="79" t="s">
        <v>57</v>
      </c>
    </row>
    <row r="23" spans="1:10" x14ac:dyDescent="0.25">
      <c r="A23" s="167">
        <f t="shared" si="0"/>
        <v>45403</v>
      </c>
      <c r="B23" s="77">
        <v>0</v>
      </c>
      <c r="C23" s="77">
        <v>50</v>
      </c>
      <c r="D23" s="77">
        <v>70</v>
      </c>
      <c r="E23" s="77">
        <v>99</v>
      </c>
      <c r="F23" s="77">
        <v>0</v>
      </c>
      <c r="G23" s="77">
        <v>0</v>
      </c>
      <c r="H23" s="77">
        <v>0</v>
      </c>
      <c r="I23" s="77" t="s">
        <v>29</v>
      </c>
      <c r="J23" s="79"/>
    </row>
    <row r="24" spans="1:10" x14ac:dyDescent="0.25">
      <c r="A24" s="167">
        <f t="shared" si="0"/>
        <v>45404</v>
      </c>
      <c r="B24" s="77">
        <v>0</v>
      </c>
      <c r="C24" s="77">
        <v>76</v>
      </c>
      <c r="D24" s="77">
        <v>70</v>
      </c>
      <c r="E24" s="77">
        <v>129</v>
      </c>
      <c r="F24" s="77">
        <v>0</v>
      </c>
      <c r="G24" s="77">
        <v>0</v>
      </c>
      <c r="H24" s="77">
        <v>0</v>
      </c>
      <c r="I24" s="77" t="s">
        <v>29</v>
      </c>
      <c r="J24" s="79" t="s">
        <v>58</v>
      </c>
    </row>
    <row r="25" spans="1:10" x14ac:dyDescent="0.25">
      <c r="A25" s="167">
        <f t="shared" si="0"/>
        <v>45405</v>
      </c>
      <c r="B25" s="77">
        <v>0</v>
      </c>
      <c r="C25" s="77">
        <v>131</v>
      </c>
      <c r="D25" s="77">
        <v>70</v>
      </c>
      <c r="E25" s="77">
        <v>172</v>
      </c>
      <c r="F25" s="77">
        <v>0</v>
      </c>
      <c r="G25" s="77">
        <v>0</v>
      </c>
      <c r="H25" s="77">
        <v>0</v>
      </c>
      <c r="I25" s="77" t="s">
        <v>29</v>
      </c>
      <c r="J25" s="79" t="s">
        <v>59</v>
      </c>
    </row>
    <row r="26" spans="1:10" x14ac:dyDescent="0.25">
      <c r="A26" s="167">
        <f t="shared" si="0"/>
        <v>45406</v>
      </c>
      <c r="B26" s="77">
        <v>0</v>
      </c>
      <c r="C26" s="77">
        <v>185</v>
      </c>
      <c r="D26" s="77">
        <v>44</v>
      </c>
      <c r="E26" s="77">
        <v>187</v>
      </c>
      <c r="F26" s="77">
        <v>0</v>
      </c>
      <c r="G26" s="77">
        <v>0</v>
      </c>
      <c r="H26" s="77">
        <v>0</v>
      </c>
      <c r="I26" s="77" t="s">
        <v>29</v>
      </c>
      <c r="J26" s="79" t="s">
        <v>60</v>
      </c>
    </row>
    <row r="27" spans="1:10" x14ac:dyDescent="0.25">
      <c r="A27" s="167">
        <f t="shared" si="0"/>
        <v>45407</v>
      </c>
      <c r="B27" s="77">
        <v>0</v>
      </c>
      <c r="C27" s="77">
        <v>200</v>
      </c>
      <c r="D27" s="77">
        <v>60</v>
      </c>
      <c r="E27" s="77">
        <v>203</v>
      </c>
      <c r="F27" s="77">
        <v>0.04</v>
      </c>
      <c r="G27" s="77">
        <v>0</v>
      </c>
      <c r="H27" s="77">
        <v>0</v>
      </c>
      <c r="I27" s="77" t="s">
        <v>29</v>
      </c>
      <c r="J27" s="79"/>
    </row>
    <row r="28" spans="1:10" x14ac:dyDescent="0.25">
      <c r="A28" s="167">
        <f t="shared" si="0"/>
        <v>45408</v>
      </c>
      <c r="B28" s="77">
        <v>0</v>
      </c>
      <c r="C28" s="77">
        <v>200</v>
      </c>
      <c r="D28" s="77">
        <v>58</v>
      </c>
      <c r="E28" s="77">
        <v>212</v>
      </c>
      <c r="F28" s="77">
        <v>0.01</v>
      </c>
      <c r="G28" s="77">
        <v>0</v>
      </c>
      <c r="H28" s="77">
        <v>0</v>
      </c>
      <c r="I28" s="77" t="s">
        <v>29</v>
      </c>
      <c r="J28" s="79"/>
    </row>
    <row r="29" spans="1:10" x14ac:dyDescent="0.25">
      <c r="A29" s="167">
        <f t="shared" si="0"/>
        <v>45409</v>
      </c>
      <c r="B29" s="77">
        <v>0</v>
      </c>
      <c r="C29" s="77">
        <v>200</v>
      </c>
      <c r="D29" s="77">
        <v>82</v>
      </c>
      <c r="E29" s="77">
        <v>219</v>
      </c>
      <c r="F29" s="77" t="s">
        <v>30</v>
      </c>
      <c r="G29" s="77">
        <v>0</v>
      </c>
      <c r="H29" s="77">
        <v>0</v>
      </c>
      <c r="I29" s="77" t="s">
        <v>29</v>
      </c>
      <c r="J29" s="79"/>
    </row>
    <row r="30" spans="1:10" x14ac:dyDescent="0.25">
      <c r="A30" s="167">
        <f t="shared" si="0"/>
        <v>45410</v>
      </c>
      <c r="B30" s="77">
        <v>0</v>
      </c>
      <c r="C30" s="77">
        <v>200</v>
      </c>
      <c r="D30" s="77">
        <v>129</v>
      </c>
      <c r="E30" s="77">
        <v>212</v>
      </c>
      <c r="F30" s="77">
        <v>0</v>
      </c>
      <c r="G30" s="77">
        <v>0</v>
      </c>
      <c r="H30" s="77">
        <v>0</v>
      </c>
      <c r="I30" s="77" t="s">
        <v>29</v>
      </c>
      <c r="J30" s="79"/>
    </row>
    <row r="31" spans="1:10" x14ac:dyDescent="0.25">
      <c r="A31" s="167">
        <f t="shared" si="0"/>
        <v>45411</v>
      </c>
      <c r="B31" s="77">
        <v>0</v>
      </c>
      <c r="C31" s="77">
        <v>200</v>
      </c>
      <c r="D31" s="77">
        <v>141</v>
      </c>
      <c r="E31" s="77">
        <v>227</v>
      </c>
      <c r="F31" s="77">
        <v>0</v>
      </c>
      <c r="G31" s="77">
        <v>0</v>
      </c>
      <c r="H31" s="77">
        <v>0</v>
      </c>
      <c r="I31" s="77" t="s">
        <v>29</v>
      </c>
      <c r="J31" s="79"/>
    </row>
    <row r="32" spans="1:10" ht="15.75" thickBot="1" x14ac:dyDescent="0.3">
      <c r="A32" s="167">
        <f t="shared" si="0"/>
        <v>45412</v>
      </c>
      <c r="B32" s="77">
        <v>0</v>
      </c>
      <c r="C32" s="77">
        <v>200</v>
      </c>
      <c r="D32" s="77">
        <v>83</v>
      </c>
      <c r="E32" s="77">
        <v>237</v>
      </c>
      <c r="F32" s="77">
        <v>0</v>
      </c>
      <c r="G32" s="77">
        <v>0</v>
      </c>
      <c r="H32" s="77">
        <v>0</v>
      </c>
      <c r="I32" s="77" t="s">
        <v>29</v>
      </c>
      <c r="J32" s="79"/>
    </row>
    <row r="33" spans="1:16" s="94" customFormat="1" ht="15.75" thickTop="1" x14ac:dyDescent="0.25">
      <c r="A33" s="104" t="s">
        <v>8</v>
      </c>
      <c r="B33" s="169">
        <f>SUM(B3:B32)</f>
        <v>0</v>
      </c>
      <c r="C33" s="169">
        <f t="shared" ref="C33:H33" si="1">SUM(C3:C32)</f>
        <v>3911</v>
      </c>
      <c r="D33" s="169">
        <f t="shared" si="1"/>
        <v>3864</v>
      </c>
      <c r="E33" s="169">
        <f t="shared" si="1"/>
        <v>4140</v>
      </c>
      <c r="F33" s="170">
        <f t="shared" si="1"/>
        <v>1.01</v>
      </c>
      <c r="G33" s="170">
        <f t="shared" si="1"/>
        <v>0</v>
      </c>
      <c r="H33" s="169">
        <f t="shared" si="1"/>
        <v>3599</v>
      </c>
      <c r="I33" s="170"/>
      <c r="J33" s="168"/>
    </row>
    <row r="34" spans="1:16" s="94" customFormat="1" x14ac:dyDescent="0.25">
      <c r="A34" s="106" t="s">
        <v>9</v>
      </c>
      <c r="B34" s="107">
        <f>SUM(B33+'Mar 2024'!B35)</f>
        <v>0</v>
      </c>
      <c r="C34" s="107">
        <f>SUM(C33+'Mar 2024'!C35)</f>
        <v>13819</v>
      </c>
      <c r="D34" s="107">
        <f>SUM(D33+'Mar 2024'!D35)</f>
        <v>20755</v>
      </c>
      <c r="E34" s="107">
        <f>SUM(E33+'Mar 2024'!E35)</f>
        <v>25289</v>
      </c>
      <c r="F34" s="108">
        <f>SUM(F33+'Mar 2024'!F35)</f>
        <v>7.580000000000001</v>
      </c>
      <c r="G34" s="108">
        <f>SUM(G33+'Mar 2024'!G35)</f>
        <v>10.65</v>
      </c>
      <c r="H34" s="107">
        <f>SUM(H33+'Mar 2024'!H35)</f>
        <v>6707</v>
      </c>
      <c r="I34" s="108"/>
    </row>
    <row r="35" spans="1:16" x14ac:dyDescent="0.25">
      <c r="J35" s="94"/>
    </row>
    <row r="36" spans="1:16" x14ac:dyDescent="0.25">
      <c r="A36" s="168" t="s">
        <v>10</v>
      </c>
      <c r="B36" s="173">
        <f>SUM(B3:B33)*1.9835</f>
        <v>0</v>
      </c>
      <c r="C36" s="173">
        <f>SUM(C3:C33)*1.9835</f>
        <v>15514.937</v>
      </c>
      <c r="D36" s="173">
        <f>SUM(D3:D33)*1.9835</f>
        <v>15328.488000000001</v>
      </c>
      <c r="E36" s="173">
        <f>SUM(E3:E33)*1.9835</f>
        <v>16423.38</v>
      </c>
      <c r="F36" s="173"/>
      <c r="G36" s="173"/>
      <c r="H36" s="173"/>
      <c r="J36" s="174"/>
    </row>
    <row r="38" spans="1:16" x14ac:dyDescent="0.25">
      <c r="A38" s="168" t="s">
        <v>24</v>
      </c>
      <c r="B38" s="173">
        <f>SUM(B36+'Mar 2024'!B39)</f>
        <v>0</v>
      </c>
      <c r="C38" s="173">
        <f>SUM(C36+'Mar 2024'!C39)</f>
        <v>35167.455000000002</v>
      </c>
      <c r="D38" s="173">
        <f>SUM(D36+'Mar 2024'!D39)</f>
        <v>48831.786500000002</v>
      </c>
      <c r="E38" s="173">
        <f>SUM(E36+'Mar 2024'!E39)</f>
        <v>58372.421500000011</v>
      </c>
      <c r="F38" s="173"/>
      <c r="G38" s="173"/>
      <c r="H38" s="173"/>
      <c r="J38" s="174"/>
    </row>
    <row r="39" spans="1:16" x14ac:dyDescent="0.25">
      <c r="C39" s="173"/>
      <c r="D39" s="173"/>
      <c r="E39" s="173"/>
      <c r="F39" s="173"/>
      <c r="G39" s="173"/>
      <c r="H39" s="173"/>
      <c r="J39" s="174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6"/>
      <c r="K40" s="176"/>
      <c r="L40" s="176"/>
      <c r="M40" s="176"/>
      <c r="N40" s="176"/>
      <c r="O40" s="177"/>
      <c r="P40" s="176"/>
    </row>
    <row r="41" spans="1:16" ht="16.899999999999999" customHeight="1" x14ac:dyDescent="0.25">
      <c r="A41" s="175"/>
      <c r="B41" s="175"/>
      <c r="C41" s="175"/>
      <c r="D41" s="175"/>
      <c r="E41" s="175"/>
      <c r="F41" s="175"/>
      <c r="G41" s="175"/>
      <c r="H41" s="249"/>
      <c r="I41" s="250"/>
      <c r="J41" s="176"/>
      <c r="K41" s="176"/>
      <c r="L41" s="176"/>
      <c r="M41" s="176"/>
      <c r="N41" s="176"/>
      <c r="O41" s="177"/>
      <c r="P41" s="176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8"/>
      <c r="M42" s="178"/>
      <c r="N42" s="178"/>
      <c r="O42" s="179"/>
      <c r="P42" s="178"/>
    </row>
    <row r="43" spans="1:16" ht="15.6" customHeight="1" x14ac:dyDescent="0.25">
      <c r="A43" s="180" t="s">
        <v>17</v>
      </c>
      <c r="B43" s="181"/>
      <c r="C43" s="182"/>
      <c r="D43" s="183"/>
      <c r="E43" s="183"/>
      <c r="F43" s="184"/>
      <c r="G43" s="185"/>
      <c r="H43" s="186"/>
      <c r="I43" s="187"/>
      <c r="J43" s="178"/>
      <c r="K43" s="178"/>
      <c r="L43" s="178"/>
      <c r="M43" s="178"/>
      <c r="N43" s="178"/>
      <c r="O43" s="179"/>
    </row>
    <row r="44" spans="1:16" x14ac:dyDescent="0.25">
      <c r="A44" s="188"/>
      <c r="B44" s="189"/>
      <c r="C44" s="182"/>
      <c r="D44" s="183"/>
      <c r="E44" s="183"/>
      <c r="F44" s="190"/>
      <c r="G44" s="185">
        <f>SUM(24-E44)</f>
        <v>24</v>
      </c>
      <c r="H44" s="186">
        <f>SUM(D44+F44)</f>
        <v>0</v>
      </c>
      <c r="I44" s="187">
        <f>SUM(D44/24*E44+H44/24*G44)</f>
        <v>0</v>
      </c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ht="13.15" customHeight="1" x14ac:dyDescent="0.25">
      <c r="A49" s="191"/>
      <c r="B49" s="191"/>
      <c r="C49" s="192"/>
      <c r="D49" s="192"/>
      <c r="E49" s="192"/>
      <c r="F49" s="192"/>
      <c r="G49" s="192"/>
      <c r="H49" s="193"/>
      <c r="I49" s="178"/>
      <c r="J49" s="178"/>
      <c r="K49" s="178"/>
      <c r="L49" s="178"/>
      <c r="M49" s="178"/>
      <c r="N49" s="178"/>
      <c r="O49" s="179"/>
      <c r="P49" s="178"/>
    </row>
    <row r="50" spans="1:16" ht="15.75" thickBot="1" x14ac:dyDescent="0.3">
      <c r="A50" s="194" t="s">
        <v>18</v>
      </c>
      <c r="B50" s="194"/>
      <c r="C50" s="194"/>
      <c r="D50" s="194"/>
      <c r="E50" s="194"/>
      <c r="F50" s="195"/>
      <c r="G50" s="196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26.25" x14ac:dyDescent="0.25">
      <c r="A51" s="197" t="s">
        <v>19</v>
      </c>
      <c r="B51" s="198"/>
      <c r="C51" s="199" t="s">
        <v>13</v>
      </c>
      <c r="D51" s="200" t="s">
        <v>14</v>
      </c>
      <c r="E51" s="200" t="s">
        <v>15</v>
      </c>
      <c r="F51" s="201" t="s">
        <v>16</v>
      </c>
      <c r="G51" s="202" t="s">
        <v>20</v>
      </c>
      <c r="H51" s="203"/>
      <c r="I51" s="204"/>
      <c r="J51" s="205"/>
      <c r="K51" s="205"/>
    </row>
    <row r="52" spans="1:16" x14ac:dyDescent="0.25">
      <c r="A52" s="206"/>
      <c r="B52" s="207"/>
      <c r="C52" s="208"/>
      <c r="D52" s="209"/>
      <c r="E52" s="210"/>
      <c r="F52" s="211"/>
      <c r="G52" s="212">
        <f>SUM(D52/24*E52)</f>
        <v>0</v>
      </c>
      <c r="H52" s="213"/>
      <c r="I52" s="214"/>
      <c r="J52" s="215"/>
      <c r="K52" s="215"/>
    </row>
    <row r="53" spans="1:16" x14ac:dyDescent="0.25">
      <c r="A53" s="216"/>
      <c r="B53" s="217"/>
      <c r="C53" s="218"/>
      <c r="D53" s="219"/>
      <c r="E53" s="210"/>
      <c r="F53" s="220"/>
      <c r="G53" s="221">
        <f>SUM(D53/24*E53)</f>
        <v>0</v>
      </c>
      <c r="H53" s="213"/>
      <c r="I53" s="214"/>
    </row>
    <row r="54" spans="1:16" x14ac:dyDescent="0.25">
      <c r="A54" s="216"/>
      <c r="B54" s="217"/>
      <c r="C54" s="218"/>
      <c r="D54" s="219"/>
      <c r="E54" s="210"/>
      <c r="F54" s="222"/>
      <c r="G54" s="221">
        <f>SUM(D54/24*E54)</f>
        <v>0</v>
      </c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>
        <f>SUM(D55/24*E55)</f>
        <v>0</v>
      </c>
      <c r="H55" s="213"/>
      <c r="I55" s="214"/>
    </row>
    <row r="56" spans="1:16" ht="15.75" thickBot="1" x14ac:dyDescent="0.3">
      <c r="A56" s="223"/>
      <c r="B56" s="224"/>
      <c r="C56" s="225"/>
      <c r="D56" s="226"/>
      <c r="E56" s="227"/>
      <c r="F56" s="226"/>
      <c r="G56" s="228">
        <f>SUM(D56/24*E56)</f>
        <v>0</v>
      </c>
      <c r="H56" s="213"/>
      <c r="I56" s="214"/>
    </row>
    <row r="57" spans="1:16" s="234" customFormat="1" ht="30" customHeight="1" x14ac:dyDescent="0.25">
      <c r="A57" s="253" t="s">
        <v>21</v>
      </c>
      <c r="B57" s="254"/>
      <c r="C57" s="254"/>
      <c r="D57" s="255"/>
      <c r="E57" s="229">
        <f>SUM(E52:E56)</f>
        <v>0</v>
      </c>
      <c r="F57" s="230" t="s">
        <v>22</v>
      </c>
      <c r="G57" s="231">
        <f>SUM(G52:G56)</f>
        <v>0</v>
      </c>
      <c r="H57" s="232"/>
      <c r="I57" s="233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44986</v>
      </c>
      <c r="B3" s="77">
        <v>0</v>
      </c>
      <c r="C3" s="77">
        <v>0</v>
      </c>
      <c r="D3" s="77">
        <v>171</v>
      </c>
      <c r="E3" s="77">
        <v>0</v>
      </c>
      <c r="F3" s="77">
        <v>0.02</v>
      </c>
      <c r="G3" s="77">
        <v>0</v>
      </c>
      <c r="H3" s="77">
        <v>0</v>
      </c>
      <c r="I3" s="77" t="s">
        <v>29</v>
      </c>
      <c r="J3" s="76"/>
    </row>
    <row r="4" spans="1:10" x14ac:dyDescent="0.25">
      <c r="A4" s="7">
        <f>A3+1</f>
        <v>44987</v>
      </c>
      <c r="B4" s="77">
        <v>0</v>
      </c>
      <c r="C4" s="77">
        <v>0</v>
      </c>
      <c r="D4" s="77">
        <v>160</v>
      </c>
      <c r="E4" s="77">
        <v>0</v>
      </c>
      <c r="F4" s="77">
        <v>0.05</v>
      </c>
      <c r="G4" s="77">
        <v>1</v>
      </c>
      <c r="H4" s="77">
        <v>0</v>
      </c>
      <c r="I4" s="77" t="s">
        <v>29</v>
      </c>
      <c r="J4" s="76"/>
    </row>
    <row r="5" spans="1:10" x14ac:dyDescent="0.25">
      <c r="A5" s="7">
        <f>A4+1</f>
        <v>44988</v>
      </c>
      <c r="B5" s="77">
        <v>0</v>
      </c>
      <c r="C5" s="77">
        <v>0</v>
      </c>
      <c r="D5" s="77">
        <v>160</v>
      </c>
      <c r="E5" s="77">
        <v>0</v>
      </c>
      <c r="F5" s="77">
        <v>0.05</v>
      </c>
      <c r="G5" s="77">
        <v>1</v>
      </c>
      <c r="H5" s="77">
        <v>0</v>
      </c>
      <c r="I5" s="77" t="s">
        <v>29</v>
      </c>
      <c r="J5" s="76"/>
    </row>
    <row r="6" spans="1:10" x14ac:dyDescent="0.25">
      <c r="A6" s="7">
        <f>A5+1</f>
        <v>44989</v>
      </c>
      <c r="B6" s="77">
        <v>0</v>
      </c>
      <c r="C6" s="77">
        <v>50</v>
      </c>
      <c r="D6" s="77">
        <v>160</v>
      </c>
      <c r="E6" s="77">
        <v>0</v>
      </c>
      <c r="F6" s="77">
        <v>0.02</v>
      </c>
      <c r="G6" s="77">
        <v>0</v>
      </c>
      <c r="H6" s="77">
        <v>0</v>
      </c>
      <c r="I6" s="77" t="s">
        <v>29</v>
      </c>
      <c r="J6" s="76" t="s">
        <v>41</v>
      </c>
    </row>
    <row r="7" spans="1:10" x14ac:dyDescent="0.25">
      <c r="A7" s="7">
        <f t="shared" ref="A7:A33" si="0">A6+1</f>
        <v>44990</v>
      </c>
      <c r="B7" s="77">
        <v>0</v>
      </c>
      <c r="C7" s="77">
        <v>100</v>
      </c>
      <c r="D7" s="77">
        <v>231</v>
      </c>
      <c r="E7" s="77">
        <v>0</v>
      </c>
      <c r="F7" s="77">
        <v>0.08</v>
      </c>
      <c r="G7" s="77">
        <v>0</v>
      </c>
      <c r="H7" s="77">
        <v>0</v>
      </c>
      <c r="I7" s="77" t="s">
        <v>29</v>
      </c>
      <c r="J7" s="76"/>
    </row>
    <row r="8" spans="1:10" x14ac:dyDescent="0.25">
      <c r="A8" s="7">
        <f t="shared" si="0"/>
        <v>44991</v>
      </c>
      <c r="B8" s="77">
        <v>0</v>
      </c>
      <c r="C8" s="77">
        <v>100</v>
      </c>
      <c r="D8" s="77">
        <v>322</v>
      </c>
      <c r="E8" s="77">
        <v>0</v>
      </c>
      <c r="F8" s="77">
        <v>0</v>
      </c>
      <c r="G8" s="77">
        <v>0</v>
      </c>
      <c r="H8" s="77">
        <v>0</v>
      </c>
      <c r="I8" s="77" t="s">
        <v>29</v>
      </c>
      <c r="J8" s="76"/>
    </row>
    <row r="9" spans="1:10" x14ac:dyDescent="0.25">
      <c r="A9" s="7">
        <f t="shared" si="0"/>
        <v>44992</v>
      </c>
      <c r="B9" s="77">
        <v>0</v>
      </c>
      <c r="C9" s="77">
        <v>100</v>
      </c>
      <c r="D9" s="77">
        <v>463</v>
      </c>
      <c r="E9" s="77">
        <v>0</v>
      </c>
      <c r="F9" s="77">
        <v>0</v>
      </c>
      <c r="G9" s="77">
        <v>0</v>
      </c>
      <c r="H9" s="77">
        <v>0</v>
      </c>
      <c r="I9" s="77" t="s">
        <v>29</v>
      </c>
      <c r="J9" s="76"/>
    </row>
    <row r="10" spans="1:10" x14ac:dyDescent="0.25">
      <c r="A10" s="7">
        <f t="shared" si="0"/>
        <v>44993</v>
      </c>
      <c r="B10" s="77">
        <v>0</v>
      </c>
      <c r="C10" s="77">
        <v>100</v>
      </c>
      <c r="D10" s="77">
        <v>742</v>
      </c>
      <c r="E10" s="77">
        <v>0</v>
      </c>
      <c r="F10" s="77" t="s">
        <v>30</v>
      </c>
      <c r="G10" s="77">
        <v>0</v>
      </c>
      <c r="H10" s="77">
        <v>0</v>
      </c>
      <c r="I10" s="77" t="s">
        <v>29</v>
      </c>
      <c r="J10" s="76"/>
    </row>
    <row r="11" spans="1:10" x14ac:dyDescent="0.25">
      <c r="A11" s="7">
        <f t="shared" si="0"/>
        <v>44994</v>
      </c>
      <c r="B11" s="77">
        <v>0</v>
      </c>
      <c r="C11" s="77">
        <v>100</v>
      </c>
      <c r="D11" s="77">
        <v>631</v>
      </c>
      <c r="E11" s="77">
        <v>0</v>
      </c>
      <c r="F11" s="77">
        <v>0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7">
        <f t="shared" si="0"/>
        <v>44995</v>
      </c>
      <c r="B12" s="77">
        <v>0</v>
      </c>
      <c r="C12" s="77">
        <v>100</v>
      </c>
      <c r="D12" s="77">
        <v>500</v>
      </c>
      <c r="E12" s="77">
        <v>0</v>
      </c>
      <c r="F12" s="77">
        <v>0</v>
      </c>
      <c r="G12" s="77">
        <v>0</v>
      </c>
      <c r="H12" s="77">
        <v>0</v>
      </c>
      <c r="I12" s="77" t="s">
        <v>29</v>
      </c>
      <c r="J12" s="76"/>
    </row>
    <row r="13" spans="1:10" x14ac:dyDescent="0.25">
      <c r="A13" s="7">
        <f t="shared" si="0"/>
        <v>44996</v>
      </c>
      <c r="B13" s="77">
        <v>0</v>
      </c>
      <c r="C13" s="77">
        <v>100</v>
      </c>
      <c r="D13" s="77">
        <v>500</v>
      </c>
      <c r="E13" s="77">
        <v>0</v>
      </c>
      <c r="F13" s="77">
        <v>0</v>
      </c>
      <c r="G13" s="77">
        <v>0</v>
      </c>
      <c r="H13" s="77">
        <v>0</v>
      </c>
      <c r="I13" s="77" t="s">
        <v>29</v>
      </c>
      <c r="J13" s="76"/>
    </row>
    <row r="14" spans="1:10" x14ac:dyDescent="0.25">
      <c r="A14" s="7">
        <f t="shared" si="0"/>
        <v>44997</v>
      </c>
      <c r="B14" s="77">
        <v>0</v>
      </c>
      <c r="C14" s="77">
        <v>100</v>
      </c>
      <c r="D14" s="77">
        <v>500</v>
      </c>
      <c r="E14" s="77">
        <v>0</v>
      </c>
      <c r="F14" s="77">
        <v>0</v>
      </c>
      <c r="G14" s="77">
        <v>0</v>
      </c>
      <c r="H14" s="77">
        <v>0</v>
      </c>
      <c r="I14" s="77" t="s">
        <v>29</v>
      </c>
      <c r="J14" s="76"/>
    </row>
    <row r="15" spans="1:10" x14ac:dyDescent="0.25">
      <c r="A15" s="7">
        <f t="shared" si="0"/>
        <v>44998</v>
      </c>
      <c r="B15" s="77">
        <v>0</v>
      </c>
      <c r="C15" s="77">
        <v>100</v>
      </c>
      <c r="D15" s="77">
        <v>403</v>
      </c>
      <c r="E15" s="77">
        <v>0</v>
      </c>
      <c r="F15" s="77">
        <v>0</v>
      </c>
      <c r="G15" s="77">
        <v>0</v>
      </c>
      <c r="H15" s="77">
        <v>0</v>
      </c>
      <c r="I15" s="77" t="s">
        <v>29</v>
      </c>
      <c r="J15" s="76"/>
    </row>
    <row r="16" spans="1:10" x14ac:dyDescent="0.25">
      <c r="A16" s="7">
        <f t="shared" si="0"/>
        <v>44999</v>
      </c>
      <c r="B16" s="77">
        <v>0</v>
      </c>
      <c r="C16" s="77">
        <v>100</v>
      </c>
      <c r="D16" s="77">
        <v>350</v>
      </c>
      <c r="E16" s="77">
        <v>0</v>
      </c>
      <c r="F16" s="77">
        <v>0</v>
      </c>
      <c r="G16" s="77">
        <v>0</v>
      </c>
      <c r="H16" s="77">
        <v>0</v>
      </c>
      <c r="I16" s="77" t="s">
        <v>29</v>
      </c>
      <c r="J16" s="76"/>
    </row>
    <row r="17" spans="1:10" x14ac:dyDescent="0.25">
      <c r="A17" s="7">
        <f t="shared" si="0"/>
        <v>45000</v>
      </c>
      <c r="B17" s="77">
        <v>0</v>
      </c>
      <c r="C17" s="77">
        <v>100</v>
      </c>
      <c r="D17" s="77">
        <v>350</v>
      </c>
      <c r="E17" s="77">
        <v>18</v>
      </c>
      <c r="F17" s="77">
        <v>0</v>
      </c>
      <c r="G17" s="77">
        <v>0</v>
      </c>
      <c r="H17" s="77">
        <v>0</v>
      </c>
      <c r="I17" s="77" t="s">
        <v>29</v>
      </c>
      <c r="J17" s="76"/>
    </row>
    <row r="18" spans="1:10" x14ac:dyDescent="0.25">
      <c r="A18" s="7">
        <f t="shared" si="0"/>
        <v>45001</v>
      </c>
      <c r="B18" s="77">
        <v>0</v>
      </c>
      <c r="C18" s="77">
        <v>100</v>
      </c>
      <c r="D18" s="77">
        <v>304</v>
      </c>
      <c r="E18" s="77">
        <v>28</v>
      </c>
      <c r="F18" s="77">
        <v>0</v>
      </c>
      <c r="G18" s="77">
        <v>0</v>
      </c>
      <c r="H18" s="77">
        <v>0</v>
      </c>
      <c r="I18" s="77" t="s">
        <v>29</v>
      </c>
      <c r="J18" s="76"/>
    </row>
    <row r="19" spans="1:10" x14ac:dyDescent="0.25">
      <c r="A19" s="7">
        <f t="shared" si="0"/>
        <v>45002</v>
      </c>
      <c r="B19" s="77">
        <v>0</v>
      </c>
      <c r="C19" s="77">
        <v>100</v>
      </c>
      <c r="D19" s="77">
        <v>250</v>
      </c>
      <c r="E19" s="77">
        <v>28</v>
      </c>
      <c r="F19" s="77">
        <v>0</v>
      </c>
      <c r="G19" s="77">
        <v>0</v>
      </c>
      <c r="H19" s="77">
        <v>0</v>
      </c>
      <c r="I19" s="77" t="s">
        <v>29</v>
      </c>
      <c r="J19" s="76"/>
    </row>
    <row r="20" spans="1:10" x14ac:dyDescent="0.25">
      <c r="A20" s="7">
        <f t="shared" si="0"/>
        <v>45003</v>
      </c>
      <c r="B20" s="77">
        <v>0</v>
      </c>
      <c r="C20" s="77">
        <v>67</v>
      </c>
      <c r="D20" s="77">
        <v>234</v>
      </c>
      <c r="E20" s="77">
        <v>42</v>
      </c>
      <c r="F20" s="77">
        <v>0</v>
      </c>
      <c r="G20" s="77">
        <v>0</v>
      </c>
      <c r="H20" s="77">
        <v>0</v>
      </c>
      <c r="I20" s="77" t="s">
        <v>29</v>
      </c>
      <c r="J20" s="76" t="s">
        <v>42</v>
      </c>
    </row>
    <row r="21" spans="1:10" x14ac:dyDescent="0.25">
      <c r="A21" s="7">
        <f t="shared" si="0"/>
        <v>45004</v>
      </c>
      <c r="B21" s="77">
        <v>0</v>
      </c>
      <c r="C21" s="77">
        <v>25</v>
      </c>
      <c r="D21" s="77">
        <v>100</v>
      </c>
      <c r="E21" s="77">
        <v>50</v>
      </c>
      <c r="F21" s="77">
        <v>0</v>
      </c>
      <c r="G21" s="77">
        <v>0</v>
      </c>
      <c r="H21" s="77">
        <v>0</v>
      </c>
      <c r="I21" s="77" t="s">
        <v>29</v>
      </c>
      <c r="J21" s="76"/>
    </row>
    <row r="22" spans="1:10" x14ac:dyDescent="0.25">
      <c r="A22" s="7">
        <f t="shared" si="0"/>
        <v>45005</v>
      </c>
      <c r="B22" s="77">
        <v>0</v>
      </c>
      <c r="C22" s="77">
        <v>25</v>
      </c>
      <c r="D22" s="77">
        <v>100</v>
      </c>
      <c r="E22" s="77">
        <v>50</v>
      </c>
      <c r="F22" s="77">
        <v>0</v>
      </c>
      <c r="G22" s="77">
        <v>0</v>
      </c>
      <c r="H22" s="77">
        <v>0</v>
      </c>
      <c r="I22" s="77" t="s">
        <v>29</v>
      </c>
      <c r="J22" s="76"/>
    </row>
    <row r="23" spans="1:10" x14ac:dyDescent="0.25">
      <c r="A23" s="7">
        <f t="shared" si="0"/>
        <v>45006</v>
      </c>
      <c r="B23" s="77">
        <v>0</v>
      </c>
      <c r="C23" s="77">
        <v>35</v>
      </c>
      <c r="D23" s="77">
        <v>100</v>
      </c>
      <c r="E23" s="77">
        <v>70</v>
      </c>
      <c r="F23" s="77">
        <v>0</v>
      </c>
      <c r="G23" s="77">
        <v>0</v>
      </c>
      <c r="H23" s="77">
        <v>85</v>
      </c>
      <c r="I23" s="77" t="s">
        <v>29</v>
      </c>
      <c r="J23" s="76" t="s">
        <v>43</v>
      </c>
    </row>
    <row r="24" spans="1:10" x14ac:dyDescent="0.25">
      <c r="A24" s="7">
        <f t="shared" si="0"/>
        <v>45007</v>
      </c>
      <c r="B24" s="77">
        <v>0</v>
      </c>
      <c r="C24" s="77">
        <v>75</v>
      </c>
      <c r="D24" s="77">
        <v>100</v>
      </c>
      <c r="E24" s="77">
        <v>80</v>
      </c>
      <c r="F24" s="77">
        <v>0</v>
      </c>
      <c r="G24" s="77">
        <v>0</v>
      </c>
      <c r="H24" s="77">
        <v>215</v>
      </c>
      <c r="I24" s="77" t="s">
        <v>29</v>
      </c>
      <c r="J24" s="76" t="s">
        <v>45</v>
      </c>
    </row>
    <row r="25" spans="1:10" x14ac:dyDescent="0.25">
      <c r="A25" s="7">
        <f t="shared" si="0"/>
        <v>45008</v>
      </c>
      <c r="B25" s="77">
        <v>0</v>
      </c>
      <c r="C25" s="77">
        <v>75</v>
      </c>
      <c r="D25" s="77">
        <v>100</v>
      </c>
      <c r="E25" s="77">
        <v>119</v>
      </c>
      <c r="F25" s="77">
        <v>0.18</v>
      </c>
      <c r="G25" s="77">
        <v>0</v>
      </c>
      <c r="H25" s="77">
        <v>317</v>
      </c>
      <c r="I25" s="77" t="s">
        <v>29</v>
      </c>
      <c r="J25" s="76"/>
    </row>
    <row r="26" spans="1:10" x14ac:dyDescent="0.25">
      <c r="A26" s="7">
        <f t="shared" si="0"/>
        <v>45009</v>
      </c>
      <c r="B26" s="77">
        <v>0</v>
      </c>
      <c r="C26" s="77">
        <v>113</v>
      </c>
      <c r="D26" s="77">
        <v>100</v>
      </c>
      <c r="E26" s="77">
        <v>150</v>
      </c>
      <c r="F26" s="77">
        <v>0.11</v>
      </c>
      <c r="G26" s="77">
        <v>0.4</v>
      </c>
      <c r="H26" s="77">
        <v>317</v>
      </c>
      <c r="I26" s="77" t="s">
        <v>29</v>
      </c>
      <c r="J26" s="76" t="s">
        <v>44</v>
      </c>
    </row>
    <row r="27" spans="1:10" x14ac:dyDescent="0.25">
      <c r="A27" s="7">
        <f t="shared" si="0"/>
        <v>45010</v>
      </c>
      <c r="B27" s="77">
        <v>0</v>
      </c>
      <c r="C27" s="77">
        <v>202</v>
      </c>
      <c r="D27" s="77">
        <v>115</v>
      </c>
      <c r="E27" s="77">
        <v>175</v>
      </c>
      <c r="F27" s="77" t="s">
        <v>30</v>
      </c>
      <c r="G27" s="77">
        <v>0</v>
      </c>
      <c r="H27" s="77">
        <v>284</v>
      </c>
      <c r="I27" s="77" t="s">
        <v>29</v>
      </c>
      <c r="J27" s="76" t="s">
        <v>46</v>
      </c>
    </row>
    <row r="28" spans="1:10" x14ac:dyDescent="0.25">
      <c r="A28" s="7">
        <f t="shared" si="0"/>
        <v>45011</v>
      </c>
      <c r="B28" s="77">
        <v>0</v>
      </c>
      <c r="C28" s="77">
        <v>250</v>
      </c>
      <c r="D28" s="77">
        <v>150</v>
      </c>
      <c r="E28" s="77">
        <v>221</v>
      </c>
      <c r="F28" s="77">
        <v>0</v>
      </c>
      <c r="G28" s="77">
        <v>0</v>
      </c>
      <c r="H28" s="77">
        <v>316</v>
      </c>
      <c r="I28" s="77" t="s">
        <v>29</v>
      </c>
      <c r="J28" s="76"/>
    </row>
    <row r="29" spans="1:10" x14ac:dyDescent="0.25">
      <c r="A29" s="7">
        <f t="shared" si="0"/>
        <v>45012</v>
      </c>
      <c r="B29" s="77">
        <v>0</v>
      </c>
      <c r="C29" s="77">
        <v>250</v>
      </c>
      <c r="D29" s="77">
        <v>150</v>
      </c>
      <c r="E29" s="77">
        <v>234</v>
      </c>
      <c r="F29" s="77">
        <v>0.03</v>
      </c>
      <c r="G29" s="77">
        <v>0</v>
      </c>
      <c r="H29" s="77">
        <v>309</v>
      </c>
      <c r="I29" s="77" t="s">
        <v>29</v>
      </c>
      <c r="J29" s="76"/>
    </row>
    <row r="30" spans="1:10" x14ac:dyDescent="0.25">
      <c r="A30" s="7">
        <f t="shared" si="0"/>
        <v>45013</v>
      </c>
      <c r="B30" s="77">
        <v>0</v>
      </c>
      <c r="C30" s="77">
        <v>250</v>
      </c>
      <c r="D30" s="77">
        <v>150</v>
      </c>
      <c r="E30" s="77">
        <v>245</v>
      </c>
      <c r="F30" s="77" t="s">
        <v>30</v>
      </c>
      <c r="G30" s="77">
        <v>0</v>
      </c>
      <c r="H30" s="77">
        <v>316</v>
      </c>
      <c r="I30" s="77" t="s">
        <v>29</v>
      </c>
      <c r="J30" s="76"/>
    </row>
    <row r="31" spans="1:10" x14ac:dyDescent="0.25">
      <c r="A31" s="7">
        <f t="shared" si="0"/>
        <v>45014</v>
      </c>
      <c r="B31" s="77">
        <v>0</v>
      </c>
      <c r="C31" s="77">
        <v>281</v>
      </c>
      <c r="D31" s="77">
        <v>172</v>
      </c>
      <c r="E31" s="77">
        <v>225</v>
      </c>
      <c r="F31" s="77" t="s">
        <v>30</v>
      </c>
      <c r="G31" s="77">
        <v>0</v>
      </c>
      <c r="H31" s="77">
        <v>316</v>
      </c>
      <c r="I31" s="77" t="s">
        <v>29</v>
      </c>
      <c r="J31" s="76" t="s">
        <v>47</v>
      </c>
    </row>
    <row r="32" spans="1:10" x14ac:dyDescent="0.25">
      <c r="A32" s="7">
        <f t="shared" si="0"/>
        <v>45015</v>
      </c>
      <c r="B32" s="77">
        <v>0</v>
      </c>
      <c r="C32" s="77">
        <v>293</v>
      </c>
      <c r="D32" s="77">
        <v>241</v>
      </c>
      <c r="E32" s="77">
        <v>225</v>
      </c>
      <c r="F32" s="77">
        <v>0</v>
      </c>
      <c r="G32" s="77">
        <v>0</v>
      </c>
      <c r="H32" s="77">
        <v>316</v>
      </c>
      <c r="I32" s="77" t="s">
        <v>29</v>
      </c>
      <c r="J32" s="76" t="s">
        <v>48</v>
      </c>
    </row>
    <row r="33" spans="1:16" ht="15.75" thickBot="1" x14ac:dyDescent="0.3">
      <c r="A33" s="7">
        <f t="shared" si="0"/>
        <v>45016</v>
      </c>
      <c r="B33" s="77">
        <v>0</v>
      </c>
      <c r="C33" s="77">
        <v>275</v>
      </c>
      <c r="D33" s="77">
        <v>250</v>
      </c>
      <c r="E33" s="77">
        <v>222</v>
      </c>
      <c r="F33" s="77">
        <v>0</v>
      </c>
      <c r="G33" s="77">
        <v>0</v>
      </c>
      <c r="H33" s="77">
        <v>317</v>
      </c>
      <c r="I33" s="77" t="s">
        <v>29</v>
      </c>
      <c r="J33" s="76"/>
    </row>
    <row r="34" spans="1:16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3566</v>
      </c>
      <c r="D34" s="11">
        <f>SUM(D3:D33)</f>
        <v>8259</v>
      </c>
      <c r="E34" s="11">
        <f t="shared" si="1"/>
        <v>2182</v>
      </c>
      <c r="F34" s="12">
        <f t="shared" si="1"/>
        <v>0.54</v>
      </c>
      <c r="G34" s="12">
        <f t="shared" si="1"/>
        <v>2.4</v>
      </c>
      <c r="H34" s="11">
        <f t="shared" si="1"/>
        <v>3108</v>
      </c>
      <c r="I34" s="12"/>
    </row>
    <row r="35" spans="1:16" s="6" customFormat="1" x14ac:dyDescent="0.25">
      <c r="A35" s="13" t="s">
        <v>9</v>
      </c>
      <c r="B35" s="14">
        <f>SUM(B34+'Feb 2024'!B33)</f>
        <v>0</v>
      </c>
      <c r="C35" s="14">
        <f>SUM(C34+'Feb 2024'!C33)</f>
        <v>9908</v>
      </c>
      <c r="D35" s="14">
        <f>SUM(D34+'Feb 2024'!D33)</f>
        <v>16891</v>
      </c>
      <c r="E35" s="14">
        <f>SUM(E34+'Feb 2024'!E33)</f>
        <v>21149</v>
      </c>
      <c r="F35" s="15">
        <f>SUM(F34+'Feb 2024'!F33)</f>
        <v>6.5700000000000012</v>
      </c>
      <c r="G35" s="15">
        <f>SUM(G34+'Feb 2024'!G33)</f>
        <v>10.65</v>
      </c>
      <c r="H35" s="14">
        <f>SUM(H34+'Feb 2024'!H33)</f>
        <v>3108</v>
      </c>
      <c r="I35" s="15"/>
    </row>
    <row r="37" spans="1:16" x14ac:dyDescent="0.25">
      <c r="A37" t="s">
        <v>10</v>
      </c>
      <c r="B37" s="17">
        <f>SUM(B3:B33)*1.9835</f>
        <v>0</v>
      </c>
      <c r="C37" s="17">
        <f>SUM(C3:C33)*1.9835</f>
        <v>7073.1610000000001</v>
      </c>
      <c r="D37" s="17">
        <f>SUM(D3:D33)*1.9835</f>
        <v>16381.726500000001</v>
      </c>
      <c r="E37" s="17">
        <f>SUM(E3:E33)*1.9835</f>
        <v>4327.9970000000003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SUM(B37+'Feb 2024'!B37)</f>
        <v>0</v>
      </c>
      <c r="C39" s="17">
        <f>SUM(C37+'Feb 2024'!C37)</f>
        <v>19652.518000000004</v>
      </c>
      <c r="D39" s="17">
        <f>SUM(D37+'Feb 2024'!D37)</f>
        <v>33503.298500000004</v>
      </c>
      <c r="E39" s="17">
        <f>SUM(E37+'Feb 2024'!E37)</f>
        <v>41949.041500000007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1" sqref="M11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45323</v>
      </c>
      <c r="B3" s="77">
        <v>0</v>
      </c>
      <c r="C3" s="77">
        <v>0</v>
      </c>
      <c r="D3" s="77">
        <v>150</v>
      </c>
      <c r="E3" s="77">
        <v>89</v>
      </c>
      <c r="F3" s="77" t="s">
        <v>30</v>
      </c>
      <c r="G3" s="77">
        <v>0</v>
      </c>
      <c r="H3" s="77">
        <v>0</v>
      </c>
      <c r="I3" s="77" t="s">
        <v>29</v>
      </c>
      <c r="J3" s="76"/>
    </row>
    <row r="4" spans="1:10" x14ac:dyDescent="0.25">
      <c r="A4" s="7">
        <f>A3+1</f>
        <v>45324</v>
      </c>
      <c r="B4" s="77">
        <v>0</v>
      </c>
      <c r="C4" s="77">
        <v>0</v>
      </c>
      <c r="D4" s="77">
        <v>177</v>
      </c>
      <c r="E4" s="77">
        <v>57</v>
      </c>
      <c r="F4" s="77">
        <v>0.06</v>
      </c>
      <c r="G4" s="77">
        <v>0</v>
      </c>
      <c r="H4" s="77">
        <v>0</v>
      </c>
      <c r="I4" s="87" t="s">
        <v>29</v>
      </c>
      <c r="J4" s="76"/>
    </row>
    <row r="5" spans="1:10" x14ac:dyDescent="0.25">
      <c r="A5" s="7">
        <f t="shared" ref="A5:A31" si="0">A4+1</f>
        <v>45325</v>
      </c>
      <c r="B5" s="77">
        <v>0</v>
      </c>
      <c r="C5" s="77">
        <v>0</v>
      </c>
      <c r="D5" s="77">
        <v>202</v>
      </c>
      <c r="E5" s="77">
        <v>0</v>
      </c>
      <c r="F5" s="77">
        <v>0.15</v>
      </c>
      <c r="G5" s="77">
        <v>0</v>
      </c>
      <c r="H5" s="77">
        <v>0</v>
      </c>
      <c r="I5" s="77" t="s">
        <v>29</v>
      </c>
      <c r="J5" s="76"/>
    </row>
    <row r="6" spans="1:10" x14ac:dyDescent="0.25">
      <c r="A6" s="7">
        <f t="shared" si="0"/>
        <v>45326</v>
      </c>
      <c r="B6" s="77">
        <v>0</v>
      </c>
      <c r="C6" s="77">
        <v>0</v>
      </c>
      <c r="D6" s="77">
        <v>170</v>
      </c>
      <c r="E6" s="77">
        <v>0</v>
      </c>
      <c r="F6" s="77">
        <v>0.15</v>
      </c>
      <c r="G6" s="77">
        <v>1</v>
      </c>
      <c r="H6" s="77">
        <v>0</v>
      </c>
      <c r="I6" s="77" t="s">
        <v>29</v>
      </c>
      <c r="J6" s="76"/>
    </row>
    <row r="7" spans="1:10" x14ac:dyDescent="0.25">
      <c r="A7" s="7">
        <f t="shared" si="0"/>
        <v>45327</v>
      </c>
      <c r="B7" s="77">
        <v>0</v>
      </c>
      <c r="C7" s="77">
        <v>0</v>
      </c>
      <c r="D7" s="77">
        <v>151</v>
      </c>
      <c r="E7" s="77">
        <v>0</v>
      </c>
      <c r="F7" s="77">
        <v>0</v>
      </c>
      <c r="G7" s="77">
        <v>0</v>
      </c>
      <c r="H7" s="77">
        <v>0</v>
      </c>
      <c r="I7" s="77" t="s">
        <v>29</v>
      </c>
      <c r="J7" s="76"/>
    </row>
    <row r="8" spans="1:10" x14ac:dyDescent="0.25">
      <c r="A8" s="7">
        <f t="shared" si="0"/>
        <v>45328</v>
      </c>
      <c r="B8" s="77">
        <v>0</v>
      </c>
      <c r="C8" s="77">
        <v>0</v>
      </c>
      <c r="D8" s="77">
        <v>140</v>
      </c>
      <c r="E8" s="77">
        <v>0</v>
      </c>
      <c r="F8" s="77">
        <v>0</v>
      </c>
      <c r="G8" s="77">
        <v>0</v>
      </c>
      <c r="H8" s="77">
        <v>0</v>
      </c>
      <c r="I8" s="77" t="s">
        <v>29</v>
      </c>
      <c r="J8" s="76"/>
    </row>
    <row r="9" spans="1:10" x14ac:dyDescent="0.25">
      <c r="A9" s="7">
        <f t="shared" si="0"/>
        <v>45329</v>
      </c>
      <c r="B9" s="77">
        <v>0</v>
      </c>
      <c r="C9" s="77">
        <v>0</v>
      </c>
      <c r="D9" s="77">
        <v>140</v>
      </c>
      <c r="E9" s="77">
        <v>0</v>
      </c>
      <c r="F9" s="77">
        <v>0</v>
      </c>
      <c r="G9" s="77">
        <v>0</v>
      </c>
      <c r="H9" s="77">
        <v>0</v>
      </c>
      <c r="I9" s="77" t="s">
        <v>29</v>
      </c>
      <c r="J9" s="76"/>
    </row>
    <row r="10" spans="1:10" x14ac:dyDescent="0.25">
      <c r="A10" s="7">
        <f t="shared" si="0"/>
        <v>45330</v>
      </c>
      <c r="B10" s="77">
        <v>0</v>
      </c>
      <c r="C10" s="77">
        <v>0</v>
      </c>
      <c r="D10" s="77">
        <v>158</v>
      </c>
      <c r="E10" s="77">
        <v>0</v>
      </c>
      <c r="F10" s="77">
        <v>0</v>
      </c>
      <c r="G10" s="77">
        <v>0</v>
      </c>
      <c r="H10" s="77">
        <v>0</v>
      </c>
      <c r="I10" s="77" t="s">
        <v>29</v>
      </c>
      <c r="J10" s="76"/>
    </row>
    <row r="11" spans="1:10" x14ac:dyDescent="0.25">
      <c r="A11" s="7">
        <f t="shared" si="0"/>
        <v>45331</v>
      </c>
      <c r="B11" s="77">
        <v>0</v>
      </c>
      <c r="C11" s="77">
        <v>0</v>
      </c>
      <c r="D11" s="77">
        <v>170</v>
      </c>
      <c r="E11" s="77">
        <v>0</v>
      </c>
      <c r="F11" s="77">
        <v>0.02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7">
        <f t="shared" si="0"/>
        <v>45332</v>
      </c>
      <c r="B12" s="77">
        <v>0</v>
      </c>
      <c r="C12" s="77">
        <v>0</v>
      </c>
      <c r="D12" s="77">
        <v>164</v>
      </c>
      <c r="E12" s="77">
        <v>0</v>
      </c>
      <c r="F12" s="77">
        <v>0</v>
      </c>
      <c r="G12" s="77">
        <v>0</v>
      </c>
      <c r="H12" s="77">
        <v>0</v>
      </c>
      <c r="I12" s="77" t="s">
        <v>29</v>
      </c>
      <c r="J12" s="76"/>
    </row>
    <row r="13" spans="1:10" x14ac:dyDescent="0.25">
      <c r="A13" s="7">
        <f t="shared" si="0"/>
        <v>45333</v>
      </c>
      <c r="B13" s="77">
        <v>0</v>
      </c>
      <c r="C13" s="77">
        <v>0</v>
      </c>
      <c r="D13" s="77">
        <v>140</v>
      </c>
      <c r="E13" s="77">
        <v>0</v>
      </c>
      <c r="F13" s="77">
        <v>0</v>
      </c>
      <c r="G13" s="77">
        <v>0</v>
      </c>
      <c r="H13" s="77">
        <v>0</v>
      </c>
      <c r="I13" s="77" t="s">
        <v>29</v>
      </c>
      <c r="J13" s="76"/>
    </row>
    <row r="14" spans="1:10" x14ac:dyDescent="0.25">
      <c r="A14" s="7">
        <f t="shared" si="0"/>
        <v>45334</v>
      </c>
      <c r="B14" s="77">
        <v>0</v>
      </c>
      <c r="C14" s="77">
        <v>0</v>
      </c>
      <c r="D14" s="77">
        <v>129</v>
      </c>
      <c r="E14" s="77">
        <v>0</v>
      </c>
      <c r="F14" s="77" t="s">
        <v>30</v>
      </c>
      <c r="G14" s="77">
        <v>0</v>
      </c>
      <c r="H14" s="77">
        <v>0</v>
      </c>
      <c r="I14" s="77" t="s">
        <v>29</v>
      </c>
      <c r="J14" s="76"/>
    </row>
    <row r="15" spans="1:10" x14ac:dyDescent="0.25">
      <c r="A15" s="7">
        <f t="shared" si="0"/>
        <v>45335</v>
      </c>
      <c r="B15" s="77">
        <v>0</v>
      </c>
      <c r="C15" s="77">
        <v>0</v>
      </c>
      <c r="D15" s="77">
        <v>120</v>
      </c>
      <c r="E15" s="77">
        <v>0</v>
      </c>
      <c r="F15" s="77">
        <v>0</v>
      </c>
      <c r="G15" s="77">
        <v>0</v>
      </c>
      <c r="H15" s="77">
        <v>0</v>
      </c>
      <c r="I15" s="77" t="s">
        <v>29</v>
      </c>
      <c r="J15" s="76"/>
    </row>
    <row r="16" spans="1:10" x14ac:dyDescent="0.25">
      <c r="A16" s="7">
        <f t="shared" si="0"/>
        <v>45336</v>
      </c>
      <c r="B16" s="77">
        <v>0</v>
      </c>
      <c r="C16" s="77">
        <v>0</v>
      </c>
      <c r="D16" s="77">
        <v>120</v>
      </c>
      <c r="E16" s="77">
        <v>0</v>
      </c>
      <c r="F16" s="77">
        <v>0.13</v>
      </c>
      <c r="G16" s="77">
        <v>0</v>
      </c>
      <c r="H16" s="77">
        <v>0</v>
      </c>
      <c r="I16" s="77" t="s">
        <v>29</v>
      </c>
      <c r="J16" s="76"/>
    </row>
    <row r="17" spans="1:10" x14ac:dyDescent="0.25">
      <c r="A17" s="7">
        <f t="shared" si="0"/>
        <v>45337</v>
      </c>
      <c r="B17" s="77">
        <v>0</v>
      </c>
      <c r="C17" s="77">
        <v>0</v>
      </c>
      <c r="D17" s="77">
        <v>120</v>
      </c>
      <c r="E17" s="77">
        <v>0</v>
      </c>
      <c r="F17" s="77">
        <v>0.13</v>
      </c>
      <c r="G17" s="77">
        <v>0</v>
      </c>
      <c r="H17" s="77">
        <v>0</v>
      </c>
      <c r="I17" s="77" t="s">
        <v>29</v>
      </c>
      <c r="J17" s="76"/>
    </row>
    <row r="18" spans="1:10" x14ac:dyDescent="0.25">
      <c r="A18" s="7">
        <f t="shared" si="0"/>
        <v>45338</v>
      </c>
      <c r="B18" s="77">
        <v>0</v>
      </c>
      <c r="C18" s="77">
        <v>0</v>
      </c>
      <c r="D18" s="77">
        <v>120</v>
      </c>
      <c r="E18" s="77">
        <v>0</v>
      </c>
      <c r="F18" s="77">
        <v>0.03</v>
      </c>
      <c r="G18" s="77">
        <v>0</v>
      </c>
      <c r="H18" s="77">
        <v>0</v>
      </c>
      <c r="I18" s="77" t="s">
        <v>29</v>
      </c>
      <c r="J18" s="76"/>
    </row>
    <row r="19" spans="1:10" x14ac:dyDescent="0.25">
      <c r="A19" s="7">
        <f t="shared" si="0"/>
        <v>45339</v>
      </c>
      <c r="B19" s="77">
        <v>0</v>
      </c>
      <c r="C19" s="77">
        <v>0</v>
      </c>
      <c r="D19" s="77">
        <v>122</v>
      </c>
      <c r="E19" s="77">
        <v>0</v>
      </c>
      <c r="F19" s="77">
        <v>0</v>
      </c>
      <c r="G19" s="77">
        <v>0</v>
      </c>
      <c r="H19" s="77">
        <v>0</v>
      </c>
      <c r="I19" s="77" t="s">
        <v>29</v>
      </c>
      <c r="J19" s="76"/>
    </row>
    <row r="20" spans="1:10" x14ac:dyDescent="0.25">
      <c r="A20" s="7">
        <f t="shared" si="0"/>
        <v>45340</v>
      </c>
      <c r="B20" s="77">
        <v>0</v>
      </c>
      <c r="C20" s="77">
        <v>0</v>
      </c>
      <c r="D20" s="77">
        <v>150</v>
      </c>
      <c r="E20" s="77">
        <v>0</v>
      </c>
      <c r="F20" s="77">
        <v>0.2</v>
      </c>
      <c r="G20" s="77">
        <v>0</v>
      </c>
      <c r="H20" s="77">
        <v>0</v>
      </c>
      <c r="I20" s="77" t="s">
        <v>29</v>
      </c>
      <c r="J20" s="76"/>
    </row>
    <row r="21" spans="1:10" x14ac:dyDescent="0.25">
      <c r="A21" s="7">
        <f t="shared" si="0"/>
        <v>45341</v>
      </c>
      <c r="B21" s="77">
        <v>0</v>
      </c>
      <c r="C21" s="77">
        <v>0</v>
      </c>
      <c r="D21" s="77">
        <v>160</v>
      </c>
      <c r="E21" s="77">
        <v>0</v>
      </c>
      <c r="F21" s="77">
        <v>0.4</v>
      </c>
      <c r="G21" s="77">
        <v>0</v>
      </c>
      <c r="H21" s="77">
        <v>0</v>
      </c>
      <c r="I21" s="77" t="s">
        <v>29</v>
      </c>
      <c r="J21" s="76"/>
    </row>
    <row r="22" spans="1:10" x14ac:dyDescent="0.25">
      <c r="A22" s="7">
        <f t="shared" si="0"/>
        <v>45342</v>
      </c>
      <c r="B22" s="77">
        <v>0</v>
      </c>
      <c r="C22" s="77">
        <v>0</v>
      </c>
      <c r="D22" s="77">
        <v>189</v>
      </c>
      <c r="E22" s="77">
        <v>0</v>
      </c>
      <c r="F22" s="77">
        <v>0.09</v>
      </c>
      <c r="G22" s="77">
        <v>0</v>
      </c>
      <c r="H22" s="77">
        <v>0</v>
      </c>
      <c r="I22" s="77" t="s">
        <v>29</v>
      </c>
      <c r="J22" s="76"/>
    </row>
    <row r="23" spans="1:10" x14ac:dyDescent="0.25">
      <c r="A23" s="7">
        <f t="shared" si="0"/>
        <v>45343</v>
      </c>
      <c r="B23" s="77">
        <v>0</v>
      </c>
      <c r="C23" s="77">
        <v>0</v>
      </c>
      <c r="D23" s="77">
        <v>299</v>
      </c>
      <c r="E23" s="77">
        <v>0</v>
      </c>
      <c r="F23" s="77">
        <v>0.02</v>
      </c>
      <c r="G23" s="77">
        <v>0</v>
      </c>
      <c r="H23" s="77">
        <v>0</v>
      </c>
      <c r="I23" s="77" t="s">
        <v>29</v>
      </c>
      <c r="J23" s="76"/>
    </row>
    <row r="24" spans="1:10" x14ac:dyDescent="0.25">
      <c r="A24" s="7">
        <f t="shared" si="0"/>
        <v>45344</v>
      </c>
      <c r="B24" s="77">
        <v>0</v>
      </c>
      <c r="C24" s="77">
        <v>0</v>
      </c>
      <c r="D24" s="77">
        <v>350</v>
      </c>
      <c r="E24" s="77">
        <v>0</v>
      </c>
      <c r="F24" s="77">
        <v>0</v>
      </c>
      <c r="G24" s="77">
        <v>0</v>
      </c>
      <c r="H24" s="77">
        <v>0</v>
      </c>
      <c r="I24" s="77" t="s">
        <v>29</v>
      </c>
      <c r="J24" s="76"/>
    </row>
    <row r="25" spans="1:10" x14ac:dyDescent="0.25">
      <c r="A25" s="7">
        <f t="shared" si="0"/>
        <v>45345</v>
      </c>
      <c r="B25" s="77">
        <v>0</v>
      </c>
      <c r="C25" s="77">
        <v>0</v>
      </c>
      <c r="D25" s="77">
        <v>321</v>
      </c>
      <c r="E25" s="77">
        <v>0</v>
      </c>
      <c r="F25" s="77">
        <v>0</v>
      </c>
      <c r="G25" s="77">
        <v>0</v>
      </c>
      <c r="H25" s="77">
        <v>0</v>
      </c>
      <c r="I25" s="77" t="s">
        <v>29</v>
      </c>
      <c r="J25" s="76"/>
    </row>
    <row r="26" spans="1:10" x14ac:dyDescent="0.25">
      <c r="A26" s="7">
        <f t="shared" si="0"/>
        <v>45346</v>
      </c>
      <c r="B26" s="77">
        <v>0</v>
      </c>
      <c r="C26" s="77">
        <v>0</v>
      </c>
      <c r="D26" s="77">
        <v>269</v>
      </c>
      <c r="E26" s="77">
        <v>0</v>
      </c>
      <c r="F26" s="77">
        <v>0</v>
      </c>
      <c r="G26" s="77">
        <v>0</v>
      </c>
      <c r="H26" s="77">
        <v>0</v>
      </c>
      <c r="I26" s="77" t="s">
        <v>29</v>
      </c>
      <c r="J26" s="76"/>
    </row>
    <row r="27" spans="1:10" x14ac:dyDescent="0.25">
      <c r="A27" s="7">
        <f t="shared" si="0"/>
        <v>45347</v>
      </c>
      <c r="B27" s="77">
        <v>0</v>
      </c>
      <c r="C27" s="77">
        <v>0</v>
      </c>
      <c r="D27" s="77">
        <v>222</v>
      </c>
      <c r="E27" s="77">
        <v>0</v>
      </c>
      <c r="F27" s="77">
        <v>0</v>
      </c>
      <c r="G27" s="77">
        <v>0</v>
      </c>
      <c r="H27" s="77">
        <v>0</v>
      </c>
      <c r="I27" s="77" t="s">
        <v>29</v>
      </c>
      <c r="J27" s="76"/>
    </row>
    <row r="28" spans="1:10" x14ac:dyDescent="0.25">
      <c r="A28" s="7">
        <f t="shared" si="0"/>
        <v>45348</v>
      </c>
      <c r="B28" s="77">
        <v>0</v>
      </c>
      <c r="C28" s="77">
        <v>0</v>
      </c>
      <c r="D28" s="77">
        <v>183</v>
      </c>
      <c r="E28" s="77">
        <v>0</v>
      </c>
      <c r="F28" s="77">
        <v>0.09</v>
      </c>
      <c r="G28" s="77">
        <v>0</v>
      </c>
      <c r="H28" s="77">
        <v>0</v>
      </c>
      <c r="I28" s="77" t="s">
        <v>29</v>
      </c>
      <c r="J28" s="76"/>
    </row>
    <row r="29" spans="1:10" x14ac:dyDescent="0.25">
      <c r="A29" s="7">
        <f t="shared" si="0"/>
        <v>45349</v>
      </c>
      <c r="B29" s="77">
        <v>0</v>
      </c>
      <c r="C29" s="77">
        <v>0</v>
      </c>
      <c r="D29" s="77">
        <v>182</v>
      </c>
      <c r="E29" s="77">
        <v>0</v>
      </c>
      <c r="F29" s="77">
        <v>0</v>
      </c>
      <c r="G29" s="77">
        <v>0</v>
      </c>
      <c r="H29" s="77">
        <v>0</v>
      </c>
      <c r="I29" s="77" t="s">
        <v>29</v>
      </c>
      <c r="J29" s="76"/>
    </row>
    <row r="30" spans="1:10" x14ac:dyDescent="0.25">
      <c r="A30" s="7">
        <f t="shared" si="0"/>
        <v>45350</v>
      </c>
      <c r="B30" s="77">
        <v>0</v>
      </c>
      <c r="C30" s="77">
        <v>0</v>
      </c>
      <c r="D30" s="77">
        <v>190</v>
      </c>
      <c r="E30" s="77">
        <v>0</v>
      </c>
      <c r="F30" s="77">
        <v>0</v>
      </c>
      <c r="G30" s="77">
        <v>0</v>
      </c>
      <c r="H30" s="77">
        <v>0</v>
      </c>
      <c r="I30" s="77" t="s">
        <v>29</v>
      </c>
      <c r="J30" s="76"/>
    </row>
    <row r="31" spans="1:10" ht="15.75" thickBot="1" x14ac:dyDescent="0.3">
      <c r="A31" s="7">
        <f t="shared" si="0"/>
        <v>45351</v>
      </c>
      <c r="B31" s="8">
        <v>0</v>
      </c>
      <c r="C31" s="8">
        <v>0</v>
      </c>
      <c r="D31" s="8">
        <v>190</v>
      </c>
      <c r="E31" s="8">
        <v>0</v>
      </c>
      <c r="F31" s="9">
        <v>0.13</v>
      </c>
      <c r="G31" s="9">
        <v>0</v>
      </c>
      <c r="H31" s="8">
        <v>0</v>
      </c>
      <c r="I31" s="77" t="s">
        <v>29</v>
      </c>
      <c r="J31" s="76"/>
    </row>
    <row r="32" spans="1:10" s="6" customFormat="1" ht="15.75" thickTop="1" x14ac:dyDescent="0.25">
      <c r="A32" s="10" t="s">
        <v>8</v>
      </c>
      <c r="B32" s="11">
        <f>SUM(B3:B31)</f>
        <v>0</v>
      </c>
      <c r="C32" s="11">
        <f t="shared" ref="C32:H32" si="1">SUM(C3:C31)</f>
        <v>0</v>
      </c>
      <c r="D32" s="11">
        <f t="shared" si="1"/>
        <v>5198</v>
      </c>
      <c r="E32" s="11">
        <f t="shared" si="1"/>
        <v>146</v>
      </c>
      <c r="F32" s="12">
        <f t="shared" si="1"/>
        <v>1.6</v>
      </c>
      <c r="G32" s="12">
        <f t="shared" si="1"/>
        <v>1</v>
      </c>
      <c r="H32" s="11">
        <f t="shared" si="1"/>
        <v>0</v>
      </c>
      <c r="I32" s="12"/>
      <c r="J32"/>
    </row>
    <row r="33" spans="1:16" s="6" customFormat="1" x14ac:dyDescent="0.25">
      <c r="A33" s="13" t="s">
        <v>9</v>
      </c>
      <c r="B33" s="14">
        <f>SUM(B32+'Jan 2024'!B35)</f>
        <v>0</v>
      </c>
      <c r="C33" s="14">
        <f>SUM(C32+'Jan 2024'!C35)</f>
        <v>6342</v>
      </c>
      <c r="D33" s="14">
        <f>SUM(D32+'Jan 2024'!D35)</f>
        <v>8632</v>
      </c>
      <c r="E33" s="14">
        <f>SUM(E32+'Jan 2024'!E35)</f>
        <v>18967</v>
      </c>
      <c r="F33" s="15">
        <f>SUM(F32+'Jan 2024'!F35)</f>
        <v>6.0300000000000011</v>
      </c>
      <c r="G33" s="15">
        <f>SUM(G32+'Jan 2024'!G35)</f>
        <v>8.25</v>
      </c>
      <c r="H33" s="14">
        <f>SUM(H32+'Jan 2024'!H35)</f>
        <v>0</v>
      </c>
      <c r="I33" s="15"/>
      <c r="J33"/>
    </row>
    <row r="35" spans="1:16" x14ac:dyDescent="0.25">
      <c r="A35" t="s">
        <v>10</v>
      </c>
      <c r="B35" s="17">
        <f>SUM(B3:B31)*1.9835</f>
        <v>0</v>
      </c>
      <c r="C35" s="17">
        <f>SUM(C3:C31)*1.9835</f>
        <v>0</v>
      </c>
      <c r="D35" s="17">
        <f>SUM(D3:D31)*1.9835</f>
        <v>10310.233</v>
      </c>
      <c r="E35" s="17">
        <f>SUM(E3:E31)*1.9835</f>
        <v>289.59100000000001</v>
      </c>
      <c r="F35" s="17"/>
      <c r="G35" s="17"/>
      <c r="H35" s="17"/>
      <c r="J35" s="16"/>
    </row>
    <row r="37" spans="1:16" x14ac:dyDescent="0.25">
      <c r="A37" t="s">
        <v>24</v>
      </c>
      <c r="B37" s="17">
        <f>SUM(B35+'Jan 2024'!B39)</f>
        <v>0</v>
      </c>
      <c r="C37" s="17">
        <f>SUM(C35+'Jan 2024'!C39)</f>
        <v>12579.357000000002</v>
      </c>
      <c r="D37" s="17">
        <f>SUM(D35+'Jan 2024'!D39)</f>
        <v>17121.572</v>
      </c>
      <c r="E37" s="17">
        <f>SUM(E35+'Jan 2024'!E39)</f>
        <v>37621.044500000004</v>
      </c>
      <c r="F37" s="17"/>
      <c r="G37" s="17"/>
      <c r="H37" s="17"/>
      <c r="J37" s="16"/>
    </row>
    <row r="38" spans="1:16" x14ac:dyDescent="0.25">
      <c r="C38" s="17"/>
      <c r="D38" s="17"/>
      <c r="E38" s="17"/>
      <c r="F38" s="17"/>
      <c r="G38" s="17"/>
      <c r="H38" s="17"/>
      <c r="J38" s="16"/>
    </row>
    <row r="39" spans="1:16" ht="17.45" customHeight="1" x14ac:dyDescent="0.25">
      <c r="A39" s="238"/>
      <c r="B39" s="238"/>
      <c r="C39" s="238"/>
      <c r="D39" s="238"/>
      <c r="E39" s="238"/>
      <c r="F39" s="238"/>
      <c r="G39" s="239"/>
      <c r="H39" s="240" t="s">
        <v>12</v>
      </c>
      <c r="I39" s="241"/>
      <c r="J39" s="20"/>
      <c r="K39" s="20"/>
      <c r="L39" s="20"/>
      <c r="M39" s="20"/>
      <c r="N39" s="20"/>
      <c r="O39" s="21"/>
      <c r="P39" s="20"/>
    </row>
    <row r="40" spans="1:16" ht="16.899999999999999" customHeight="1" x14ac:dyDescent="0.25">
      <c r="A40" s="19"/>
      <c r="B40" s="19"/>
      <c r="C40" s="19"/>
      <c r="D40" s="19"/>
      <c r="E40" s="19"/>
      <c r="F40" s="19"/>
      <c r="G40" s="19"/>
      <c r="H40" s="240"/>
      <c r="I40" s="241"/>
      <c r="J40" s="20"/>
      <c r="K40" s="20"/>
      <c r="L40" s="20"/>
      <c r="M40" s="20"/>
      <c r="N40" s="20"/>
      <c r="O40" s="21"/>
      <c r="P40" s="20"/>
    </row>
    <row r="41" spans="1:16" ht="13.9" customHeight="1" x14ac:dyDescent="0.25">
      <c r="A41" s="243" t="s">
        <v>23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2"/>
      <c r="M41" s="22"/>
      <c r="N41" s="22"/>
      <c r="O41" s="23"/>
      <c r="P41" s="22"/>
    </row>
    <row r="42" spans="1:16" ht="15.6" customHeight="1" x14ac:dyDescent="0.25">
      <c r="A42" s="31" t="s">
        <v>17</v>
      </c>
      <c r="B42" s="81"/>
      <c r="C42" s="25"/>
      <c r="D42" s="26"/>
      <c r="E42" s="26"/>
      <c r="F42" s="27"/>
      <c r="G42" s="28"/>
      <c r="H42" s="29"/>
      <c r="I42" s="30"/>
      <c r="J42" s="22"/>
      <c r="K42" s="22"/>
      <c r="L42" s="22"/>
      <c r="M42" s="22"/>
      <c r="N42" s="22"/>
      <c r="O42" s="23"/>
    </row>
    <row r="43" spans="1:16" x14ac:dyDescent="0.25">
      <c r="A43" s="24"/>
      <c r="B43" s="82"/>
      <c r="C43" s="25"/>
      <c r="D43" s="26"/>
      <c r="E43" s="26"/>
      <c r="F43" s="32"/>
      <c r="G43" s="28">
        <f>SUM(24-E43)</f>
        <v>24</v>
      </c>
      <c r="H43" s="29">
        <f>SUM(D43+F43)</f>
        <v>0</v>
      </c>
      <c r="I43" s="30">
        <f>SUM(D43/24*E43+H43/24*G43)</f>
        <v>0</v>
      </c>
      <c r="J43" s="22"/>
      <c r="K43" s="22"/>
      <c r="L43" s="22"/>
      <c r="M43" s="22"/>
      <c r="N43" s="22"/>
      <c r="O43" s="23"/>
    </row>
    <row r="44" spans="1:16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ht="13.15" customHeight="1" x14ac:dyDescent="0.25">
      <c r="A48" s="33"/>
      <c r="B48" s="33"/>
      <c r="C48" s="34"/>
      <c r="D48" s="34"/>
      <c r="E48" s="34"/>
      <c r="F48" s="34"/>
      <c r="G48" s="34"/>
      <c r="H48" s="35"/>
      <c r="I48" s="22"/>
      <c r="J48" s="22"/>
      <c r="K48" s="22"/>
      <c r="L48" s="22"/>
      <c r="M48" s="22"/>
      <c r="N48" s="22"/>
      <c r="O48" s="23"/>
      <c r="P48" s="22"/>
    </row>
    <row r="49" spans="1:16" ht="15.75" thickBot="1" x14ac:dyDescent="0.3">
      <c r="A49" s="36" t="s">
        <v>18</v>
      </c>
      <c r="B49" s="36"/>
      <c r="C49" s="36"/>
      <c r="D49" s="36"/>
      <c r="E49" s="36"/>
      <c r="F49" s="37"/>
      <c r="G49" s="38"/>
      <c r="H49" s="35"/>
      <c r="I49" s="22"/>
      <c r="J49" s="22"/>
      <c r="K49" s="22"/>
      <c r="L49" s="22"/>
      <c r="M49" s="22"/>
      <c r="N49" s="22"/>
      <c r="O49" s="23"/>
      <c r="P49" s="22"/>
    </row>
    <row r="50" spans="1:16" ht="26.25" x14ac:dyDescent="0.25">
      <c r="A50" s="39" t="s">
        <v>19</v>
      </c>
      <c r="B50" s="83"/>
      <c r="C50" s="40" t="s">
        <v>13</v>
      </c>
      <c r="D50" s="41" t="s">
        <v>14</v>
      </c>
      <c r="E50" s="41" t="s">
        <v>15</v>
      </c>
      <c r="F50" s="42" t="s">
        <v>16</v>
      </c>
      <c r="G50" s="43" t="s">
        <v>20</v>
      </c>
      <c r="H50" s="44"/>
      <c r="I50" s="45"/>
      <c r="J50" s="46"/>
      <c r="K50" s="46"/>
    </row>
    <row r="51" spans="1:16" ht="15.75" x14ac:dyDescent="0.25">
      <c r="A51" s="47"/>
      <c r="B51" s="84"/>
      <c r="C51" s="48"/>
      <c r="D51" s="49"/>
      <c r="E51" s="50"/>
      <c r="F51" s="51"/>
      <c r="G51" s="52">
        <f>SUM(D51/24*E51)</f>
        <v>0</v>
      </c>
      <c r="H51" s="53"/>
      <c r="I51" s="54"/>
      <c r="J51" s="55"/>
      <c r="K51" s="55"/>
    </row>
    <row r="52" spans="1:16" x14ac:dyDescent="0.25">
      <c r="A52" s="56"/>
      <c r="B52" s="85"/>
      <c r="C52" s="57"/>
      <c r="D52" s="58"/>
      <c r="E52" s="50"/>
      <c r="F52" s="59"/>
      <c r="G52" s="60">
        <f>SUM(D52/24*E52)</f>
        <v>0</v>
      </c>
      <c r="H52" s="53"/>
      <c r="I52" s="54"/>
    </row>
    <row r="53" spans="1:16" x14ac:dyDescent="0.25">
      <c r="A53" s="56"/>
      <c r="B53" s="85"/>
      <c r="C53" s="57"/>
      <c r="D53" s="58"/>
      <c r="E53" s="50"/>
      <c r="F53" s="61"/>
      <c r="G53" s="60">
        <f>SUM(D53/24*E53)</f>
        <v>0</v>
      </c>
      <c r="H53" s="53"/>
      <c r="I53" s="54"/>
    </row>
    <row r="54" spans="1:16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6" ht="15.75" thickBot="1" x14ac:dyDescent="0.3">
      <c r="A55" s="62"/>
      <c r="B55" s="86"/>
      <c r="C55" s="63"/>
      <c r="D55" s="64"/>
      <c r="E55" s="65"/>
      <c r="F55" s="64"/>
      <c r="G55" s="66">
        <f>SUM(D55/24*E55)</f>
        <v>0</v>
      </c>
      <c r="H55" s="53"/>
      <c r="I55" s="54"/>
    </row>
    <row r="56" spans="1:16" s="72" customFormat="1" ht="30" customHeight="1" x14ac:dyDescent="0.25">
      <c r="A56" s="244" t="s">
        <v>21</v>
      </c>
      <c r="B56" s="245"/>
      <c r="C56" s="245"/>
      <c r="D56" s="246"/>
      <c r="E56" s="67">
        <f>SUM(E51:E55)</f>
        <v>0</v>
      </c>
      <c r="F56" s="68" t="s">
        <v>22</v>
      </c>
      <c r="G56" s="69">
        <f>SUM(G51:G55)</f>
        <v>0</v>
      </c>
      <c r="H56" s="70"/>
      <c r="I56" s="71"/>
    </row>
  </sheetData>
  <mergeCells count="4">
    <mergeCell ref="A39:G39"/>
    <mergeCell ref="H39:I40"/>
    <mergeCell ref="A41:K41"/>
    <mergeCell ref="A56:D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8"/>
  <sheetViews>
    <sheetView zoomScale="80" zoomScaleNormal="80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45292</v>
      </c>
      <c r="B3" s="77">
        <v>0</v>
      </c>
      <c r="C3" s="77">
        <v>0</v>
      </c>
      <c r="D3" s="77">
        <v>0</v>
      </c>
      <c r="E3" s="77">
        <v>88</v>
      </c>
      <c r="F3" s="77">
        <v>0</v>
      </c>
      <c r="G3" s="77">
        <v>0</v>
      </c>
      <c r="H3" s="77">
        <v>0</v>
      </c>
      <c r="I3" s="77" t="s">
        <v>29</v>
      </c>
      <c r="J3" s="76"/>
    </row>
    <row r="4" spans="1:10" x14ac:dyDescent="0.25">
      <c r="A4" s="7">
        <f>A3+1</f>
        <v>45293</v>
      </c>
      <c r="B4" s="77">
        <v>0</v>
      </c>
      <c r="C4" s="77">
        <v>0</v>
      </c>
      <c r="D4" s="77">
        <v>0</v>
      </c>
      <c r="E4" s="77">
        <v>88</v>
      </c>
      <c r="F4" s="77">
        <v>0.01</v>
      </c>
      <c r="G4" s="77">
        <v>0</v>
      </c>
      <c r="H4" s="77">
        <v>0</v>
      </c>
      <c r="I4" s="77" t="s">
        <v>29</v>
      </c>
      <c r="J4" s="76"/>
    </row>
    <row r="5" spans="1:10" x14ac:dyDescent="0.25">
      <c r="A5" s="7">
        <f t="shared" ref="A5:A33" si="0">A4+1</f>
        <v>45294</v>
      </c>
      <c r="B5" s="77">
        <v>0</v>
      </c>
      <c r="C5" s="77">
        <v>0</v>
      </c>
      <c r="D5" s="77">
        <v>0</v>
      </c>
      <c r="E5" s="77">
        <v>88</v>
      </c>
      <c r="F5" s="77">
        <v>0.02</v>
      </c>
      <c r="G5" s="77">
        <v>0</v>
      </c>
      <c r="H5" s="77">
        <v>0</v>
      </c>
      <c r="I5" s="77" t="s">
        <v>29</v>
      </c>
      <c r="J5" s="76"/>
    </row>
    <row r="6" spans="1:10" x14ac:dyDescent="0.25">
      <c r="A6" s="7">
        <f t="shared" si="0"/>
        <v>45295</v>
      </c>
      <c r="B6" s="77">
        <v>0</v>
      </c>
      <c r="C6" s="77">
        <v>0</v>
      </c>
      <c r="D6" s="77">
        <v>0</v>
      </c>
      <c r="E6" s="77">
        <v>86</v>
      </c>
      <c r="F6" s="77" t="s">
        <v>30</v>
      </c>
      <c r="G6" s="77">
        <v>0</v>
      </c>
      <c r="H6" s="77">
        <v>0</v>
      </c>
      <c r="I6" s="77" t="s">
        <v>29</v>
      </c>
      <c r="J6" s="76"/>
    </row>
    <row r="7" spans="1:10" x14ac:dyDescent="0.25">
      <c r="A7" s="7">
        <f t="shared" si="0"/>
        <v>45296</v>
      </c>
      <c r="B7" s="77">
        <v>0</v>
      </c>
      <c r="C7" s="77">
        <v>0</v>
      </c>
      <c r="D7" s="77">
        <v>0</v>
      </c>
      <c r="E7" s="77">
        <v>86</v>
      </c>
      <c r="F7" s="77">
        <v>0.13</v>
      </c>
      <c r="G7" s="77">
        <v>0</v>
      </c>
      <c r="H7" s="77">
        <v>0</v>
      </c>
      <c r="I7" s="77" t="s">
        <v>29</v>
      </c>
      <c r="J7" s="76"/>
    </row>
    <row r="8" spans="1:10" x14ac:dyDescent="0.25">
      <c r="A8" s="7">
        <f t="shared" si="0"/>
        <v>45297</v>
      </c>
      <c r="B8" s="77">
        <v>0</v>
      </c>
      <c r="C8" s="77">
        <v>0</v>
      </c>
      <c r="D8" s="77">
        <v>0</v>
      </c>
      <c r="E8" s="77">
        <v>87</v>
      </c>
      <c r="F8" s="77">
        <v>0.1</v>
      </c>
      <c r="G8" s="77">
        <v>0</v>
      </c>
      <c r="H8" s="77">
        <v>0</v>
      </c>
      <c r="I8" s="77" t="s">
        <v>29</v>
      </c>
      <c r="J8" s="76"/>
    </row>
    <row r="9" spans="1:10" x14ac:dyDescent="0.25">
      <c r="A9" s="7">
        <f t="shared" si="0"/>
        <v>45298</v>
      </c>
      <c r="B9" s="77">
        <v>0</v>
      </c>
      <c r="C9" s="77">
        <v>0</v>
      </c>
      <c r="D9" s="77">
        <v>0</v>
      </c>
      <c r="E9" s="77">
        <v>88</v>
      </c>
      <c r="F9" s="77">
        <v>0.1</v>
      </c>
      <c r="G9" s="77">
        <v>0</v>
      </c>
      <c r="H9" s="77">
        <v>0</v>
      </c>
      <c r="I9" s="77" t="s">
        <v>29</v>
      </c>
      <c r="J9" s="76"/>
    </row>
    <row r="10" spans="1:10" x14ac:dyDescent="0.25">
      <c r="A10" s="7">
        <f t="shared" si="0"/>
        <v>45299</v>
      </c>
      <c r="B10" s="77">
        <v>0</v>
      </c>
      <c r="C10" s="77">
        <v>0</v>
      </c>
      <c r="D10" s="77">
        <v>0</v>
      </c>
      <c r="E10" s="77">
        <v>88</v>
      </c>
      <c r="F10" s="77">
        <v>0.06</v>
      </c>
      <c r="G10" s="77">
        <v>1.75</v>
      </c>
      <c r="H10" s="77">
        <v>0</v>
      </c>
      <c r="I10" s="77" t="s">
        <v>29</v>
      </c>
      <c r="J10" s="76"/>
    </row>
    <row r="11" spans="1:10" x14ac:dyDescent="0.25">
      <c r="A11" s="7">
        <f t="shared" si="0"/>
        <v>45300</v>
      </c>
      <c r="B11" s="77">
        <v>0</v>
      </c>
      <c r="C11" s="77">
        <v>0</v>
      </c>
      <c r="D11" s="77">
        <v>0</v>
      </c>
      <c r="E11" s="77">
        <v>88</v>
      </c>
      <c r="F11" s="77">
        <v>0.04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7">
        <f t="shared" si="0"/>
        <v>45301</v>
      </c>
      <c r="B12" s="77">
        <v>0</v>
      </c>
      <c r="C12" s="77">
        <v>0</v>
      </c>
      <c r="D12" s="77">
        <v>0</v>
      </c>
      <c r="E12" s="77">
        <v>87</v>
      </c>
      <c r="F12" s="77">
        <v>0.18</v>
      </c>
      <c r="G12" s="77">
        <v>3.5</v>
      </c>
      <c r="H12" s="77">
        <v>0</v>
      </c>
      <c r="I12" s="77" t="s">
        <v>29</v>
      </c>
      <c r="J12" s="76"/>
    </row>
    <row r="13" spans="1:10" x14ac:dyDescent="0.25">
      <c r="A13" s="7">
        <f t="shared" si="0"/>
        <v>45302</v>
      </c>
      <c r="B13" s="77">
        <v>0</v>
      </c>
      <c r="C13" s="77">
        <v>0</v>
      </c>
      <c r="D13" s="77">
        <v>0</v>
      </c>
      <c r="E13" s="77">
        <v>83</v>
      </c>
      <c r="F13" s="77">
        <v>0.02</v>
      </c>
      <c r="G13" s="77">
        <v>0</v>
      </c>
      <c r="H13" s="77">
        <v>0</v>
      </c>
      <c r="I13" s="77" t="s">
        <v>29</v>
      </c>
      <c r="J13" s="76"/>
    </row>
    <row r="14" spans="1:10" x14ac:dyDescent="0.25">
      <c r="A14" s="7">
        <f t="shared" si="0"/>
        <v>45303</v>
      </c>
      <c r="B14" s="77">
        <v>0</v>
      </c>
      <c r="C14" s="77">
        <v>0</v>
      </c>
      <c r="D14" s="77">
        <v>0</v>
      </c>
      <c r="E14" s="77">
        <v>85</v>
      </c>
      <c r="F14" s="77" t="s">
        <v>30</v>
      </c>
      <c r="G14" s="77">
        <v>0</v>
      </c>
      <c r="H14" s="77">
        <v>0</v>
      </c>
      <c r="I14" s="77" t="s">
        <v>29</v>
      </c>
      <c r="J14" s="76"/>
    </row>
    <row r="15" spans="1:10" x14ac:dyDescent="0.25">
      <c r="A15" s="7">
        <f t="shared" si="0"/>
        <v>45304</v>
      </c>
      <c r="B15" s="77">
        <v>0</v>
      </c>
      <c r="C15" s="77">
        <v>0</v>
      </c>
      <c r="D15" s="77">
        <v>0</v>
      </c>
      <c r="E15" s="77">
        <v>87</v>
      </c>
      <c r="F15" s="77">
        <v>0.3</v>
      </c>
      <c r="G15" s="77">
        <v>1.5</v>
      </c>
      <c r="H15" s="77">
        <v>0</v>
      </c>
      <c r="I15" s="77" t="s">
        <v>29</v>
      </c>
      <c r="J15" s="76"/>
    </row>
    <row r="16" spans="1:10" x14ac:dyDescent="0.25">
      <c r="A16" s="7">
        <f t="shared" si="0"/>
        <v>45305</v>
      </c>
      <c r="B16" s="77">
        <v>0</v>
      </c>
      <c r="C16" s="77">
        <v>0</v>
      </c>
      <c r="D16" s="77">
        <v>0</v>
      </c>
      <c r="E16" s="77">
        <v>89</v>
      </c>
      <c r="F16" s="77">
        <v>0.1</v>
      </c>
      <c r="G16" s="77">
        <v>0</v>
      </c>
      <c r="H16" s="77">
        <v>0</v>
      </c>
      <c r="I16" s="77" t="s">
        <v>29</v>
      </c>
      <c r="J16" s="76"/>
    </row>
    <row r="17" spans="1:10" x14ac:dyDescent="0.25">
      <c r="A17" s="7">
        <f t="shared" si="0"/>
        <v>45306</v>
      </c>
      <c r="B17" s="77">
        <v>0</v>
      </c>
      <c r="C17" s="77">
        <v>0</v>
      </c>
      <c r="D17" s="77">
        <v>0</v>
      </c>
      <c r="E17" s="77">
        <v>91</v>
      </c>
      <c r="F17" s="77" t="s">
        <v>30</v>
      </c>
      <c r="G17" s="77">
        <v>0</v>
      </c>
      <c r="H17" s="77">
        <v>0</v>
      </c>
      <c r="I17" s="77" t="s">
        <v>29</v>
      </c>
      <c r="J17" s="76"/>
    </row>
    <row r="18" spans="1:10" x14ac:dyDescent="0.25">
      <c r="A18" s="7">
        <f t="shared" si="0"/>
        <v>45307</v>
      </c>
      <c r="B18" s="77">
        <v>0</v>
      </c>
      <c r="C18" s="77">
        <v>0</v>
      </c>
      <c r="D18" s="77">
        <v>45</v>
      </c>
      <c r="E18" s="77">
        <v>93</v>
      </c>
      <c r="F18" s="77">
        <v>0.1</v>
      </c>
      <c r="G18" s="77">
        <v>0</v>
      </c>
      <c r="H18" s="77">
        <v>0</v>
      </c>
      <c r="I18" s="77" t="s">
        <v>29</v>
      </c>
      <c r="J18" s="76"/>
    </row>
    <row r="19" spans="1:10" x14ac:dyDescent="0.25">
      <c r="A19" s="7">
        <f t="shared" si="0"/>
        <v>45308</v>
      </c>
      <c r="B19" s="77">
        <v>0</v>
      </c>
      <c r="C19" s="77">
        <v>20</v>
      </c>
      <c r="D19" s="77">
        <v>84</v>
      </c>
      <c r="E19" s="77">
        <v>86</v>
      </c>
      <c r="F19" s="77">
        <v>0.02</v>
      </c>
      <c r="G19" s="77">
        <v>0</v>
      </c>
      <c r="H19" s="77">
        <v>0</v>
      </c>
      <c r="I19" s="77" t="s">
        <v>29</v>
      </c>
      <c r="J19" s="235" t="s">
        <v>38</v>
      </c>
    </row>
    <row r="20" spans="1:10" x14ac:dyDescent="0.25">
      <c r="A20" s="7">
        <f t="shared" si="0"/>
        <v>45309</v>
      </c>
      <c r="B20" s="77">
        <v>0</v>
      </c>
      <c r="C20" s="77">
        <v>81</v>
      </c>
      <c r="D20" s="77">
        <v>104</v>
      </c>
      <c r="E20" s="77">
        <v>83</v>
      </c>
      <c r="F20" s="77">
        <v>0.02</v>
      </c>
      <c r="G20" s="77">
        <v>0</v>
      </c>
      <c r="H20" s="77">
        <v>0</v>
      </c>
      <c r="I20" s="77" t="s">
        <v>29</v>
      </c>
      <c r="J20" s="76" t="s">
        <v>39</v>
      </c>
    </row>
    <row r="21" spans="1:10" x14ac:dyDescent="0.25">
      <c r="A21" s="7">
        <f t="shared" si="0"/>
        <v>45310</v>
      </c>
      <c r="B21" s="77">
        <v>0</v>
      </c>
      <c r="C21" s="77">
        <v>100</v>
      </c>
      <c r="D21" s="77">
        <v>173</v>
      </c>
      <c r="E21" s="77">
        <v>90</v>
      </c>
      <c r="F21" s="77">
        <v>0</v>
      </c>
      <c r="G21" s="77">
        <v>0</v>
      </c>
      <c r="H21" s="77">
        <v>0</v>
      </c>
      <c r="I21" s="77" t="s">
        <v>29</v>
      </c>
      <c r="J21" s="76"/>
    </row>
    <row r="22" spans="1:10" x14ac:dyDescent="0.25">
      <c r="A22" s="7">
        <f t="shared" si="0"/>
        <v>45311</v>
      </c>
      <c r="B22" s="77">
        <v>0</v>
      </c>
      <c r="C22" s="77">
        <v>100</v>
      </c>
      <c r="D22" s="77">
        <v>200</v>
      </c>
      <c r="E22" s="77">
        <v>91</v>
      </c>
      <c r="F22" s="77">
        <v>0</v>
      </c>
      <c r="G22" s="77">
        <v>0</v>
      </c>
      <c r="H22" s="77">
        <v>0</v>
      </c>
      <c r="I22" s="77" t="s">
        <v>29</v>
      </c>
      <c r="J22" s="76"/>
    </row>
    <row r="23" spans="1:10" x14ac:dyDescent="0.25">
      <c r="A23" s="7">
        <f t="shared" si="0"/>
        <v>45312</v>
      </c>
      <c r="B23" s="77">
        <v>0</v>
      </c>
      <c r="C23" s="77">
        <v>100</v>
      </c>
      <c r="D23" s="77">
        <v>223</v>
      </c>
      <c r="E23" s="77">
        <v>93</v>
      </c>
      <c r="F23" s="77">
        <v>0.02</v>
      </c>
      <c r="G23" s="77">
        <v>0</v>
      </c>
      <c r="H23" s="77">
        <v>0</v>
      </c>
      <c r="I23" s="77" t="s">
        <v>29</v>
      </c>
      <c r="J23" s="76"/>
    </row>
    <row r="24" spans="1:10" x14ac:dyDescent="0.25">
      <c r="A24" s="7">
        <f t="shared" si="0"/>
        <v>45313</v>
      </c>
      <c r="B24" s="77">
        <v>0</v>
      </c>
      <c r="C24" s="77">
        <v>69</v>
      </c>
      <c r="D24" s="77">
        <v>288</v>
      </c>
      <c r="E24" s="77">
        <v>94</v>
      </c>
      <c r="F24" s="77">
        <v>0.01</v>
      </c>
      <c r="G24" s="77">
        <v>0</v>
      </c>
      <c r="H24" s="77">
        <v>0</v>
      </c>
      <c r="I24" s="77" t="s">
        <v>29</v>
      </c>
      <c r="J24" s="76" t="s">
        <v>40</v>
      </c>
    </row>
    <row r="25" spans="1:10" x14ac:dyDescent="0.25">
      <c r="A25" s="7">
        <f t="shared" si="0"/>
        <v>45314</v>
      </c>
      <c r="B25" s="77">
        <v>0</v>
      </c>
      <c r="C25" s="77">
        <v>0</v>
      </c>
      <c r="D25" s="77">
        <v>332</v>
      </c>
      <c r="E25" s="77">
        <v>97</v>
      </c>
      <c r="F25" s="77">
        <v>0.24</v>
      </c>
      <c r="G25" s="77">
        <v>0</v>
      </c>
      <c r="H25" s="77">
        <v>0</v>
      </c>
      <c r="I25" s="77" t="s">
        <v>29</v>
      </c>
      <c r="J25" s="76"/>
    </row>
    <row r="26" spans="1:10" x14ac:dyDescent="0.25">
      <c r="A26" s="7">
        <f t="shared" si="0"/>
        <v>45315</v>
      </c>
      <c r="B26" s="77">
        <v>0</v>
      </c>
      <c r="C26" s="77">
        <v>0</v>
      </c>
      <c r="D26" s="77">
        <v>385</v>
      </c>
      <c r="E26" s="77">
        <v>99</v>
      </c>
      <c r="F26" s="77">
        <v>0.12</v>
      </c>
      <c r="G26" s="77">
        <v>0</v>
      </c>
      <c r="H26" s="77">
        <v>0</v>
      </c>
      <c r="I26" s="77" t="s">
        <v>29</v>
      </c>
      <c r="J26" s="76"/>
    </row>
    <row r="27" spans="1:10" x14ac:dyDescent="0.25">
      <c r="A27" s="7">
        <f t="shared" si="0"/>
        <v>45316</v>
      </c>
      <c r="B27" s="77">
        <v>0</v>
      </c>
      <c r="C27" s="77">
        <v>0</v>
      </c>
      <c r="D27" s="77">
        <v>387</v>
      </c>
      <c r="E27" s="77">
        <v>95</v>
      </c>
      <c r="F27" s="77">
        <v>0</v>
      </c>
      <c r="G27" s="77">
        <v>0</v>
      </c>
      <c r="H27" s="77">
        <v>0</v>
      </c>
      <c r="I27" s="77" t="s">
        <v>29</v>
      </c>
      <c r="J27" s="76"/>
    </row>
    <row r="28" spans="1:10" x14ac:dyDescent="0.25">
      <c r="A28" s="7">
        <f t="shared" si="0"/>
        <v>45317</v>
      </c>
      <c r="B28" s="77">
        <v>0</v>
      </c>
      <c r="C28" s="77">
        <v>0</v>
      </c>
      <c r="D28" s="77">
        <v>323</v>
      </c>
      <c r="E28" s="77">
        <v>90</v>
      </c>
      <c r="F28" s="77">
        <v>0.06</v>
      </c>
      <c r="G28" s="77">
        <v>0</v>
      </c>
      <c r="H28" s="77">
        <v>0</v>
      </c>
      <c r="I28" s="77" t="s">
        <v>29</v>
      </c>
      <c r="J28" s="76"/>
    </row>
    <row r="29" spans="1:10" x14ac:dyDescent="0.25">
      <c r="A29" s="7">
        <f t="shared" si="0"/>
        <v>45318</v>
      </c>
      <c r="B29" s="77">
        <v>0</v>
      </c>
      <c r="C29" s="77">
        <v>0</v>
      </c>
      <c r="D29" s="77">
        <v>247</v>
      </c>
      <c r="E29" s="77">
        <v>90</v>
      </c>
      <c r="F29" s="77">
        <v>0.12</v>
      </c>
      <c r="G29" s="77">
        <v>0</v>
      </c>
      <c r="H29" s="77">
        <v>0</v>
      </c>
      <c r="I29" s="77" t="s">
        <v>29</v>
      </c>
      <c r="J29" s="76"/>
    </row>
    <row r="30" spans="1:10" x14ac:dyDescent="0.25">
      <c r="A30" s="7">
        <f t="shared" si="0"/>
        <v>45319</v>
      </c>
      <c r="B30" s="77">
        <v>0</v>
      </c>
      <c r="C30" s="77">
        <v>0</v>
      </c>
      <c r="D30" s="77">
        <v>177</v>
      </c>
      <c r="E30" s="77">
        <v>85</v>
      </c>
      <c r="F30" s="77">
        <v>0</v>
      </c>
      <c r="G30" s="77">
        <v>0</v>
      </c>
      <c r="H30" s="77">
        <v>0</v>
      </c>
      <c r="I30" s="77" t="s">
        <v>29</v>
      </c>
      <c r="J30" s="76"/>
    </row>
    <row r="31" spans="1:10" x14ac:dyDescent="0.25">
      <c r="A31" s="7">
        <f t="shared" si="0"/>
        <v>45320</v>
      </c>
      <c r="B31" s="77">
        <v>0</v>
      </c>
      <c r="C31" s="77">
        <v>0</v>
      </c>
      <c r="D31" s="77">
        <v>150</v>
      </c>
      <c r="E31" s="77">
        <v>90</v>
      </c>
      <c r="F31" s="77">
        <v>0</v>
      </c>
      <c r="G31" s="77">
        <v>0</v>
      </c>
      <c r="H31" s="77">
        <v>0</v>
      </c>
      <c r="I31" s="77" t="s">
        <v>29</v>
      </c>
      <c r="J31" s="76"/>
    </row>
    <row r="32" spans="1:10" x14ac:dyDescent="0.25">
      <c r="A32" s="7">
        <f t="shared" si="0"/>
        <v>45321</v>
      </c>
      <c r="B32" s="77">
        <v>0</v>
      </c>
      <c r="C32" s="77">
        <v>0</v>
      </c>
      <c r="D32" s="77">
        <v>150</v>
      </c>
      <c r="E32" s="77">
        <v>91</v>
      </c>
      <c r="F32" s="77">
        <v>0</v>
      </c>
      <c r="G32" s="77">
        <v>0</v>
      </c>
      <c r="H32" s="77">
        <v>0</v>
      </c>
      <c r="I32" s="77" t="s">
        <v>29</v>
      </c>
      <c r="J32" s="76"/>
    </row>
    <row r="33" spans="1:16" ht="15.75" thickBot="1" x14ac:dyDescent="0.3">
      <c r="A33" s="7">
        <f t="shared" si="0"/>
        <v>45322</v>
      </c>
      <c r="B33" s="77">
        <v>0</v>
      </c>
      <c r="C33" s="77">
        <v>0</v>
      </c>
      <c r="D33" s="77">
        <v>150</v>
      </c>
      <c r="E33" s="77">
        <v>91</v>
      </c>
      <c r="F33" s="77">
        <v>0</v>
      </c>
      <c r="G33" s="77">
        <v>0</v>
      </c>
      <c r="H33" s="77">
        <v>0</v>
      </c>
      <c r="I33" s="77" t="s">
        <v>29</v>
      </c>
      <c r="J33" s="76"/>
    </row>
    <row r="34" spans="1:16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470</v>
      </c>
      <c r="D34" s="11">
        <f t="shared" si="1"/>
        <v>3418</v>
      </c>
      <c r="E34" s="11">
        <f t="shared" si="1"/>
        <v>2767</v>
      </c>
      <c r="F34" s="12">
        <f t="shared" si="1"/>
        <v>1.7700000000000005</v>
      </c>
      <c r="G34" s="12">
        <f t="shared" si="1"/>
        <v>6.75</v>
      </c>
      <c r="H34" s="11">
        <f t="shared" si="1"/>
        <v>0</v>
      </c>
      <c r="I34" s="12"/>
    </row>
    <row r="35" spans="1:16" s="6" customFormat="1" x14ac:dyDescent="0.25">
      <c r="A35" s="13" t="s">
        <v>9</v>
      </c>
      <c r="B35" s="14">
        <f>SUM(B34+'Dec 2023'!B35)</f>
        <v>0</v>
      </c>
      <c r="C35" s="14">
        <f>SUM(C34+'Dec 2023'!C35)</f>
        <v>6342</v>
      </c>
      <c r="D35" s="14">
        <f>SUM(D34+'Dec 2023'!D35)</f>
        <v>3434</v>
      </c>
      <c r="E35" s="14">
        <f>SUM(E34+'Dec 2023'!E35)</f>
        <v>18821</v>
      </c>
      <c r="F35" s="15">
        <f>SUM(F34+'Dec 2023'!F35)</f>
        <v>4.4300000000000006</v>
      </c>
      <c r="G35" s="15">
        <f>SUM(G34+'Dec 2023'!G35)</f>
        <v>7.25</v>
      </c>
      <c r="H35" s="14">
        <f>SUM(H34+'Dec 2023'!H35)</f>
        <v>0</v>
      </c>
      <c r="I35" s="15"/>
    </row>
    <row r="37" spans="1:16" x14ac:dyDescent="0.25">
      <c r="A37" t="s">
        <v>10</v>
      </c>
      <c r="B37" s="17">
        <f>SUM(B3:B33)*1.9835</f>
        <v>0</v>
      </c>
      <c r="C37" s="17">
        <f>SUM(C3:C33)*1.9835</f>
        <v>932.245</v>
      </c>
      <c r="D37" s="17">
        <f>SUM(D3:D33)*1.9835</f>
        <v>6779.6030000000001</v>
      </c>
      <c r="E37" s="17">
        <f>SUM(E3:E33)*1.9835</f>
        <v>5488.3445000000002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SUM(B37+'Dec 2023'!B39)</f>
        <v>0</v>
      </c>
      <c r="C39" s="17">
        <f>SUM(C37+'Dec 2023'!C39)</f>
        <v>12579.357000000002</v>
      </c>
      <c r="D39" s="17">
        <f>SUM(D37+'Dec 2023'!D39)</f>
        <v>6811.3389999999999</v>
      </c>
      <c r="E39" s="17">
        <f>SUM(E37+'Dec 2023'!E39)</f>
        <v>37331.453500000003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>
        <v>-100</v>
      </c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>
        <v>-50</v>
      </c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8"/>
  <sheetViews>
    <sheetView zoomScale="80" zoomScaleNormal="80" workbookViewId="0">
      <selection activeCell="N31" sqref="N31"/>
    </sheetView>
  </sheetViews>
  <sheetFormatPr defaultColWidth="8.85546875" defaultRowHeight="15" x14ac:dyDescent="0.25"/>
  <cols>
    <col min="1" max="1" width="14.7109375" style="168" customWidth="1"/>
    <col min="2" max="2" width="13.5703125" style="168" customWidth="1"/>
    <col min="3" max="9" width="11.7109375" style="168" customWidth="1"/>
    <col min="10" max="10" width="27.42578125" style="168" customWidth="1"/>
    <col min="11" max="16384" width="8.85546875" style="168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7">
        <v>45261</v>
      </c>
      <c r="B3" s="77">
        <v>0</v>
      </c>
      <c r="C3" s="77">
        <v>0</v>
      </c>
      <c r="D3" s="77">
        <v>0</v>
      </c>
      <c r="E3" s="77">
        <v>76</v>
      </c>
      <c r="F3" s="77">
        <v>0.13</v>
      </c>
      <c r="G3" s="77">
        <v>0</v>
      </c>
      <c r="H3" s="77">
        <v>0</v>
      </c>
      <c r="I3" s="77" t="s">
        <v>29</v>
      </c>
      <c r="J3" s="76"/>
    </row>
    <row r="4" spans="1:10" x14ac:dyDescent="0.25">
      <c r="A4" s="167">
        <f>A3+1</f>
        <v>45262</v>
      </c>
      <c r="B4" s="77">
        <v>0</v>
      </c>
      <c r="C4" s="77">
        <v>0</v>
      </c>
      <c r="D4" s="77">
        <v>0</v>
      </c>
      <c r="E4" s="77">
        <v>79</v>
      </c>
      <c r="F4" s="77">
        <v>0.2</v>
      </c>
      <c r="G4" s="77">
        <v>0</v>
      </c>
      <c r="H4" s="77">
        <v>0</v>
      </c>
      <c r="I4" s="77" t="s">
        <v>29</v>
      </c>
      <c r="J4" s="76"/>
    </row>
    <row r="5" spans="1:10" x14ac:dyDescent="0.25">
      <c r="A5" s="167">
        <f t="shared" ref="A5:A33" si="0">A4+1</f>
        <v>45263</v>
      </c>
      <c r="B5" s="77">
        <v>0</v>
      </c>
      <c r="C5" s="77">
        <v>0</v>
      </c>
      <c r="D5" s="77">
        <v>0</v>
      </c>
      <c r="E5" s="77">
        <v>82</v>
      </c>
      <c r="F5" s="77">
        <v>0.18</v>
      </c>
      <c r="G5" s="77">
        <v>0</v>
      </c>
      <c r="H5" s="77">
        <v>0</v>
      </c>
      <c r="I5" s="77" t="s">
        <v>29</v>
      </c>
      <c r="J5" s="76"/>
    </row>
    <row r="6" spans="1:10" x14ac:dyDescent="0.25">
      <c r="A6" s="167">
        <f t="shared" si="0"/>
        <v>45264</v>
      </c>
      <c r="B6" s="77">
        <v>0</v>
      </c>
      <c r="C6" s="77">
        <v>0</v>
      </c>
      <c r="D6" s="77">
        <v>0</v>
      </c>
      <c r="E6" s="77">
        <v>84</v>
      </c>
      <c r="F6" s="77" t="s">
        <v>30</v>
      </c>
      <c r="G6" s="77">
        <v>0</v>
      </c>
      <c r="H6" s="77">
        <v>0</v>
      </c>
      <c r="I6" s="77" t="s">
        <v>29</v>
      </c>
      <c r="J6" s="76"/>
    </row>
    <row r="7" spans="1:10" x14ac:dyDescent="0.25">
      <c r="A7" s="167">
        <f t="shared" si="0"/>
        <v>45265</v>
      </c>
      <c r="B7" s="77">
        <v>0</v>
      </c>
      <c r="C7" s="77">
        <v>0</v>
      </c>
      <c r="D7" s="77">
        <v>0</v>
      </c>
      <c r="E7" s="77">
        <v>86</v>
      </c>
      <c r="F7" s="77">
        <v>0</v>
      </c>
      <c r="G7" s="77">
        <v>0</v>
      </c>
      <c r="H7" s="77">
        <v>0</v>
      </c>
      <c r="I7" s="77" t="s">
        <v>29</v>
      </c>
      <c r="J7" s="76"/>
    </row>
    <row r="8" spans="1:10" x14ac:dyDescent="0.25">
      <c r="A8" s="167">
        <f t="shared" si="0"/>
        <v>45266</v>
      </c>
      <c r="B8" s="77">
        <v>0</v>
      </c>
      <c r="C8" s="77">
        <v>0</v>
      </c>
      <c r="D8" s="77">
        <v>0</v>
      </c>
      <c r="E8" s="77">
        <v>83</v>
      </c>
      <c r="F8" s="77" t="s">
        <v>30</v>
      </c>
      <c r="G8" s="77">
        <v>0</v>
      </c>
      <c r="H8" s="77">
        <v>0</v>
      </c>
      <c r="I8" s="77" t="s">
        <v>29</v>
      </c>
      <c r="J8" s="76"/>
    </row>
    <row r="9" spans="1:10" x14ac:dyDescent="0.25">
      <c r="A9" s="167">
        <f t="shared" si="0"/>
        <v>45267</v>
      </c>
      <c r="B9" s="77">
        <v>0</v>
      </c>
      <c r="C9" s="77">
        <v>0</v>
      </c>
      <c r="D9" s="77">
        <v>0</v>
      </c>
      <c r="E9" s="77">
        <v>82</v>
      </c>
      <c r="F9" s="77">
        <v>7.0000000000000007E-2</v>
      </c>
      <c r="G9" s="77">
        <v>0</v>
      </c>
      <c r="H9" s="77">
        <v>0</v>
      </c>
      <c r="I9" s="77" t="s">
        <v>29</v>
      </c>
      <c r="J9" s="76"/>
    </row>
    <row r="10" spans="1:10" x14ac:dyDescent="0.25">
      <c r="A10" s="167">
        <f t="shared" si="0"/>
        <v>45268</v>
      </c>
      <c r="B10" s="77">
        <v>0</v>
      </c>
      <c r="C10" s="77">
        <v>0</v>
      </c>
      <c r="D10" s="77">
        <v>0</v>
      </c>
      <c r="E10" s="77">
        <v>82</v>
      </c>
      <c r="F10" s="77">
        <v>0</v>
      </c>
      <c r="G10" s="77">
        <v>0</v>
      </c>
      <c r="H10" s="77">
        <v>0</v>
      </c>
      <c r="I10" s="77" t="s">
        <v>29</v>
      </c>
      <c r="J10" s="76"/>
    </row>
    <row r="11" spans="1:10" x14ac:dyDescent="0.25">
      <c r="A11" s="167">
        <f t="shared" si="0"/>
        <v>45269</v>
      </c>
      <c r="B11" s="77">
        <v>0</v>
      </c>
      <c r="C11" s="77">
        <v>0</v>
      </c>
      <c r="D11" s="77">
        <v>0</v>
      </c>
      <c r="E11" s="77">
        <v>81</v>
      </c>
      <c r="F11" s="77">
        <v>0</v>
      </c>
      <c r="G11" s="77">
        <v>0</v>
      </c>
      <c r="H11" s="77">
        <v>0</v>
      </c>
      <c r="I11" s="77" t="s">
        <v>29</v>
      </c>
      <c r="J11" s="76"/>
    </row>
    <row r="12" spans="1:10" x14ac:dyDescent="0.25">
      <c r="A12" s="167">
        <f t="shared" si="0"/>
        <v>45270</v>
      </c>
      <c r="B12" s="77">
        <v>0</v>
      </c>
      <c r="C12" s="77">
        <v>0</v>
      </c>
      <c r="D12" s="77">
        <v>0</v>
      </c>
      <c r="E12" s="77">
        <v>81</v>
      </c>
      <c r="F12" s="77">
        <v>0</v>
      </c>
      <c r="G12" s="77">
        <v>0</v>
      </c>
      <c r="H12" s="77">
        <v>0</v>
      </c>
      <c r="I12" s="77" t="s">
        <v>29</v>
      </c>
      <c r="J12" s="76"/>
    </row>
    <row r="13" spans="1:10" x14ac:dyDescent="0.25">
      <c r="A13" s="167">
        <f t="shared" si="0"/>
        <v>45271</v>
      </c>
      <c r="B13" s="77">
        <v>0</v>
      </c>
      <c r="C13" s="77">
        <v>0</v>
      </c>
      <c r="D13" s="77">
        <v>0</v>
      </c>
      <c r="E13" s="77">
        <v>80</v>
      </c>
      <c r="F13" s="77">
        <v>0.02</v>
      </c>
      <c r="G13" s="77">
        <v>0</v>
      </c>
      <c r="H13" s="77">
        <v>0</v>
      </c>
      <c r="I13" s="77" t="s">
        <v>29</v>
      </c>
      <c r="J13" s="76"/>
    </row>
    <row r="14" spans="1:10" x14ac:dyDescent="0.25">
      <c r="A14" s="167">
        <f t="shared" si="0"/>
        <v>45272</v>
      </c>
      <c r="B14" s="77">
        <v>0</v>
      </c>
      <c r="C14" s="77">
        <v>0</v>
      </c>
      <c r="D14" s="77">
        <v>0</v>
      </c>
      <c r="E14" s="77">
        <v>78</v>
      </c>
      <c r="F14" s="77">
        <v>0</v>
      </c>
      <c r="G14" s="77">
        <v>0</v>
      </c>
      <c r="H14" s="77">
        <v>0</v>
      </c>
      <c r="I14" s="77" t="s">
        <v>29</v>
      </c>
      <c r="J14" s="76"/>
    </row>
    <row r="15" spans="1:10" x14ac:dyDescent="0.25">
      <c r="A15" s="167">
        <f t="shared" si="0"/>
        <v>45273</v>
      </c>
      <c r="B15" s="77">
        <v>0</v>
      </c>
      <c r="C15" s="77">
        <v>0</v>
      </c>
      <c r="D15" s="77">
        <v>0</v>
      </c>
      <c r="E15" s="77">
        <v>76</v>
      </c>
      <c r="F15" s="77">
        <v>0</v>
      </c>
      <c r="G15" s="77">
        <v>0</v>
      </c>
      <c r="H15" s="77">
        <v>0</v>
      </c>
      <c r="I15" s="77" t="s">
        <v>29</v>
      </c>
      <c r="J15" s="76"/>
    </row>
    <row r="16" spans="1:10" x14ac:dyDescent="0.25">
      <c r="A16" s="167">
        <f t="shared" si="0"/>
        <v>45274</v>
      </c>
      <c r="B16" s="77">
        <v>0</v>
      </c>
      <c r="C16" s="77">
        <v>0</v>
      </c>
      <c r="D16" s="77">
        <v>0</v>
      </c>
      <c r="E16" s="77">
        <v>77</v>
      </c>
      <c r="F16" s="77">
        <v>0</v>
      </c>
      <c r="G16" s="77">
        <v>0</v>
      </c>
      <c r="H16" s="77">
        <v>0</v>
      </c>
      <c r="I16" s="77" t="s">
        <v>29</v>
      </c>
      <c r="J16" s="76"/>
    </row>
    <row r="17" spans="1:10" x14ac:dyDescent="0.25">
      <c r="A17" s="167">
        <f t="shared" si="0"/>
        <v>45275</v>
      </c>
      <c r="B17" s="77">
        <v>0</v>
      </c>
      <c r="C17" s="77">
        <v>0</v>
      </c>
      <c r="D17" s="77">
        <v>0</v>
      </c>
      <c r="E17" s="77">
        <v>76</v>
      </c>
      <c r="F17" s="77" t="s">
        <v>30</v>
      </c>
      <c r="G17" s="77">
        <v>0</v>
      </c>
      <c r="H17" s="77">
        <v>0</v>
      </c>
      <c r="I17" s="77" t="s">
        <v>29</v>
      </c>
      <c r="J17" s="79"/>
    </row>
    <row r="18" spans="1:10" x14ac:dyDescent="0.25">
      <c r="A18" s="167">
        <f t="shared" si="0"/>
        <v>45276</v>
      </c>
      <c r="B18" s="77">
        <v>0</v>
      </c>
      <c r="C18" s="77">
        <v>0</v>
      </c>
      <c r="D18" s="77">
        <v>0</v>
      </c>
      <c r="E18" s="77">
        <v>78</v>
      </c>
      <c r="F18" s="77">
        <v>0</v>
      </c>
      <c r="G18" s="77">
        <v>0</v>
      </c>
      <c r="H18" s="77">
        <v>0</v>
      </c>
      <c r="I18" s="77" t="s">
        <v>29</v>
      </c>
      <c r="J18" s="79"/>
    </row>
    <row r="19" spans="1:10" x14ac:dyDescent="0.25">
      <c r="A19" s="167">
        <f t="shared" si="0"/>
        <v>45277</v>
      </c>
      <c r="B19" s="77">
        <v>0</v>
      </c>
      <c r="C19" s="77">
        <v>0</v>
      </c>
      <c r="D19" s="77">
        <v>0</v>
      </c>
      <c r="E19" s="77">
        <v>80</v>
      </c>
      <c r="F19" s="77">
        <v>0</v>
      </c>
      <c r="G19" s="77">
        <v>0</v>
      </c>
      <c r="H19" s="77">
        <v>0</v>
      </c>
      <c r="I19" s="77" t="s">
        <v>29</v>
      </c>
      <c r="J19" s="79"/>
    </row>
    <row r="20" spans="1:10" x14ac:dyDescent="0.25">
      <c r="A20" s="167">
        <f t="shared" si="0"/>
        <v>45278</v>
      </c>
      <c r="B20" s="77">
        <v>0</v>
      </c>
      <c r="C20" s="77">
        <v>0</v>
      </c>
      <c r="D20" s="77">
        <v>0</v>
      </c>
      <c r="E20" s="77">
        <v>82</v>
      </c>
      <c r="F20" s="77">
        <v>0.38</v>
      </c>
      <c r="G20" s="77">
        <v>0</v>
      </c>
      <c r="H20" s="77">
        <v>0</v>
      </c>
      <c r="I20" s="77" t="s">
        <v>29</v>
      </c>
      <c r="J20" s="79"/>
    </row>
    <row r="21" spans="1:10" x14ac:dyDescent="0.25">
      <c r="A21" s="167">
        <f t="shared" si="0"/>
        <v>45279</v>
      </c>
      <c r="B21" s="77">
        <v>0</v>
      </c>
      <c r="C21" s="77">
        <v>0</v>
      </c>
      <c r="D21" s="77">
        <v>0</v>
      </c>
      <c r="E21" s="77">
        <v>83</v>
      </c>
      <c r="F21" s="77">
        <v>0.28999999999999998</v>
      </c>
      <c r="G21" s="77">
        <v>0</v>
      </c>
      <c r="H21" s="77">
        <v>0</v>
      </c>
      <c r="I21" s="77" t="s">
        <v>29</v>
      </c>
      <c r="J21" s="79"/>
    </row>
    <row r="22" spans="1:10" x14ac:dyDescent="0.25">
      <c r="A22" s="167">
        <f t="shared" si="0"/>
        <v>45280</v>
      </c>
      <c r="B22" s="77">
        <v>0</v>
      </c>
      <c r="C22" s="77">
        <v>0</v>
      </c>
      <c r="D22" s="77">
        <v>0</v>
      </c>
      <c r="E22" s="77">
        <v>77</v>
      </c>
      <c r="F22" s="77">
        <v>0.08</v>
      </c>
      <c r="G22" s="77">
        <v>0</v>
      </c>
      <c r="H22" s="77">
        <v>0</v>
      </c>
      <c r="I22" s="77" t="s">
        <v>29</v>
      </c>
      <c r="J22" s="79"/>
    </row>
    <row r="23" spans="1:10" x14ac:dyDescent="0.25">
      <c r="A23" s="167">
        <f t="shared" si="0"/>
        <v>45281</v>
      </c>
      <c r="B23" s="77">
        <v>0</v>
      </c>
      <c r="C23" s="77">
        <v>0</v>
      </c>
      <c r="D23" s="77">
        <v>0</v>
      </c>
      <c r="E23" s="77">
        <v>99</v>
      </c>
      <c r="F23" s="77">
        <v>0.01</v>
      </c>
      <c r="G23" s="77">
        <v>0</v>
      </c>
      <c r="H23" s="77">
        <v>0</v>
      </c>
      <c r="I23" s="77" t="s">
        <v>29</v>
      </c>
      <c r="J23" s="79"/>
    </row>
    <row r="24" spans="1:10" x14ac:dyDescent="0.25">
      <c r="A24" s="167">
        <f t="shared" si="0"/>
        <v>45282</v>
      </c>
      <c r="B24" s="77">
        <v>0</v>
      </c>
      <c r="C24" s="77">
        <v>0</v>
      </c>
      <c r="D24" s="77">
        <v>0</v>
      </c>
      <c r="E24" s="77">
        <v>116</v>
      </c>
      <c r="F24" s="77" t="s">
        <v>30</v>
      </c>
      <c r="G24" s="77">
        <v>0</v>
      </c>
      <c r="H24" s="77">
        <v>0</v>
      </c>
      <c r="I24" s="77" t="s">
        <v>29</v>
      </c>
      <c r="J24" s="79"/>
    </row>
    <row r="25" spans="1:10" x14ac:dyDescent="0.25">
      <c r="A25" s="167">
        <f t="shared" si="0"/>
        <v>45283</v>
      </c>
      <c r="B25" s="77">
        <v>0</v>
      </c>
      <c r="C25" s="77">
        <v>0</v>
      </c>
      <c r="D25" s="77">
        <v>0</v>
      </c>
      <c r="E25" s="77">
        <v>114</v>
      </c>
      <c r="F25" s="77" t="s">
        <v>30</v>
      </c>
      <c r="G25" s="77">
        <v>0</v>
      </c>
      <c r="H25" s="77">
        <v>0</v>
      </c>
      <c r="I25" s="77" t="s">
        <v>29</v>
      </c>
      <c r="J25" s="79"/>
    </row>
    <row r="26" spans="1:10" x14ac:dyDescent="0.25">
      <c r="A26" s="167">
        <f t="shared" si="0"/>
        <v>45284</v>
      </c>
      <c r="B26" s="77">
        <v>0</v>
      </c>
      <c r="C26" s="77">
        <v>0</v>
      </c>
      <c r="D26" s="77">
        <v>0</v>
      </c>
      <c r="E26" s="77">
        <v>112</v>
      </c>
      <c r="F26" s="77" t="s">
        <v>30</v>
      </c>
      <c r="G26" s="77">
        <v>0</v>
      </c>
      <c r="H26" s="77">
        <v>0</v>
      </c>
      <c r="I26" s="77" t="s">
        <v>29</v>
      </c>
      <c r="J26" s="79"/>
    </row>
    <row r="27" spans="1:10" x14ac:dyDescent="0.25">
      <c r="A27" s="167">
        <f t="shared" si="0"/>
        <v>45285</v>
      </c>
      <c r="B27" s="77">
        <v>0</v>
      </c>
      <c r="C27" s="77">
        <v>0</v>
      </c>
      <c r="D27" s="77">
        <v>0</v>
      </c>
      <c r="E27" s="77">
        <v>112</v>
      </c>
      <c r="F27" s="77" t="s">
        <v>30</v>
      </c>
      <c r="G27" s="77">
        <v>0</v>
      </c>
      <c r="H27" s="77">
        <v>0</v>
      </c>
      <c r="I27" s="77" t="s">
        <v>29</v>
      </c>
      <c r="J27" s="79"/>
    </row>
    <row r="28" spans="1:10" x14ac:dyDescent="0.25">
      <c r="A28" s="167">
        <f t="shared" si="0"/>
        <v>45286</v>
      </c>
      <c r="B28" s="77">
        <v>0</v>
      </c>
      <c r="C28" s="77">
        <v>0</v>
      </c>
      <c r="D28" s="77">
        <v>0</v>
      </c>
      <c r="E28" s="77">
        <v>98</v>
      </c>
      <c r="F28" s="77">
        <v>0</v>
      </c>
      <c r="G28" s="77">
        <v>0</v>
      </c>
      <c r="H28" s="77">
        <v>0</v>
      </c>
      <c r="I28" s="77" t="s">
        <v>29</v>
      </c>
      <c r="J28" s="79"/>
    </row>
    <row r="29" spans="1:10" x14ac:dyDescent="0.25">
      <c r="A29" s="167">
        <f t="shared" si="0"/>
        <v>45287</v>
      </c>
      <c r="B29" s="77">
        <v>0</v>
      </c>
      <c r="C29" s="77">
        <v>0</v>
      </c>
      <c r="D29" s="77">
        <v>0</v>
      </c>
      <c r="E29" s="77">
        <v>78</v>
      </c>
      <c r="F29" s="77" t="s">
        <v>30</v>
      </c>
      <c r="G29" s="77">
        <v>0</v>
      </c>
      <c r="H29" s="77">
        <v>0</v>
      </c>
      <c r="I29" s="77" t="s">
        <v>29</v>
      </c>
      <c r="J29" s="79"/>
    </row>
    <row r="30" spans="1:10" x14ac:dyDescent="0.25">
      <c r="A30" s="167">
        <f t="shared" si="0"/>
        <v>45288</v>
      </c>
      <c r="B30" s="77">
        <v>0</v>
      </c>
      <c r="C30" s="77">
        <v>0</v>
      </c>
      <c r="D30" s="77">
        <v>0</v>
      </c>
      <c r="E30" s="77">
        <v>86</v>
      </c>
      <c r="F30" s="77" t="s">
        <v>30</v>
      </c>
      <c r="G30" s="77">
        <v>0</v>
      </c>
      <c r="H30" s="77">
        <v>0</v>
      </c>
      <c r="I30" s="77" t="s">
        <v>29</v>
      </c>
      <c r="J30" s="76"/>
    </row>
    <row r="31" spans="1:10" x14ac:dyDescent="0.25">
      <c r="A31" s="167">
        <f t="shared" si="0"/>
        <v>45289</v>
      </c>
      <c r="B31" s="77">
        <v>0</v>
      </c>
      <c r="C31" s="77">
        <v>0</v>
      </c>
      <c r="D31" s="77">
        <v>0</v>
      </c>
      <c r="E31" s="77">
        <v>90</v>
      </c>
      <c r="F31" s="77" t="s">
        <v>30</v>
      </c>
      <c r="G31" s="77">
        <v>0</v>
      </c>
      <c r="H31" s="77">
        <v>0</v>
      </c>
      <c r="I31" s="77" t="s">
        <v>29</v>
      </c>
      <c r="J31" s="76"/>
    </row>
    <row r="32" spans="1:10" x14ac:dyDescent="0.25">
      <c r="A32" s="167">
        <f t="shared" si="0"/>
        <v>45290</v>
      </c>
      <c r="B32" s="77">
        <v>0</v>
      </c>
      <c r="C32" s="77">
        <v>0</v>
      </c>
      <c r="D32" s="77">
        <v>0</v>
      </c>
      <c r="E32" s="77">
        <v>90</v>
      </c>
      <c r="F32" s="77">
        <v>0</v>
      </c>
      <c r="G32" s="77">
        <v>0</v>
      </c>
      <c r="H32" s="77">
        <v>0</v>
      </c>
      <c r="I32" s="77" t="s">
        <v>29</v>
      </c>
      <c r="J32" s="76"/>
    </row>
    <row r="33" spans="1:16" ht="15.75" thickBot="1" x14ac:dyDescent="0.3">
      <c r="A33" s="167">
        <f t="shared" si="0"/>
        <v>45291</v>
      </c>
      <c r="B33" s="77">
        <v>0</v>
      </c>
      <c r="C33" s="77">
        <v>0</v>
      </c>
      <c r="D33" s="77">
        <v>0</v>
      </c>
      <c r="E33" s="77">
        <v>88</v>
      </c>
      <c r="F33" s="77">
        <v>0.03</v>
      </c>
      <c r="G33" s="77">
        <v>0</v>
      </c>
      <c r="H33" s="77">
        <v>0</v>
      </c>
      <c r="I33" s="77" t="s">
        <v>29</v>
      </c>
      <c r="J33" s="76"/>
    </row>
    <row r="34" spans="1:16" s="94" customFormat="1" ht="15.75" thickTop="1" x14ac:dyDescent="0.25">
      <c r="A34" s="104" t="s">
        <v>8</v>
      </c>
      <c r="B34" s="169">
        <f>SUM(B3:B33)</f>
        <v>0</v>
      </c>
      <c r="C34" s="169">
        <f t="shared" ref="C34:H34" si="1">SUM(C3:C33)</f>
        <v>0</v>
      </c>
      <c r="D34" s="169">
        <f t="shared" si="1"/>
        <v>0</v>
      </c>
      <c r="E34" s="169">
        <f t="shared" si="1"/>
        <v>2686</v>
      </c>
      <c r="F34" s="170">
        <f t="shared" si="1"/>
        <v>1.3900000000000001</v>
      </c>
      <c r="G34" s="170">
        <f t="shared" si="1"/>
        <v>0</v>
      </c>
      <c r="H34" s="169">
        <f t="shared" si="1"/>
        <v>0</v>
      </c>
      <c r="I34" s="170"/>
    </row>
    <row r="35" spans="1:16" s="94" customFormat="1" x14ac:dyDescent="0.25">
      <c r="A35" s="106" t="s">
        <v>9</v>
      </c>
      <c r="B35" s="107">
        <f>SUM(B34+'Nov 2023'!B34)</f>
        <v>0</v>
      </c>
      <c r="C35" s="107">
        <f>SUM(C34+'Nov 2023'!C34)</f>
        <v>5872</v>
      </c>
      <c r="D35" s="107">
        <f>SUM(D34+'Nov 2023'!D34)</f>
        <v>16</v>
      </c>
      <c r="E35" s="107">
        <f>SUM(E34+'Nov 2023'!E34)</f>
        <v>16054</v>
      </c>
      <c r="F35" s="108">
        <f>SUM(F34+'Nov 2023'!F34)</f>
        <v>2.66</v>
      </c>
      <c r="G35" s="108">
        <f>SUM(G34+'Nov 2023'!G34)</f>
        <v>0.5</v>
      </c>
      <c r="H35" s="107">
        <f>SUM(H34+'Nov 2023'!H34)</f>
        <v>0</v>
      </c>
      <c r="I35" s="108"/>
    </row>
    <row r="37" spans="1:16" x14ac:dyDescent="0.25">
      <c r="A37" s="168" t="s">
        <v>10</v>
      </c>
      <c r="B37" s="173">
        <f>SUM(B3:B33)*1.9835</f>
        <v>0</v>
      </c>
      <c r="C37" s="173">
        <f>SUM(C3:C33)*1.9835</f>
        <v>0</v>
      </c>
      <c r="D37" s="173">
        <f>SUM(D3:D33)*1.9835</f>
        <v>0</v>
      </c>
      <c r="E37" s="173">
        <f>SUM(E3:E33)*1.9835</f>
        <v>5327.6810000000005</v>
      </c>
      <c r="F37" s="173"/>
      <c r="G37" s="173"/>
      <c r="H37" s="173"/>
      <c r="J37" s="174"/>
    </row>
    <row r="39" spans="1:16" x14ac:dyDescent="0.25">
      <c r="A39" s="168" t="s">
        <v>24</v>
      </c>
      <c r="B39" s="173">
        <f>SUM('Nov 2023'!B38+B37)</f>
        <v>0</v>
      </c>
      <c r="C39" s="173">
        <f>SUM('Nov 2023'!C38+C37)</f>
        <v>11647.112000000001</v>
      </c>
      <c r="D39" s="173">
        <f>SUM('Nov 2023'!D38+D37)</f>
        <v>31.736000000000001</v>
      </c>
      <c r="E39" s="173">
        <f>SUM('Nov 2023'!E38+E37)</f>
        <v>31843.109</v>
      </c>
      <c r="F39" s="173"/>
      <c r="G39" s="173"/>
      <c r="H39" s="173"/>
      <c r="J39" s="174"/>
    </row>
    <row r="40" spans="1:16" x14ac:dyDescent="0.25">
      <c r="C40" s="173"/>
      <c r="D40" s="173"/>
      <c r="E40" s="173"/>
      <c r="F40" s="173"/>
      <c r="G40" s="173"/>
      <c r="H40" s="173"/>
      <c r="J40" s="174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6"/>
      <c r="K41" s="176"/>
      <c r="L41" s="176"/>
      <c r="M41" s="176"/>
      <c r="N41" s="176"/>
      <c r="O41" s="177"/>
      <c r="P41" s="176"/>
    </row>
    <row r="42" spans="1:16" ht="16.899999999999999" customHeight="1" x14ac:dyDescent="0.25">
      <c r="A42" s="175"/>
      <c r="B42" s="175"/>
      <c r="C42" s="175"/>
      <c r="D42" s="175"/>
      <c r="E42" s="175"/>
      <c r="F42" s="175"/>
      <c r="G42" s="175"/>
      <c r="H42" s="249"/>
      <c r="I42" s="250"/>
      <c r="J42" s="176"/>
      <c r="K42" s="176"/>
      <c r="L42" s="176"/>
      <c r="M42" s="176"/>
      <c r="N42" s="176"/>
      <c r="O42" s="177"/>
      <c r="P42" s="176"/>
    </row>
    <row r="43" spans="1:16" ht="13.9" customHeight="1" x14ac:dyDescent="0.25">
      <c r="A43" s="252" t="s">
        <v>23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178"/>
      <c r="M43" s="178"/>
      <c r="N43" s="178"/>
      <c r="O43" s="179"/>
      <c r="P43" s="178"/>
    </row>
    <row r="44" spans="1:16" ht="15.6" customHeight="1" x14ac:dyDescent="0.25">
      <c r="A44" s="180" t="s">
        <v>17</v>
      </c>
      <c r="B44" s="181"/>
      <c r="C44" s="182"/>
      <c r="D44" s="183"/>
      <c r="E44" s="183"/>
      <c r="F44" s="184"/>
      <c r="G44" s="185"/>
      <c r="H44" s="186"/>
      <c r="I44" s="187"/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x14ac:dyDescent="0.25">
      <c r="A49" s="188"/>
      <c r="B49" s="189"/>
      <c r="C49" s="182"/>
      <c r="D49" s="183"/>
      <c r="E49" s="183"/>
      <c r="F49" s="190"/>
      <c r="G49" s="185">
        <f>SUM(24-E49)</f>
        <v>24</v>
      </c>
      <c r="H49" s="186">
        <f>SUM(D49+F49)</f>
        <v>0</v>
      </c>
      <c r="I49" s="187">
        <f>SUM(D49/24*E49+H49/24*G49)</f>
        <v>0</v>
      </c>
      <c r="J49" s="178"/>
      <c r="K49" s="178"/>
      <c r="L49" s="178"/>
      <c r="M49" s="178"/>
      <c r="N49" s="178"/>
      <c r="O49" s="179"/>
    </row>
    <row r="50" spans="1:16" ht="13.15" customHeight="1" x14ac:dyDescent="0.25">
      <c r="A50" s="191"/>
      <c r="B50" s="191"/>
      <c r="C50" s="192"/>
      <c r="D50" s="192"/>
      <c r="E50" s="192"/>
      <c r="F50" s="192"/>
      <c r="G50" s="192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15.75" thickBot="1" x14ac:dyDescent="0.3">
      <c r="A51" s="194" t="s">
        <v>18</v>
      </c>
      <c r="B51" s="194"/>
      <c r="C51" s="194"/>
      <c r="D51" s="194"/>
      <c r="E51" s="194"/>
      <c r="F51" s="195"/>
      <c r="G51" s="196"/>
      <c r="H51" s="193"/>
      <c r="I51" s="178"/>
      <c r="J51" s="178"/>
      <c r="K51" s="178"/>
      <c r="L51" s="178"/>
      <c r="M51" s="178"/>
      <c r="N51" s="178"/>
      <c r="O51" s="179"/>
      <c r="P51" s="178"/>
    </row>
    <row r="52" spans="1:16" ht="26.25" x14ac:dyDescent="0.25">
      <c r="A52" s="197" t="s">
        <v>19</v>
      </c>
      <c r="B52" s="198"/>
      <c r="C52" s="199" t="s">
        <v>13</v>
      </c>
      <c r="D52" s="200" t="s">
        <v>14</v>
      </c>
      <c r="E52" s="200" t="s">
        <v>15</v>
      </c>
      <c r="F52" s="201" t="s">
        <v>16</v>
      </c>
      <c r="G52" s="202" t="s">
        <v>20</v>
      </c>
      <c r="H52" s="203"/>
      <c r="I52" s="204"/>
      <c r="J52" s="205"/>
      <c r="K52" s="205"/>
    </row>
    <row r="53" spans="1:16" x14ac:dyDescent="0.25">
      <c r="A53" s="206"/>
      <c r="B53" s="207"/>
      <c r="C53" s="208"/>
      <c r="D53" s="209"/>
      <c r="E53" s="210"/>
      <c r="F53" s="211"/>
      <c r="G53" s="212"/>
      <c r="H53" s="213"/>
      <c r="I53" s="214"/>
      <c r="J53" s="215"/>
      <c r="K53" s="215"/>
    </row>
    <row r="54" spans="1:16" x14ac:dyDescent="0.25">
      <c r="A54" s="216"/>
      <c r="B54" s="217"/>
      <c r="C54" s="218"/>
      <c r="D54" s="219"/>
      <c r="E54" s="210"/>
      <c r="F54" s="220"/>
      <c r="G54" s="221"/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/>
      <c r="H55" s="213"/>
      <c r="I55" s="214"/>
    </row>
    <row r="56" spans="1:16" x14ac:dyDescent="0.25">
      <c r="A56" s="216"/>
      <c r="B56" s="217"/>
      <c r="C56" s="218"/>
      <c r="D56" s="219"/>
      <c r="E56" s="210"/>
      <c r="F56" s="222"/>
      <c r="G56" s="221"/>
      <c r="H56" s="213"/>
      <c r="I56" s="214"/>
    </row>
    <row r="57" spans="1:16" ht="15.75" thickBot="1" x14ac:dyDescent="0.3">
      <c r="A57" s="223"/>
      <c r="B57" s="224"/>
      <c r="C57" s="225"/>
      <c r="D57" s="226"/>
      <c r="E57" s="227"/>
      <c r="F57" s="226"/>
      <c r="G57" s="228"/>
      <c r="H57" s="213"/>
      <c r="I57" s="214"/>
    </row>
    <row r="58" spans="1:16" s="234" customFormat="1" ht="30" customHeight="1" x14ac:dyDescent="0.25">
      <c r="A58" s="253" t="s">
        <v>21</v>
      </c>
      <c r="B58" s="254"/>
      <c r="C58" s="254"/>
      <c r="D58" s="255"/>
      <c r="E58" s="229">
        <f>SUM(E53:E57)</f>
        <v>0</v>
      </c>
      <c r="F58" s="230" t="s">
        <v>22</v>
      </c>
      <c r="G58" s="231">
        <f>SUM(G53:G57)</f>
        <v>0</v>
      </c>
      <c r="H58" s="232"/>
      <c r="I58" s="233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57"/>
  <sheetViews>
    <sheetView zoomScale="80" zoomScaleNormal="80" workbookViewId="0">
      <selection activeCell="I33" sqref="I33"/>
    </sheetView>
  </sheetViews>
  <sheetFormatPr defaultColWidth="8.85546875" defaultRowHeight="15" x14ac:dyDescent="0.25"/>
  <cols>
    <col min="1" max="1" width="14.7109375" style="171" customWidth="1"/>
    <col min="2" max="2" width="13.5703125" style="171" customWidth="1"/>
    <col min="3" max="5" width="11.7109375" style="172" customWidth="1"/>
    <col min="6" max="7" width="11.7109375" style="168" customWidth="1"/>
    <col min="8" max="8" width="11.7109375" style="172" customWidth="1"/>
    <col min="9" max="9" width="11.7109375" style="168" customWidth="1"/>
    <col min="10" max="10" width="29" style="168" bestFit="1" customWidth="1"/>
    <col min="11" max="16384" width="8.85546875" style="168"/>
  </cols>
  <sheetData>
    <row r="1" spans="1:10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26</v>
      </c>
      <c r="I2" s="2"/>
      <c r="J2" s="73"/>
    </row>
    <row r="3" spans="1:10" x14ac:dyDescent="0.25">
      <c r="A3" s="167">
        <v>45231</v>
      </c>
      <c r="B3" s="80">
        <v>0</v>
      </c>
      <c r="C3" s="80">
        <v>100</v>
      </c>
      <c r="D3" s="80">
        <v>0</v>
      </c>
      <c r="E3" s="80">
        <v>230</v>
      </c>
      <c r="F3" s="80">
        <v>0</v>
      </c>
      <c r="G3" s="80">
        <v>0</v>
      </c>
      <c r="H3" s="80">
        <v>0</v>
      </c>
      <c r="I3" s="80" t="s">
        <v>29</v>
      </c>
      <c r="J3" s="76"/>
    </row>
    <row r="4" spans="1:10" x14ac:dyDescent="0.25">
      <c r="A4" s="167">
        <f>A3+1</f>
        <v>45232</v>
      </c>
      <c r="B4" s="80">
        <v>0</v>
      </c>
      <c r="C4" s="80">
        <v>100</v>
      </c>
      <c r="D4" s="80">
        <v>0</v>
      </c>
      <c r="E4" s="80">
        <v>228</v>
      </c>
      <c r="F4" s="80">
        <v>0.05</v>
      </c>
      <c r="G4" s="80">
        <v>0</v>
      </c>
      <c r="H4" s="80">
        <v>0</v>
      </c>
      <c r="I4" s="80" t="s">
        <v>29</v>
      </c>
      <c r="J4" s="76"/>
    </row>
    <row r="5" spans="1:10" x14ac:dyDescent="0.25">
      <c r="A5" s="167">
        <f t="shared" ref="A5:A32" si="0">A4+1</f>
        <v>45233</v>
      </c>
      <c r="B5" s="80">
        <v>0</v>
      </c>
      <c r="C5" s="80">
        <v>114</v>
      </c>
      <c r="D5" s="80">
        <v>0</v>
      </c>
      <c r="E5" s="80">
        <v>223</v>
      </c>
      <c r="F5" s="80">
        <v>0.01</v>
      </c>
      <c r="G5" s="80">
        <v>0</v>
      </c>
      <c r="H5" s="80">
        <v>0</v>
      </c>
      <c r="I5" s="80" t="s">
        <v>29</v>
      </c>
      <c r="J5" s="76" t="s">
        <v>32</v>
      </c>
    </row>
    <row r="6" spans="1:10" x14ac:dyDescent="0.25">
      <c r="A6" s="167">
        <f t="shared" si="0"/>
        <v>45234</v>
      </c>
      <c r="B6" s="80">
        <v>0</v>
      </c>
      <c r="C6" s="80">
        <v>125</v>
      </c>
      <c r="D6" s="80">
        <v>0</v>
      </c>
      <c r="E6" s="80">
        <v>220</v>
      </c>
      <c r="F6" s="80">
        <v>0</v>
      </c>
      <c r="G6" s="80">
        <v>0</v>
      </c>
      <c r="H6" s="80">
        <v>0</v>
      </c>
      <c r="I6" s="80" t="s">
        <v>29</v>
      </c>
      <c r="J6" s="76"/>
    </row>
    <row r="7" spans="1:10" x14ac:dyDescent="0.25">
      <c r="A7" s="167">
        <f t="shared" si="0"/>
        <v>45235</v>
      </c>
      <c r="B7" s="80">
        <v>0</v>
      </c>
      <c r="C7" s="80">
        <v>125</v>
      </c>
      <c r="D7" s="80">
        <v>0</v>
      </c>
      <c r="E7" s="80">
        <v>220</v>
      </c>
      <c r="F7" s="80">
        <v>0</v>
      </c>
      <c r="G7" s="80">
        <v>0</v>
      </c>
      <c r="H7" s="80">
        <v>0</v>
      </c>
      <c r="I7" s="80" t="s">
        <v>29</v>
      </c>
      <c r="J7" s="76"/>
    </row>
    <row r="8" spans="1:10" x14ac:dyDescent="0.25">
      <c r="A8" s="167">
        <f t="shared" si="0"/>
        <v>45236</v>
      </c>
      <c r="B8" s="80">
        <v>0</v>
      </c>
      <c r="C8" s="80">
        <v>125</v>
      </c>
      <c r="D8" s="80">
        <v>0</v>
      </c>
      <c r="E8" s="80">
        <v>216</v>
      </c>
      <c r="F8" s="80">
        <v>0.3</v>
      </c>
      <c r="G8" s="80">
        <v>0</v>
      </c>
      <c r="H8" s="80">
        <v>0</v>
      </c>
      <c r="I8" s="80" t="s">
        <v>29</v>
      </c>
      <c r="J8" s="76"/>
    </row>
    <row r="9" spans="1:10" x14ac:dyDescent="0.25">
      <c r="A9" s="167">
        <f t="shared" si="0"/>
        <v>45237</v>
      </c>
      <c r="B9" s="80">
        <v>0</v>
      </c>
      <c r="C9" s="80">
        <v>140</v>
      </c>
      <c r="D9" s="80">
        <v>0</v>
      </c>
      <c r="E9" s="80">
        <v>210</v>
      </c>
      <c r="F9" s="80">
        <v>0</v>
      </c>
      <c r="G9" s="80">
        <v>0</v>
      </c>
      <c r="H9" s="80">
        <v>0</v>
      </c>
      <c r="I9" s="80" t="s">
        <v>29</v>
      </c>
      <c r="J9" s="76" t="s">
        <v>33</v>
      </c>
    </row>
    <row r="10" spans="1:10" x14ac:dyDescent="0.25">
      <c r="A10" s="167">
        <f t="shared" si="0"/>
        <v>45238</v>
      </c>
      <c r="B10" s="80">
        <v>0</v>
      </c>
      <c r="C10" s="80">
        <v>150</v>
      </c>
      <c r="D10" s="80">
        <v>0</v>
      </c>
      <c r="E10" s="80">
        <v>209</v>
      </c>
      <c r="F10" s="80" t="s">
        <v>30</v>
      </c>
      <c r="G10" s="80">
        <v>0</v>
      </c>
      <c r="H10" s="80">
        <v>0</v>
      </c>
      <c r="I10" s="80" t="s">
        <v>29</v>
      </c>
      <c r="J10" s="76"/>
    </row>
    <row r="11" spans="1:10" x14ac:dyDescent="0.25">
      <c r="A11" s="167">
        <f t="shared" si="0"/>
        <v>45239</v>
      </c>
      <c r="B11" s="80">
        <v>0</v>
      </c>
      <c r="C11" s="80">
        <v>135</v>
      </c>
      <c r="D11" s="80">
        <v>0</v>
      </c>
      <c r="E11" s="80">
        <v>180</v>
      </c>
      <c r="F11" s="80" t="s">
        <v>30</v>
      </c>
      <c r="G11" s="80">
        <v>0</v>
      </c>
      <c r="H11" s="80">
        <v>0</v>
      </c>
      <c r="I11" s="80" t="s">
        <v>29</v>
      </c>
      <c r="J11" s="76" t="s">
        <v>34</v>
      </c>
    </row>
    <row r="12" spans="1:10" x14ac:dyDescent="0.25">
      <c r="A12" s="167">
        <f t="shared" si="0"/>
        <v>45240</v>
      </c>
      <c r="B12" s="80">
        <v>0</v>
      </c>
      <c r="C12" s="80">
        <v>110</v>
      </c>
      <c r="D12" s="80">
        <v>0</v>
      </c>
      <c r="E12" s="80">
        <v>175</v>
      </c>
      <c r="F12" s="80">
        <v>0</v>
      </c>
      <c r="G12" s="80">
        <v>0</v>
      </c>
      <c r="H12" s="80">
        <v>0</v>
      </c>
      <c r="I12" s="80" t="s">
        <v>29</v>
      </c>
      <c r="J12" s="76" t="s">
        <v>35</v>
      </c>
    </row>
    <row r="13" spans="1:10" x14ac:dyDescent="0.25">
      <c r="A13" s="167">
        <f t="shared" si="0"/>
        <v>45241</v>
      </c>
      <c r="B13" s="80">
        <v>0</v>
      </c>
      <c r="C13" s="80">
        <v>100</v>
      </c>
      <c r="D13" s="80">
        <v>0</v>
      </c>
      <c r="E13" s="80">
        <v>175</v>
      </c>
      <c r="F13" s="80">
        <v>0</v>
      </c>
      <c r="G13" s="80">
        <v>0</v>
      </c>
      <c r="H13" s="80">
        <v>0</v>
      </c>
      <c r="I13" s="80" t="s">
        <v>29</v>
      </c>
      <c r="J13" s="76"/>
    </row>
    <row r="14" spans="1:10" x14ac:dyDescent="0.25">
      <c r="A14" s="167">
        <f t="shared" si="0"/>
        <v>45242</v>
      </c>
      <c r="B14" s="80">
        <v>0</v>
      </c>
      <c r="C14" s="80">
        <v>100</v>
      </c>
      <c r="D14" s="80">
        <v>0</v>
      </c>
      <c r="E14" s="80">
        <v>175</v>
      </c>
      <c r="F14" s="80">
        <v>0</v>
      </c>
      <c r="G14" s="80">
        <v>0</v>
      </c>
      <c r="H14" s="80">
        <v>0</v>
      </c>
      <c r="I14" s="80" t="s">
        <v>29</v>
      </c>
      <c r="J14" s="76"/>
    </row>
    <row r="15" spans="1:10" x14ac:dyDescent="0.25">
      <c r="A15" s="167">
        <f t="shared" si="0"/>
        <v>45243</v>
      </c>
      <c r="B15" s="80">
        <v>0</v>
      </c>
      <c r="C15" s="80">
        <v>100</v>
      </c>
      <c r="D15" s="80">
        <v>0</v>
      </c>
      <c r="E15" s="80">
        <v>175</v>
      </c>
      <c r="F15" s="80">
        <v>0</v>
      </c>
      <c r="G15" s="80">
        <v>0</v>
      </c>
      <c r="H15" s="80">
        <v>0</v>
      </c>
      <c r="I15" s="80" t="s">
        <v>29</v>
      </c>
      <c r="J15" s="76"/>
    </row>
    <row r="16" spans="1:10" x14ac:dyDescent="0.25">
      <c r="A16" s="167">
        <f t="shared" si="0"/>
        <v>45244</v>
      </c>
      <c r="B16" s="80">
        <v>0</v>
      </c>
      <c r="C16" s="80">
        <v>85</v>
      </c>
      <c r="D16" s="80">
        <v>0</v>
      </c>
      <c r="E16" s="80">
        <v>171</v>
      </c>
      <c r="F16" s="80">
        <v>0</v>
      </c>
      <c r="G16" s="80">
        <v>0</v>
      </c>
      <c r="H16" s="80">
        <v>0</v>
      </c>
      <c r="I16" s="80" t="s">
        <v>29</v>
      </c>
      <c r="J16" s="76" t="s">
        <v>36</v>
      </c>
    </row>
    <row r="17" spans="1:10" x14ac:dyDescent="0.25">
      <c r="A17" s="167">
        <f t="shared" si="0"/>
        <v>45245</v>
      </c>
      <c r="B17" s="80">
        <v>0</v>
      </c>
      <c r="C17" s="80">
        <v>38</v>
      </c>
      <c r="D17" s="80">
        <v>0</v>
      </c>
      <c r="E17" s="80">
        <v>162</v>
      </c>
      <c r="F17" s="80" t="s">
        <v>30</v>
      </c>
      <c r="G17" s="80">
        <v>0</v>
      </c>
      <c r="H17" s="80">
        <v>0</v>
      </c>
      <c r="I17" s="80" t="s">
        <v>29</v>
      </c>
      <c r="J17" s="76" t="s">
        <v>37</v>
      </c>
    </row>
    <row r="18" spans="1:10" x14ac:dyDescent="0.25">
      <c r="A18" s="167">
        <f t="shared" si="0"/>
        <v>45246</v>
      </c>
      <c r="B18" s="80">
        <v>0</v>
      </c>
      <c r="C18" s="80">
        <v>0</v>
      </c>
      <c r="D18" s="80">
        <v>0</v>
      </c>
      <c r="E18" s="80">
        <v>119</v>
      </c>
      <c r="F18" s="80">
        <v>0.04</v>
      </c>
      <c r="G18" s="80">
        <v>0</v>
      </c>
      <c r="H18" s="80">
        <v>0</v>
      </c>
      <c r="I18" s="80" t="s">
        <v>29</v>
      </c>
      <c r="J18" s="76"/>
    </row>
    <row r="19" spans="1:10" x14ac:dyDescent="0.25">
      <c r="A19" s="167">
        <f t="shared" si="0"/>
        <v>45247</v>
      </c>
      <c r="B19" s="80">
        <v>0</v>
      </c>
      <c r="C19" s="80">
        <v>0</v>
      </c>
      <c r="D19" s="80">
        <v>0</v>
      </c>
      <c r="E19" s="80">
        <v>67</v>
      </c>
      <c r="F19" s="80">
        <v>0</v>
      </c>
      <c r="G19" s="80">
        <v>0</v>
      </c>
      <c r="H19" s="80">
        <v>0</v>
      </c>
      <c r="I19" s="80" t="s">
        <v>29</v>
      </c>
      <c r="J19" s="76"/>
    </row>
    <row r="20" spans="1:10" x14ac:dyDescent="0.25">
      <c r="A20" s="167">
        <f t="shared" si="0"/>
        <v>45248</v>
      </c>
      <c r="B20" s="80">
        <v>0</v>
      </c>
      <c r="C20" s="80">
        <v>0</v>
      </c>
      <c r="D20" s="80">
        <v>0</v>
      </c>
      <c r="E20" s="80">
        <v>65</v>
      </c>
      <c r="F20" s="80">
        <v>0.16</v>
      </c>
      <c r="G20" s="80">
        <v>0</v>
      </c>
      <c r="H20" s="80">
        <v>0</v>
      </c>
      <c r="I20" s="80" t="s">
        <v>29</v>
      </c>
      <c r="J20" s="76"/>
    </row>
    <row r="21" spans="1:10" x14ac:dyDescent="0.25">
      <c r="A21" s="167">
        <f t="shared" si="0"/>
        <v>45249</v>
      </c>
      <c r="B21" s="80">
        <v>0</v>
      </c>
      <c r="C21" s="80">
        <v>0</v>
      </c>
      <c r="D21" s="80">
        <v>0</v>
      </c>
      <c r="E21" s="80">
        <v>60</v>
      </c>
      <c r="F21" s="80">
        <v>0.05</v>
      </c>
      <c r="G21" s="80">
        <v>0</v>
      </c>
      <c r="H21" s="80">
        <v>0</v>
      </c>
      <c r="I21" s="80" t="s">
        <v>29</v>
      </c>
      <c r="J21" s="76"/>
    </row>
    <row r="22" spans="1:10" x14ac:dyDescent="0.25">
      <c r="A22" s="167">
        <f t="shared" si="0"/>
        <v>45250</v>
      </c>
      <c r="B22" s="80">
        <v>0</v>
      </c>
      <c r="C22" s="80">
        <v>0</v>
      </c>
      <c r="D22" s="80">
        <v>0</v>
      </c>
      <c r="E22" s="80">
        <v>60</v>
      </c>
      <c r="F22" s="80">
        <v>0.21</v>
      </c>
      <c r="G22" s="80">
        <v>0</v>
      </c>
      <c r="H22" s="80">
        <v>0</v>
      </c>
      <c r="I22" s="80" t="s">
        <v>29</v>
      </c>
      <c r="J22" s="76"/>
    </row>
    <row r="23" spans="1:10" x14ac:dyDescent="0.25">
      <c r="A23" s="167">
        <f t="shared" si="0"/>
        <v>45251</v>
      </c>
      <c r="B23" s="80">
        <v>0</v>
      </c>
      <c r="C23" s="80">
        <v>0</v>
      </c>
      <c r="D23" s="80">
        <v>0</v>
      </c>
      <c r="E23" s="80">
        <v>45</v>
      </c>
      <c r="F23" s="80">
        <v>0</v>
      </c>
      <c r="G23" s="80">
        <v>0</v>
      </c>
      <c r="H23" s="80">
        <v>0</v>
      </c>
      <c r="I23" s="80" t="s">
        <v>29</v>
      </c>
      <c r="J23" s="76"/>
    </row>
    <row r="24" spans="1:10" x14ac:dyDescent="0.25">
      <c r="A24" s="167">
        <f t="shared" si="0"/>
        <v>45252</v>
      </c>
      <c r="B24" s="80">
        <v>0</v>
      </c>
      <c r="C24" s="80">
        <v>0</v>
      </c>
      <c r="D24" s="80">
        <v>0</v>
      </c>
      <c r="E24" s="80">
        <v>40</v>
      </c>
      <c r="F24" s="80">
        <v>0</v>
      </c>
      <c r="G24" s="80">
        <v>0</v>
      </c>
      <c r="H24" s="80">
        <v>0</v>
      </c>
      <c r="I24" s="80" t="s">
        <v>29</v>
      </c>
      <c r="J24" s="76"/>
    </row>
    <row r="25" spans="1:10" x14ac:dyDescent="0.25">
      <c r="A25" s="167">
        <f t="shared" si="0"/>
        <v>45253</v>
      </c>
      <c r="B25" s="80">
        <v>0</v>
      </c>
      <c r="C25" s="80">
        <v>0</v>
      </c>
      <c r="D25" s="80">
        <v>0</v>
      </c>
      <c r="E25" s="80">
        <v>42</v>
      </c>
      <c r="F25" s="80">
        <v>0</v>
      </c>
      <c r="G25" s="80">
        <v>0</v>
      </c>
      <c r="H25" s="80">
        <v>0</v>
      </c>
      <c r="I25" s="80" t="s">
        <v>29</v>
      </c>
      <c r="J25" s="76"/>
    </row>
    <row r="26" spans="1:10" x14ac:dyDescent="0.25">
      <c r="A26" s="167">
        <f t="shared" si="0"/>
        <v>45254</v>
      </c>
      <c r="B26" s="80">
        <v>0</v>
      </c>
      <c r="C26" s="80">
        <v>0</v>
      </c>
      <c r="D26" s="80">
        <v>0</v>
      </c>
      <c r="E26" s="80">
        <v>44</v>
      </c>
      <c r="F26" s="80">
        <v>0.01</v>
      </c>
      <c r="G26" s="80">
        <v>0</v>
      </c>
      <c r="H26" s="80">
        <v>0</v>
      </c>
      <c r="I26" s="80" t="s">
        <v>29</v>
      </c>
      <c r="J26" s="76"/>
    </row>
    <row r="27" spans="1:10" x14ac:dyDescent="0.25">
      <c r="A27" s="167">
        <f t="shared" si="0"/>
        <v>45255</v>
      </c>
      <c r="B27" s="80">
        <v>0</v>
      </c>
      <c r="C27" s="80">
        <v>0</v>
      </c>
      <c r="D27" s="80">
        <v>0</v>
      </c>
      <c r="E27" s="80">
        <v>46</v>
      </c>
      <c r="F27" s="80">
        <v>0</v>
      </c>
      <c r="G27" s="80">
        <v>0</v>
      </c>
      <c r="H27" s="80">
        <v>0</v>
      </c>
      <c r="I27" s="80" t="s">
        <v>29</v>
      </c>
      <c r="J27" s="76"/>
    </row>
    <row r="28" spans="1:10" x14ac:dyDescent="0.25">
      <c r="A28" s="167">
        <f t="shared" si="0"/>
        <v>45256</v>
      </c>
      <c r="B28" s="80">
        <v>0</v>
      </c>
      <c r="C28" s="80">
        <v>0</v>
      </c>
      <c r="D28" s="80">
        <v>0</v>
      </c>
      <c r="E28" s="80">
        <v>48</v>
      </c>
      <c r="F28" s="80">
        <v>0</v>
      </c>
      <c r="G28" s="80">
        <v>0</v>
      </c>
      <c r="H28" s="80">
        <v>0</v>
      </c>
      <c r="I28" s="80" t="s">
        <v>29</v>
      </c>
      <c r="J28" s="76"/>
    </row>
    <row r="29" spans="1:10" x14ac:dyDescent="0.25">
      <c r="A29" s="167">
        <f t="shared" si="0"/>
        <v>45257</v>
      </c>
      <c r="B29" s="80">
        <v>0</v>
      </c>
      <c r="C29" s="80">
        <v>0</v>
      </c>
      <c r="D29" s="80">
        <v>0</v>
      </c>
      <c r="E29" s="80">
        <v>50</v>
      </c>
      <c r="F29" s="80">
        <v>0</v>
      </c>
      <c r="G29" s="80">
        <v>0</v>
      </c>
      <c r="H29" s="80">
        <v>0</v>
      </c>
      <c r="I29" s="80" t="s">
        <v>29</v>
      </c>
      <c r="J29" s="76"/>
    </row>
    <row r="30" spans="1:10" x14ac:dyDescent="0.25">
      <c r="A30" s="167">
        <f t="shared" si="0"/>
        <v>45258</v>
      </c>
      <c r="B30" s="80">
        <v>0</v>
      </c>
      <c r="C30" s="80">
        <v>0</v>
      </c>
      <c r="D30" s="80">
        <v>0</v>
      </c>
      <c r="E30" s="80">
        <v>57</v>
      </c>
      <c r="F30" s="80">
        <v>0</v>
      </c>
      <c r="G30" s="80">
        <v>0</v>
      </c>
      <c r="H30" s="80">
        <v>0</v>
      </c>
      <c r="I30" s="80" t="s">
        <v>29</v>
      </c>
      <c r="J30" s="76"/>
    </row>
    <row r="31" spans="1:10" x14ac:dyDescent="0.25">
      <c r="A31" s="167">
        <f t="shared" si="0"/>
        <v>45259</v>
      </c>
      <c r="B31" s="80">
        <v>0</v>
      </c>
      <c r="C31" s="80">
        <v>0</v>
      </c>
      <c r="D31" s="80">
        <v>0</v>
      </c>
      <c r="E31" s="80">
        <v>70</v>
      </c>
      <c r="F31" s="80" t="s">
        <v>30</v>
      </c>
      <c r="G31" s="80">
        <v>0</v>
      </c>
      <c r="H31" s="80">
        <v>0</v>
      </c>
      <c r="I31" s="80" t="s">
        <v>29</v>
      </c>
      <c r="J31" s="76"/>
    </row>
    <row r="32" spans="1:10" ht="15.75" thickBot="1" x14ac:dyDescent="0.3">
      <c r="A32" s="167">
        <f t="shared" si="0"/>
        <v>45260</v>
      </c>
      <c r="B32" s="80">
        <v>0</v>
      </c>
      <c r="C32" s="80">
        <v>0</v>
      </c>
      <c r="D32" s="80">
        <v>0</v>
      </c>
      <c r="E32" s="80">
        <v>76</v>
      </c>
      <c r="F32" s="80">
        <v>0.05</v>
      </c>
      <c r="G32" s="80">
        <v>0.5</v>
      </c>
      <c r="H32" s="80">
        <v>0</v>
      </c>
      <c r="I32" s="80" t="s">
        <v>29</v>
      </c>
      <c r="J32" s="76"/>
    </row>
    <row r="33" spans="1:16" s="94" customFormat="1" ht="15.75" thickTop="1" x14ac:dyDescent="0.25">
      <c r="A33" s="104" t="s">
        <v>8</v>
      </c>
      <c r="B33" s="169">
        <f t="shared" ref="B33:H33" si="1">SUM(B3:B32)</f>
        <v>0</v>
      </c>
      <c r="C33" s="169">
        <f t="shared" si="1"/>
        <v>1647</v>
      </c>
      <c r="D33" s="169">
        <f t="shared" si="1"/>
        <v>0</v>
      </c>
      <c r="E33" s="169">
        <f t="shared" si="1"/>
        <v>3858</v>
      </c>
      <c r="F33" s="170">
        <f t="shared" si="1"/>
        <v>0.88</v>
      </c>
      <c r="G33" s="170">
        <f t="shared" si="1"/>
        <v>0.5</v>
      </c>
      <c r="H33" s="169">
        <f t="shared" si="1"/>
        <v>0</v>
      </c>
      <c r="I33" s="170"/>
      <c r="J33" s="168"/>
    </row>
    <row r="34" spans="1:16" s="94" customFormat="1" x14ac:dyDescent="0.25">
      <c r="A34" s="106" t="s">
        <v>9</v>
      </c>
      <c r="B34" s="107">
        <f>SUM(B33+'Oct 2023'!B35)</f>
        <v>0</v>
      </c>
      <c r="C34" s="107">
        <f>SUM(C33+'Oct 2023'!C35)</f>
        <v>5872</v>
      </c>
      <c r="D34" s="107">
        <f>SUM(D33+'Oct 2023'!D35)</f>
        <v>16</v>
      </c>
      <c r="E34" s="107">
        <f>SUM(E33+'Oct 2023'!E35)</f>
        <v>13368</v>
      </c>
      <c r="F34" s="108">
        <f>SUM(F33+'Oct 2023'!F35)</f>
        <v>1.27</v>
      </c>
      <c r="G34" s="108">
        <f>SUM(G33+'Oct 2023'!G35)</f>
        <v>0.5</v>
      </c>
      <c r="H34" s="107">
        <f>SUM(H33+'Oct 2023'!H35)</f>
        <v>0</v>
      </c>
      <c r="I34" s="108"/>
    </row>
    <row r="35" spans="1:16" x14ac:dyDescent="0.25">
      <c r="B35" s="172"/>
      <c r="J35" s="94"/>
    </row>
    <row r="36" spans="1:16" x14ac:dyDescent="0.25">
      <c r="A36" s="168" t="s">
        <v>10</v>
      </c>
      <c r="B36" s="173">
        <f>SUM(B3:B32)*1.9835</f>
        <v>0</v>
      </c>
      <c r="C36" s="173">
        <f>SUM(C3:C32)*1.9835</f>
        <v>3266.8245000000002</v>
      </c>
      <c r="D36" s="173">
        <f>SUM(D3:D32)*1.9835</f>
        <v>0</v>
      </c>
      <c r="E36" s="173">
        <f>SUM(E3:E32)*1.9835</f>
        <v>7652.3429999999998</v>
      </c>
      <c r="F36" s="173"/>
      <c r="G36" s="173"/>
      <c r="H36" s="173"/>
      <c r="J36" s="174"/>
    </row>
    <row r="37" spans="1:16" x14ac:dyDescent="0.25">
      <c r="A37" s="168"/>
      <c r="B37" s="168"/>
      <c r="C37" s="168"/>
      <c r="D37" s="168"/>
      <c r="E37" s="168"/>
      <c r="H37" s="168"/>
    </row>
    <row r="38" spans="1:16" x14ac:dyDescent="0.25">
      <c r="A38" s="168" t="s">
        <v>24</v>
      </c>
      <c r="B38" s="173">
        <f>SUM('Oct 2023'!B39+B36)</f>
        <v>0</v>
      </c>
      <c r="C38" s="173">
        <f>SUM('Oct 2023'!C39+C36)</f>
        <v>11647.112000000001</v>
      </c>
      <c r="D38" s="173">
        <f>SUM('Oct 2023'!D39+D36)</f>
        <v>31.736000000000001</v>
      </c>
      <c r="E38" s="173">
        <f>SUM('Oct 2023'!E39+E36)</f>
        <v>26515.428</v>
      </c>
      <c r="F38" s="173"/>
      <c r="G38" s="173"/>
      <c r="H38" s="173"/>
      <c r="J38" s="174"/>
    </row>
    <row r="39" spans="1:16" x14ac:dyDescent="0.25">
      <c r="A39" s="168"/>
      <c r="B39" s="168"/>
      <c r="C39" s="173"/>
      <c r="D39" s="173"/>
      <c r="E39" s="173"/>
      <c r="F39" s="173"/>
      <c r="G39" s="173"/>
      <c r="H39" s="173"/>
      <c r="J39" s="174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6"/>
      <c r="K40" s="176"/>
      <c r="L40" s="176"/>
      <c r="M40" s="176"/>
      <c r="N40" s="176"/>
      <c r="O40" s="177"/>
      <c r="P40" s="176"/>
    </row>
    <row r="41" spans="1:16" ht="16.899999999999999" customHeight="1" x14ac:dyDescent="0.25">
      <c r="A41" s="175"/>
      <c r="B41" s="175"/>
      <c r="C41" s="175"/>
      <c r="D41" s="175"/>
      <c r="E41" s="175"/>
      <c r="F41" s="175"/>
      <c r="G41" s="175"/>
      <c r="H41" s="249"/>
      <c r="I41" s="250"/>
      <c r="J41" s="176"/>
      <c r="K41" s="176"/>
      <c r="L41" s="176"/>
      <c r="M41" s="176"/>
      <c r="N41" s="176"/>
      <c r="O41" s="177"/>
      <c r="P41" s="176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8"/>
      <c r="M42" s="178"/>
      <c r="N42" s="178"/>
      <c r="O42" s="179"/>
      <c r="P42" s="178"/>
    </row>
    <row r="43" spans="1:16" ht="15.6" customHeight="1" x14ac:dyDescent="0.25">
      <c r="A43" s="180" t="s">
        <v>17</v>
      </c>
      <c r="B43" s="181"/>
      <c r="C43" s="182"/>
      <c r="D43" s="183"/>
      <c r="E43" s="183"/>
      <c r="F43" s="184"/>
      <c r="G43" s="185"/>
      <c r="H43" s="186"/>
      <c r="I43" s="187"/>
      <c r="J43" s="178"/>
      <c r="K43" s="178"/>
      <c r="L43" s="178"/>
      <c r="M43" s="178"/>
      <c r="N43" s="178"/>
      <c r="O43" s="179"/>
    </row>
    <row r="44" spans="1:16" x14ac:dyDescent="0.25">
      <c r="A44" s="188"/>
      <c r="B44" s="189"/>
      <c r="C44" s="182"/>
      <c r="D44" s="183"/>
      <c r="E44" s="183"/>
      <c r="F44" s="190"/>
      <c r="G44" s="185">
        <f>SUM(24-E44)</f>
        <v>24</v>
      </c>
      <c r="H44" s="186">
        <f>SUM(D44+F44)</f>
        <v>0</v>
      </c>
      <c r="I44" s="187">
        <f>SUM(D44/24*E44+H44/24*G44)</f>
        <v>0</v>
      </c>
      <c r="J44" s="178"/>
      <c r="K44" s="178"/>
      <c r="L44" s="178"/>
      <c r="M44" s="178"/>
      <c r="N44" s="178"/>
      <c r="O44" s="179"/>
    </row>
    <row r="45" spans="1:16" x14ac:dyDescent="0.25">
      <c r="A45" s="188"/>
      <c r="B45" s="189"/>
      <c r="C45" s="182"/>
      <c r="D45" s="183"/>
      <c r="E45" s="183"/>
      <c r="F45" s="190"/>
      <c r="G45" s="185">
        <f>SUM(24-E45)</f>
        <v>24</v>
      </c>
      <c r="H45" s="186">
        <f>SUM(D45+F45)</f>
        <v>0</v>
      </c>
      <c r="I45" s="187">
        <f>SUM(D45/24*E45+H45/24*G45)</f>
        <v>0</v>
      </c>
      <c r="J45" s="178"/>
      <c r="K45" s="178"/>
      <c r="L45" s="178"/>
      <c r="M45" s="178"/>
      <c r="N45" s="178"/>
      <c r="O45" s="179"/>
    </row>
    <row r="46" spans="1:16" x14ac:dyDescent="0.25">
      <c r="A46" s="188"/>
      <c r="B46" s="189"/>
      <c r="C46" s="182"/>
      <c r="D46" s="183"/>
      <c r="E46" s="183"/>
      <c r="F46" s="190"/>
      <c r="G46" s="185">
        <f>SUM(24-E46)</f>
        <v>24</v>
      </c>
      <c r="H46" s="186">
        <f>SUM(D46+F46)</f>
        <v>0</v>
      </c>
      <c r="I46" s="187">
        <f>SUM(D46/24*E46+H46/24*G46)</f>
        <v>0</v>
      </c>
      <c r="J46" s="178"/>
      <c r="K46" s="178"/>
      <c r="L46" s="178"/>
      <c r="M46" s="178"/>
      <c r="N46" s="178"/>
      <c r="O46" s="179"/>
    </row>
    <row r="47" spans="1:16" x14ac:dyDescent="0.25">
      <c r="A47" s="188"/>
      <c r="B47" s="189"/>
      <c r="C47" s="182"/>
      <c r="D47" s="183"/>
      <c r="E47" s="183"/>
      <c r="F47" s="190"/>
      <c r="G47" s="185">
        <f>SUM(24-E47)</f>
        <v>24</v>
      </c>
      <c r="H47" s="186">
        <f>SUM(D47+F47)</f>
        <v>0</v>
      </c>
      <c r="I47" s="187">
        <f>SUM(D47/24*E47+H47/24*G47)</f>
        <v>0</v>
      </c>
      <c r="J47" s="178"/>
      <c r="K47" s="178"/>
      <c r="L47" s="178"/>
      <c r="M47" s="178"/>
      <c r="N47" s="178"/>
      <c r="O47" s="179"/>
    </row>
    <row r="48" spans="1:16" x14ac:dyDescent="0.25">
      <c r="A48" s="188"/>
      <c r="B48" s="189"/>
      <c r="C48" s="182"/>
      <c r="D48" s="183"/>
      <c r="E48" s="183"/>
      <c r="F48" s="190"/>
      <c r="G48" s="185">
        <f>SUM(24-E48)</f>
        <v>24</v>
      </c>
      <c r="H48" s="186">
        <f>SUM(D48+F48)</f>
        <v>0</v>
      </c>
      <c r="I48" s="187">
        <f>SUM(D48/24*E48+H48/24*G48)</f>
        <v>0</v>
      </c>
      <c r="J48" s="178"/>
      <c r="K48" s="178"/>
      <c r="L48" s="178"/>
      <c r="M48" s="178"/>
      <c r="N48" s="178"/>
      <c r="O48" s="179"/>
    </row>
    <row r="49" spans="1:16" ht="13.15" customHeight="1" x14ac:dyDescent="0.25">
      <c r="A49" s="191"/>
      <c r="B49" s="191"/>
      <c r="C49" s="192"/>
      <c r="D49" s="192"/>
      <c r="E49" s="192"/>
      <c r="F49" s="192"/>
      <c r="G49" s="192"/>
      <c r="H49" s="193"/>
      <c r="I49" s="178"/>
      <c r="J49" s="178"/>
      <c r="K49" s="178"/>
      <c r="L49" s="178"/>
      <c r="M49" s="178"/>
      <c r="N49" s="178"/>
      <c r="O49" s="179"/>
      <c r="P49" s="178"/>
    </row>
    <row r="50" spans="1:16" ht="15.75" thickBot="1" x14ac:dyDescent="0.3">
      <c r="A50" s="194" t="s">
        <v>18</v>
      </c>
      <c r="B50" s="194"/>
      <c r="C50" s="194"/>
      <c r="D50" s="194"/>
      <c r="E50" s="194"/>
      <c r="F50" s="195"/>
      <c r="G50" s="196"/>
      <c r="H50" s="193"/>
      <c r="I50" s="178"/>
      <c r="J50" s="178"/>
      <c r="K50" s="178"/>
      <c r="L50" s="178"/>
      <c r="M50" s="178"/>
      <c r="N50" s="178"/>
      <c r="O50" s="179"/>
      <c r="P50" s="178"/>
    </row>
    <row r="51" spans="1:16" ht="26.25" x14ac:dyDescent="0.25">
      <c r="A51" s="197" t="s">
        <v>19</v>
      </c>
      <c r="B51" s="198"/>
      <c r="C51" s="199" t="s">
        <v>13</v>
      </c>
      <c r="D51" s="200" t="s">
        <v>14</v>
      </c>
      <c r="E51" s="200" t="s">
        <v>15</v>
      </c>
      <c r="F51" s="201" t="s">
        <v>16</v>
      </c>
      <c r="G51" s="202" t="s">
        <v>20</v>
      </c>
      <c r="H51" s="203"/>
      <c r="I51" s="204"/>
      <c r="J51" s="205"/>
      <c r="K51" s="205"/>
    </row>
    <row r="52" spans="1:16" x14ac:dyDescent="0.25">
      <c r="A52" s="206"/>
      <c r="B52" s="207"/>
      <c r="C52" s="208"/>
      <c r="D52" s="209"/>
      <c r="E52" s="210"/>
      <c r="F52" s="211"/>
      <c r="G52" s="212"/>
      <c r="H52" s="213"/>
      <c r="I52" s="214"/>
      <c r="J52" s="215"/>
      <c r="K52" s="215"/>
    </row>
    <row r="53" spans="1:16" x14ac:dyDescent="0.25">
      <c r="A53" s="216"/>
      <c r="B53" s="217"/>
      <c r="C53" s="218"/>
      <c r="D53" s="219"/>
      <c r="E53" s="210"/>
      <c r="F53" s="220"/>
      <c r="G53" s="221"/>
      <c r="H53" s="213"/>
      <c r="I53" s="214"/>
    </row>
    <row r="54" spans="1:16" x14ac:dyDescent="0.25">
      <c r="A54" s="216"/>
      <c r="B54" s="217"/>
      <c r="C54" s="218"/>
      <c r="D54" s="219"/>
      <c r="E54" s="210"/>
      <c r="F54" s="222"/>
      <c r="G54" s="221"/>
      <c r="H54" s="213"/>
      <c r="I54" s="214"/>
    </row>
    <row r="55" spans="1:16" x14ac:dyDescent="0.25">
      <c r="A55" s="216"/>
      <c r="B55" s="217"/>
      <c r="C55" s="218"/>
      <c r="D55" s="219"/>
      <c r="E55" s="210"/>
      <c r="F55" s="222"/>
      <c r="G55" s="221"/>
      <c r="H55" s="213"/>
      <c r="I55" s="214"/>
    </row>
    <row r="56" spans="1:16" ht="15.75" thickBot="1" x14ac:dyDescent="0.3">
      <c r="A56" s="223"/>
      <c r="B56" s="224"/>
      <c r="C56" s="225"/>
      <c r="D56" s="226"/>
      <c r="E56" s="227"/>
      <c r="F56" s="226"/>
      <c r="G56" s="228"/>
      <c r="H56" s="213"/>
      <c r="I56" s="214"/>
    </row>
    <row r="57" spans="1:16" s="234" customFormat="1" ht="30" customHeight="1" x14ac:dyDescent="0.25">
      <c r="A57" s="253" t="s">
        <v>21</v>
      </c>
      <c r="B57" s="254"/>
      <c r="C57" s="254"/>
      <c r="D57" s="255"/>
      <c r="E57" s="229">
        <f>SUM(E52:E56)</f>
        <v>0</v>
      </c>
      <c r="F57" s="230" t="s">
        <v>22</v>
      </c>
      <c r="G57" s="231">
        <f>SUM(G52:G56)</f>
        <v>0</v>
      </c>
      <c r="H57" s="232"/>
      <c r="I57" s="233"/>
    </row>
  </sheetData>
  <mergeCells count="4">
    <mergeCell ref="A40:G40"/>
    <mergeCell ref="H40:I41"/>
    <mergeCell ref="A42:K42"/>
    <mergeCell ref="A57:D57"/>
  </mergeCells>
  <phoneticPr fontId="45" type="noConversion"/>
  <printOptions horizontalCentered="1"/>
  <pageMargins left="0.7" right="0.5" top="1.5" bottom="1" header="1" footer="0.5"/>
  <pageSetup scale="6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59"/>
  <sheetViews>
    <sheetView zoomScale="80" zoomScaleNormal="8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ColWidth="14.28515625" defaultRowHeight="15" x14ac:dyDescent="0.25"/>
  <cols>
    <col min="1" max="1" width="14.7109375" style="95" customWidth="1"/>
    <col min="2" max="2" width="14.28515625" style="95"/>
    <col min="3" max="5" width="14.28515625" style="101"/>
    <col min="6" max="7" width="14.28515625" style="102"/>
    <col min="8" max="8" width="14.28515625" style="101"/>
    <col min="9" max="9" width="14.28515625" style="103"/>
    <col min="10" max="16384" width="14.28515625" style="93"/>
  </cols>
  <sheetData>
    <row r="1" spans="1:13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3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27</v>
      </c>
      <c r="I2" s="2"/>
      <c r="J2" s="73"/>
    </row>
    <row r="3" spans="1:13" x14ac:dyDescent="0.25">
      <c r="A3" s="18">
        <v>45200</v>
      </c>
      <c r="B3" s="89">
        <v>0</v>
      </c>
      <c r="C3" s="89">
        <v>150</v>
      </c>
      <c r="D3" s="89">
        <v>0</v>
      </c>
      <c r="E3" s="89">
        <v>378</v>
      </c>
      <c r="F3" s="89">
        <v>0</v>
      </c>
      <c r="G3" s="89">
        <v>0</v>
      </c>
      <c r="H3" s="89">
        <v>0</v>
      </c>
      <c r="I3" s="89" t="s">
        <v>29</v>
      </c>
      <c r="J3" s="90"/>
      <c r="K3" s="91"/>
      <c r="L3" s="92"/>
      <c r="M3" s="92"/>
    </row>
    <row r="4" spans="1:13" x14ac:dyDescent="0.25">
      <c r="A4" s="18">
        <f>A3+1</f>
        <v>45201</v>
      </c>
      <c r="B4" s="89">
        <v>0</v>
      </c>
      <c r="C4" s="89">
        <v>150</v>
      </c>
      <c r="D4" s="89">
        <v>0</v>
      </c>
      <c r="E4" s="89">
        <v>403</v>
      </c>
      <c r="F4" s="89">
        <v>0</v>
      </c>
      <c r="G4" s="89">
        <v>0</v>
      </c>
      <c r="H4" s="89">
        <v>0</v>
      </c>
      <c r="I4" s="89" t="s">
        <v>29</v>
      </c>
      <c r="J4" s="90"/>
      <c r="K4" s="91"/>
      <c r="L4" s="92"/>
      <c r="M4" s="92"/>
    </row>
    <row r="5" spans="1:13" x14ac:dyDescent="0.25">
      <c r="A5" s="18">
        <f t="shared" ref="A5:A33" si="0">A4+1</f>
        <v>45202</v>
      </c>
      <c r="B5" s="89">
        <v>0</v>
      </c>
      <c r="C5" s="89">
        <v>150</v>
      </c>
      <c r="D5" s="89">
        <v>0</v>
      </c>
      <c r="E5" s="89">
        <v>418</v>
      </c>
      <c r="F5" s="89">
        <v>0.02</v>
      </c>
      <c r="G5" s="89">
        <v>0</v>
      </c>
      <c r="H5" s="89">
        <v>0</v>
      </c>
      <c r="I5" s="89" t="s">
        <v>29</v>
      </c>
      <c r="J5" s="90"/>
      <c r="K5" s="91"/>
      <c r="L5" s="92"/>
      <c r="M5" s="92"/>
    </row>
    <row r="6" spans="1:13" x14ac:dyDescent="0.25">
      <c r="A6" s="18">
        <f t="shared" si="0"/>
        <v>45203</v>
      </c>
      <c r="B6" s="89">
        <v>0</v>
      </c>
      <c r="C6" s="89">
        <v>150</v>
      </c>
      <c r="D6" s="89">
        <v>0</v>
      </c>
      <c r="E6" s="89">
        <v>403</v>
      </c>
      <c r="F6" s="89">
        <v>0</v>
      </c>
      <c r="G6" s="89">
        <v>0</v>
      </c>
      <c r="H6" s="89">
        <v>0</v>
      </c>
      <c r="I6" s="89" t="s">
        <v>29</v>
      </c>
      <c r="J6" s="90"/>
      <c r="K6" s="91"/>
      <c r="L6" s="92"/>
      <c r="M6" s="92"/>
    </row>
    <row r="7" spans="1:13" x14ac:dyDescent="0.25">
      <c r="A7" s="18">
        <f t="shared" si="0"/>
        <v>45204</v>
      </c>
      <c r="B7" s="89">
        <v>0</v>
      </c>
      <c r="C7" s="89">
        <v>150</v>
      </c>
      <c r="D7" s="89">
        <v>0</v>
      </c>
      <c r="E7" s="89">
        <v>399</v>
      </c>
      <c r="F7" s="89">
        <v>0</v>
      </c>
      <c r="G7" s="89">
        <v>0</v>
      </c>
      <c r="H7" s="89">
        <v>0</v>
      </c>
      <c r="I7" s="89" t="s">
        <v>29</v>
      </c>
      <c r="J7" s="90"/>
      <c r="K7" s="91"/>
      <c r="L7" s="92"/>
      <c r="M7" s="92"/>
    </row>
    <row r="8" spans="1:13" x14ac:dyDescent="0.25">
      <c r="A8" s="18">
        <f t="shared" si="0"/>
        <v>45205</v>
      </c>
      <c r="B8" s="89">
        <v>0</v>
      </c>
      <c r="C8" s="89">
        <v>150</v>
      </c>
      <c r="D8" s="89">
        <v>0</v>
      </c>
      <c r="E8" s="89">
        <v>363</v>
      </c>
      <c r="F8" s="89">
        <v>0</v>
      </c>
      <c r="G8" s="89">
        <v>0</v>
      </c>
      <c r="H8" s="89">
        <v>0</v>
      </c>
      <c r="I8" s="89" t="s">
        <v>29</v>
      </c>
      <c r="J8" s="90"/>
      <c r="K8" s="91"/>
      <c r="L8" s="92"/>
      <c r="M8" s="92"/>
    </row>
    <row r="9" spans="1:13" x14ac:dyDescent="0.25">
      <c r="A9" s="18">
        <f t="shared" si="0"/>
        <v>45206</v>
      </c>
      <c r="B9" s="89">
        <v>0</v>
      </c>
      <c r="C9" s="89">
        <v>150</v>
      </c>
      <c r="D9" s="89">
        <v>0</v>
      </c>
      <c r="E9" s="89">
        <v>345</v>
      </c>
      <c r="F9" s="89">
        <v>0</v>
      </c>
      <c r="G9" s="89">
        <v>0</v>
      </c>
      <c r="H9" s="89">
        <v>0</v>
      </c>
      <c r="I9" s="89" t="s">
        <v>29</v>
      </c>
      <c r="J9" s="90"/>
      <c r="K9" s="91"/>
      <c r="L9" s="92"/>
      <c r="M9" s="92"/>
    </row>
    <row r="10" spans="1:13" x14ac:dyDescent="0.25">
      <c r="A10" s="18">
        <f t="shared" si="0"/>
        <v>45207</v>
      </c>
      <c r="B10" s="89">
        <v>0</v>
      </c>
      <c r="C10" s="89">
        <v>150</v>
      </c>
      <c r="D10" s="89">
        <v>4</v>
      </c>
      <c r="E10" s="89">
        <v>345</v>
      </c>
      <c r="F10" s="89">
        <v>0</v>
      </c>
      <c r="G10" s="89">
        <v>0</v>
      </c>
      <c r="H10" s="89">
        <v>0</v>
      </c>
      <c r="I10" s="89" t="s">
        <v>29</v>
      </c>
      <c r="J10" s="90"/>
      <c r="K10" s="91"/>
      <c r="L10" s="92"/>
      <c r="M10" s="92"/>
    </row>
    <row r="11" spans="1:13" x14ac:dyDescent="0.25">
      <c r="A11" s="18">
        <f t="shared" si="0"/>
        <v>45208</v>
      </c>
      <c r="B11" s="89">
        <v>0</v>
      </c>
      <c r="C11" s="89">
        <v>150</v>
      </c>
      <c r="D11" s="89">
        <v>9</v>
      </c>
      <c r="E11" s="89">
        <v>356</v>
      </c>
      <c r="F11" s="89">
        <v>0</v>
      </c>
      <c r="G11" s="89">
        <v>0</v>
      </c>
      <c r="H11" s="89">
        <v>0</v>
      </c>
      <c r="I11" s="89" t="s">
        <v>29</v>
      </c>
      <c r="J11" s="90"/>
      <c r="K11" s="91"/>
      <c r="L11" s="92"/>
      <c r="M11" s="92"/>
    </row>
    <row r="12" spans="1:13" x14ac:dyDescent="0.25">
      <c r="A12" s="18">
        <f t="shared" si="0"/>
        <v>45209</v>
      </c>
      <c r="B12" s="89">
        <v>0</v>
      </c>
      <c r="C12" s="89">
        <v>150</v>
      </c>
      <c r="D12" s="89">
        <v>3</v>
      </c>
      <c r="E12" s="89">
        <v>385</v>
      </c>
      <c r="F12" s="89">
        <v>0.11</v>
      </c>
      <c r="G12" s="89">
        <v>0</v>
      </c>
      <c r="H12" s="89">
        <v>0</v>
      </c>
      <c r="I12" s="89" t="s">
        <v>29</v>
      </c>
      <c r="J12" s="90"/>
      <c r="K12" s="91"/>
      <c r="L12" s="92"/>
      <c r="M12" s="90"/>
    </row>
    <row r="13" spans="1:13" x14ac:dyDescent="0.25">
      <c r="A13" s="18">
        <f t="shared" si="0"/>
        <v>45210</v>
      </c>
      <c r="B13" s="89">
        <v>0</v>
      </c>
      <c r="C13" s="89">
        <v>150</v>
      </c>
      <c r="D13" s="89">
        <v>0</v>
      </c>
      <c r="E13" s="89">
        <v>420</v>
      </c>
      <c r="F13" s="89">
        <v>0.12</v>
      </c>
      <c r="G13" s="89">
        <v>0</v>
      </c>
      <c r="H13" s="89">
        <v>0</v>
      </c>
      <c r="I13" s="89" t="s">
        <v>29</v>
      </c>
      <c r="J13" s="90"/>
      <c r="K13" s="91"/>
      <c r="L13" s="92"/>
      <c r="M13" s="92"/>
    </row>
    <row r="14" spans="1:13" x14ac:dyDescent="0.25">
      <c r="A14" s="18">
        <f t="shared" si="0"/>
        <v>45211</v>
      </c>
      <c r="B14" s="89">
        <v>0</v>
      </c>
      <c r="C14" s="89">
        <v>150</v>
      </c>
      <c r="D14" s="89">
        <v>0</v>
      </c>
      <c r="E14" s="89">
        <v>382</v>
      </c>
      <c r="F14" s="89">
        <v>0.01</v>
      </c>
      <c r="G14" s="89">
        <v>0</v>
      </c>
      <c r="H14" s="89">
        <v>0</v>
      </c>
      <c r="I14" s="89" t="s">
        <v>29</v>
      </c>
      <c r="J14" s="90"/>
      <c r="K14" s="91"/>
      <c r="L14" s="92"/>
      <c r="M14" s="92"/>
    </row>
    <row r="15" spans="1:13" x14ac:dyDescent="0.25">
      <c r="A15" s="18">
        <f t="shared" si="0"/>
        <v>45212</v>
      </c>
      <c r="B15" s="89">
        <v>0</v>
      </c>
      <c r="C15" s="89">
        <v>150</v>
      </c>
      <c r="D15" s="89">
        <v>0</v>
      </c>
      <c r="E15" s="89">
        <v>362</v>
      </c>
      <c r="F15" s="89">
        <v>0</v>
      </c>
      <c r="G15" s="89">
        <v>0</v>
      </c>
      <c r="H15" s="89">
        <v>0</v>
      </c>
      <c r="I15" s="89" t="s">
        <v>29</v>
      </c>
      <c r="J15" s="90"/>
      <c r="K15" s="91"/>
    </row>
    <row r="16" spans="1:13" x14ac:dyDescent="0.25">
      <c r="A16" s="18">
        <f t="shared" si="0"/>
        <v>45213</v>
      </c>
      <c r="B16" s="89">
        <v>0</v>
      </c>
      <c r="C16" s="89">
        <v>150</v>
      </c>
      <c r="D16" s="89">
        <v>0</v>
      </c>
      <c r="E16" s="89">
        <v>339</v>
      </c>
      <c r="F16" s="89">
        <v>0.05</v>
      </c>
      <c r="G16" s="89">
        <v>0</v>
      </c>
      <c r="H16" s="89">
        <v>0</v>
      </c>
      <c r="I16" s="89" t="s">
        <v>29</v>
      </c>
      <c r="J16" s="90"/>
      <c r="K16" s="91"/>
    </row>
    <row r="17" spans="1:11" x14ac:dyDescent="0.25">
      <c r="A17" s="18">
        <f t="shared" si="0"/>
        <v>45214</v>
      </c>
      <c r="B17" s="89">
        <v>0</v>
      </c>
      <c r="C17" s="89">
        <v>150</v>
      </c>
      <c r="D17" s="89">
        <v>0</v>
      </c>
      <c r="E17" s="89">
        <v>343</v>
      </c>
      <c r="F17" s="89">
        <v>0</v>
      </c>
      <c r="G17" s="89">
        <v>0</v>
      </c>
      <c r="H17" s="89">
        <v>0</v>
      </c>
      <c r="I17" s="89" t="s">
        <v>29</v>
      </c>
      <c r="J17" s="90"/>
      <c r="K17" s="91"/>
    </row>
    <row r="18" spans="1:11" x14ac:dyDescent="0.25">
      <c r="A18" s="18">
        <f t="shared" si="0"/>
        <v>45215</v>
      </c>
      <c r="B18" s="89">
        <v>0</v>
      </c>
      <c r="C18" s="89">
        <v>150</v>
      </c>
      <c r="D18" s="89">
        <v>0</v>
      </c>
      <c r="E18" s="89">
        <v>350</v>
      </c>
      <c r="F18" s="89">
        <v>0</v>
      </c>
      <c r="G18" s="89">
        <v>0</v>
      </c>
      <c r="H18" s="89">
        <v>0</v>
      </c>
      <c r="I18" s="89" t="s">
        <v>29</v>
      </c>
      <c r="J18" s="90"/>
      <c r="K18" s="92"/>
    </row>
    <row r="19" spans="1:11" x14ac:dyDescent="0.25">
      <c r="A19" s="18">
        <f t="shared" si="0"/>
        <v>45216</v>
      </c>
      <c r="B19" s="89">
        <v>0</v>
      </c>
      <c r="C19" s="89">
        <v>150</v>
      </c>
      <c r="D19" s="89">
        <v>0</v>
      </c>
      <c r="E19" s="89">
        <v>322</v>
      </c>
      <c r="F19" s="89">
        <v>0.01</v>
      </c>
      <c r="G19" s="89">
        <v>0</v>
      </c>
      <c r="H19" s="89">
        <v>0</v>
      </c>
      <c r="I19" s="89" t="s">
        <v>29</v>
      </c>
      <c r="J19" s="90"/>
      <c r="K19" s="92"/>
    </row>
    <row r="20" spans="1:11" x14ac:dyDescent="0.25">
      <c r="A20" s="18">
        <f t="shared" si="0"/>
        <v>45217</v>
      </c>
      <c r="B20" s="89">
        <v>0</v>
      </c>
      <c r="C20" s="89">
        <v>150</v>
      </c>
      <c r="D20" s="89">
        <v>0</v>
      </c>
      <c r="E20" s="89">
        <v>271</v>
      </c>
      <c r="F20" s="89">
        <v>0</v>
      </c>
      <c r="G20" s="89">
        <v>0</v>
      </c>
      <c r="H20" s="89">
        <v>0</v>
      </c>
      <c r="I20" s="89" t="s">
        <v>29</v>
      </c>
      <c r="J20" s="90"/>
      <c r="K20" s="92"/>
    </row>
    <row r="21" spans="1:11" x14ac:dyDescent="0.25">
      <c r="A21" s="18">
        <f t="shared" si="0"/>
        <v>45218</v>
      </c>
      <c r="B21" s="89">
        <v>0</v>
      </c>
      <c r="C21" s="89">
        <v>150</v>
      </c>
      <c r="D21" s="89">
        <v>0</v>
      </c>
      <c r="E21" s="89">
        <v>272</v>
      </c>
      <c r="F21" s="89">
        <v>0</v>
      </c>
      <c r="G21" s="89">
        <v>0</v>
      </c>
      <c r="H21" s="89">
        <v>0</v>
      </c>
      <c r="I21" s="89" t="s">
        <v>29</v>
      </c>
      <c r="J21" s="90"/>
      <c r="K21" s="92"/>
    </row>
    <row r="22" spans="1:11" x14ac:dyDescent="0.25">
      <c r="A22" s="18">
        <f t="shared" si="0"/>
        <v>45219</v>
      </c>
      <c r="B22" s="89">
        <v>0</v>
      </c>
      <c r="C22" s="89">
        <v>150</v>
      </c>
      <c r="D22" s="89">
        <v>0</v>
      </c>
      <c r="E22" s="89">
        <v>258</v>
      </c>
      <c r="F22" s="89">
        <v>0</v>
      </c>
      <c r="G22" s="89">
        <v>0</v>
      </c>
      <c r="H22" s="89">
        <v>0</v>
      </c>
      <c r="I22" s="89" t="s">
        <v>29</v>
      </c>
      <c r="J22" s="90"/>
    </row>
    <row r="23" spans="1:11" x14ac:dyDescent="0.25">
      <c r="A23" s="18">
        <f t="shared" si="0"/>
        <v>45220</v>
      </c>
      <c r="B23" s="89">
        <v>0</v>
      </c>
      <c r="C23" s="89">
        <v>150</v>
      </c>
      <c r="D23" s="89">
        <v>0</v>
      </c>
      <c r="E23" s="89">
        <v>223</v>
      </c>
      <c r="F23" s="89">
        <v>0</v>
      </c>
      <c r="G23" s="89">
        <v>0</v>
      </c>
      <c r="H23" s="89">
        <v>0</v>
      </c>
      <c r="I23" s="89" t="s">
        <v>29</v>
      </c>
      <c r="J23" s="90"/>
    </row>
    <row r="24" spans="1:11" x14ac:dyDescent="0.25">
      <c r="A24" s="18">
        <f t="shared" si="0"/>
        <v>45221</v>
      </c>
      <c r="B24" s="89">
        <v>0</v>
      </c>
      <c r="C24" s="89">
        <v>150</v>
      </c>
      <c r="D24" s="89">
        <v>0</v>
      </c>
      <c r="E24" s="89">
        <v>202</v>
      </c>
      <c r="F24" s="89" t="s">
        <v>30</v>
      </c>
      <c r="G24" s="89">
        <v>0</v>
      </c>
      <c r="H24" s="89">
        <v>0</v>
      </c>
      <c r="I24" s="89" t="s">
        <v>29</v>
      </c>
      <c r="J24" s="90"/>
    </row>
    <row r="25" spans="1:11" ht="30" x14ac:dyDescent="0.25">
      <c r="A25" s="18">
        <f t="shared" si="0"/>
        <v>45222</v>
      </c>
      <c r="B25" s="89">
        <v>0</v>
      </c>
      <c r="C25" s="89">
        <v>125</v>
      </c>
      <c r="D25" s="89">
        <v>0</v>
      </c>
      <c r="E25" s="89">
        <v>206</v>
      </c>
      <c r="F25" s="89">
        <v>0</v>
      </c>
      <c r="G25" s="89">
        <v>0</v>
      </c>
      <c r="H25" s="89">
        <v>0</v>
      </c>
      <c r="I25" s="89" t="s">
        <v>29</v>
      </c>
      <c r="J25" s="90" t="s">
        <v>31</v>
      </c>
    </row>
    <row r="26" spans="1:11" x14ac:dyDescent="0.25">
      <c r="A26" s="18">
        <f t="shared" si="0"/>
        <v>45223</v>
      </c>
      <c r="B26" s="89">
        <v>0</v>
      </c>
      <c r="C26" s="89">
        <v>100</v>
      </c>
      <c r="D26" s="89">
        <v>0</v>
      </c>
      <c r="E26" s="89">
        <v>221</v>
      </c>
      <c r="F26" s="89" t="s">
        <v>30</v>
      </c>
      <c r="G26" s="89">
        <v>0</v>
      </c>
      <c r="H26" s="89">
        <v>0</v>
      </c>
      <c r="I26" s="89" t="s">
        <v>29</v>
      </c>
      <c r="J26" s="90"/>
    </row>
    <row r="27" spans="1:11" x14ac:dyDescent="0.25">
      <c r="A27" s="18">
        <f t="shared" si="0"/>
        <v>45224</v>
      </c>
      <c r="B27" s="89">
        <v>0</v>
      </c>
      <c r="C27" s="89">
        <v>100</v>
      </c>
      <c r="D27" s="89">
        <v>0</v>
      </c>
      <c r="E27" s="89">
        <v>235</v>
      </c>
      <c r="F27" s="89">
        <v>0.04</v>
      </c>
      <c r="G27" s="89">
        <v>0</v>
      </c>
      <c r="H27" s="89">
        <v>0</v>
      </c>
      <c r="I27" s="89" t="s">
        <v>29</v>
      </c>
      <c r="J27" s="90"/>
    </row>
    <row r="28" spans="1:11" x14ac:dyDescent="0.25">
      <c r="A28" s="18">
        <f t="shared" si="0"/>
        <v>45225</v>
      </c>
      <c r="B28" s="89">
        <v>0</v>
      </c>
      <c r="C28" s="89">
        <v>100</v>
      </c>
      <c r="D28" s="89">
        <v>0</v>
      </c>
      <c r="E28" s="89">
        <v>241</v>
      </c>
      <c r="F28" s="89">
        <v>0.03</v>
      </c>
      <c r="G28" s="89">
        <v>0</v>
      </c>
      <c r="H28" s="89">
        <v>0</v>
      </c>
      <c r="I28" s="89" t="s">
        <v>29</v>
      </c>
      <c r="J28" s="90"/>
    </row>
    <row r="29" spans="1:11" x14ac:dyDescent="0.25">
      <c r="A29" s="18">
        <f t="shared" si="0"/>
        <v>45226</v>
      </c>
      <c r="B29" s="89">
        <v>0</v>
      </c>
      <c r="C29" s="89">
        <v>100</v>
      </c>
      <c r="D29" s="89">
        <v>0</v>
      </c>
      <c r="E29" s="89">
        <v>231</v>
      </c>
      <c r="F29" s="89">
        <v>0</v>
      </c>
      <c r="G29" s="89">
        <v>0</v>
      </c>
      <c r="H29" s="89">
        <v>0</v>
      </c>
      <c r="I29" s="89" t="s">
        <v>29</v>
      </c>
      <c r="J29" s="90"/>
    </row>
    <row r="30" spans="1:11" x14ac:dyDescent="0.25">
      <c r="A30" s="18">
        <f t="shared" si="0"/>
        <v>45227</v>
      </c>
      <c r="B30" s="89">
        <v>0</v>
      </c>
      <c r="C30" s="89">
        <v>100</v>
      </c>
      <c r="D30" s="89">
        <v>0</v>
      </c>
      <c r="E30" s="89">
        <v>214</v>
      </c>
      <c r="F30" s="89">
        <v>0</v>
      </c>
      <c r="G30" s="89">
        <v>0</v>
      </c>
      <c r="H30" s="89">
        <v>0</v>
      </c>
      <c r="I30" s="89" t="s">
        <v>29</v>
      </c>
      <c r="J30" s="90"/>
    </row>
    <row r="31" spans="1:11" x14ac:dyDescent="0.25">
      <c r="A31" s="18">
        <f t="shared" si="0"/>
        <v>45228</v>
      </c>
      <c r="B31" s="89">
        <v>0</v>
      </c>
      <c r="C31" s="89">
        <v>100</v>
      </c>
      <c r="D31" s="89">
        <v>0</v>
      </c>
      <c r="E31" s="89">
        <v>196</v>
      </c>
      <c r="F31" s="89">
        <v>0</v>
      </c>
      <c r="G31" s="89">
        <v>0</v>
      </c>
      <c r="H31" s="89">
        <v>0</v>
      </c>
      <c r="I31" s="89" t="s">
        <v>29</v>
      </c>
      <c r="J31" s="90"/>
    </row>
    <row r="32" spans="1:11" x14ac:dyDescent="0.25">
      <c r="A32" s="18">
        <f t="shared" si="0"/>
        <v>45229</v>
      </c>
      <c r="B32" s="89">
        <v>0</v>
      </c>
      <c r="C32" s="89">
        <v>100</v>
      </c>
      <c r="D32" s="89">
        <v>0</v>
      </c>
      <c r="E32" s="89">
        <v>203</v>
      </c>
      <c r="F32" s="89">
        <v>0</v>
      </c>
      <c r="G32" s="89">
        <v>0</v>
      </c>
      <c r="H32" s="89">
        <v>0</v>
      </c>
      <c r="I32" s="89" t="s">
        <v>29</v>
      </c>
      <c r="J32" s="90"/>
    </row>
    <row r="33" spans="1:15" ht="15.75" thickBot="1" x14ac:dyDescent="0.3">
      <c r="A33" s="18">
        <f t="shared" si="0"/>
        <v>45230</v>
      </c>
      <c r="B33" s="89">
        <v>0</v>
      </c>
      <c r="C33" s="89">
        <v>100</v>
      </c>
      <c r="D33" s="89">
        <v>0</v>
      </c>
      <c r="E33" s="89">
        <v>224</v>
      </c>
      <c r="F33" s="89">
        <v>0</v>
      </c>
      <c r="G33" s="89">
        <v>0</v>
      </c>
      <c r="H33" s="89">
        <v>0</v>
      </c>
      <c r="I33" s="89" t="s">
        <v>29</v>
      </c>
      <c r="J33" s="90"/>
    </row>
    <row r="34" spans="1:15" ht="15.75" thickTop="1" x14ac:dyDescent="0.25">
      <c r="A34" s="104" t="s">
        <v>8</v>
      </c>
      <c r="B34" s="105">
        <f t="shared" ref="B34:H34" si="1">SUM(B3:B33)</f>
        <v>0</v>
      </c>
      <c r="C34" s="105">
        <f t="shared" si="1"/>
        <v>4225</v>
      </c>
      <c r="D34" s="105">
        <f t="shared" si="1"/>
        <v>16</v>
      </c>
      <c r="E34" s="105">
        <f t="shared" si="1"/>
        <v>9510</v>
      </c>
      <c r="F34" s="105">
        <f t="shared" si="1"/>
        <v>0.39</v>
      </c>
      <c r="G34" s="105">
        <f t="shared" si="1"/>
        <v>0</v>
      </c>
      <c r="H34" s="105">
        <f t="shared" si="1"/>
        <v>0</v>
      </c>
      <c r="I34" s="105" t="s">
        <v>29</v>
      </c>
      <c r="K34" s="94"/>
    </row>
    <row r="35" spans="1:15" s="94" customFormat="1" x14ac:dyDescent="0.25">
      <c r="A35" s="106" t="s">
        <v>9</v>
      </c>
      <c r="B35" s="107">
        <f>SUM(B34+'Oct 2023'!B36)</f>
        <v>0</v>
      </c>
      <c r="C35" s="107">
        <f>SUM(C34+'Oct 2023'!C36)</f>
        <v>4225</v>
      </c>
      <c r="D35" s="107">
        <f>SUM(D34+'Oct 2023'!D36)</f>
        <v>16</v>
      </c>
      <c r="E35" s="107">
        <f>SUM(E34+'Oct 2023'!E36)</f>
        <v>9510</v>
      </c>
      <c r="F35" s="108">
        <f>SUM(F34+'Oct 2023'!F36)</f>
        <v>0.39</v>
      </c>
      <c r="G35" s="108">
        <f>SUM(G34+'Oct 2023'!G36)</f>
        <v>0</v>
      </c>
      <c r="H35" s="107">
        <f>SUM(H34+'Oct 2023'!H36)</f>
        <v>0</v>
      </c>
      <c r="I35" s="108"/>
    </row>
    <row r="36" spans="1:15" s="94" customFormat="1" x14ac:dyDescent="0.25">
      <c r="A36" s="95"/>
      <c r="B36" s="96"/>
      <c r="C36" s="96"/>
      <c r="D36" s="96"/>
      <c r="E36" s="96"/>
      <c r="F36" s="93"/>
      <c r="G36" s="93"/>
      <c r="H36" s="96"/>
      <c r="I36" s="93"/>
      <c r="K36" s="93"/>
    </row>
    <row r="37" spans="1:15" x14ac:dyDescent="0.25">
      <c r="A37" s="93" t="s">
        <v>10</v>
      </c>
      <c r="B37" s="97">
        <f>SUM(B3:B33)*1.9835</f>
        <v>0</v>
      </c>
      <c r="C37" s="97">
        <f>SUM(C3:C33)*1.9835</f>
        <v>8380.2875000000004</v>
      </c>
      <c r="D37" s="97">
        <f>SUM(D3:D33)*1.9835</f>
        <v>31.736000000000001</v>
      </c>
      <c r="E37" s="97">
        <f>SUM(E3:E33)*1.9835</f>
        <v>18863.084999999999</v>
      </c>
      <c r="F37" s="97"/>
      <c r="G37" s="97"/>
      <c r="H37" s="97"/>
      <c r="I37" s="93"/>
      <c r="J37" s="98"/>
    </row>
    <row r="38" spans="1:15" x14ac:dyDescent="0.25">
      <c r="A38" s="93"/>
      <c r="B38" s="93"/>
      <c r="C38" s="93"/>
      <c r="D38" s="93"/>
      <c r="E38" s="93"/>
      <c r="F38" s="93"/>
      <c r="G38" s="93"/>
      <c r="H38" s="93"/>
      <c r="I38" s="93"/>
    </row>
    <row r="39" spans="1:15" x14ac:dyDescent="0.25">
      <c r="A39" s="93" t="s">
        <v>24</v>
      </c>
      <c r="B39" s="97">
        <f>SUM('Oct 2023'!B40+B37)</f>
        <v>0</v>
      </c>
      <c r="C39" s="97">
        <f>SUM('Oct 2023'!C40+C37)</f>
        <v>8380.2875000000004</v>
      </c>
      <c r="D39" s="97">
        <f>SUM('Oct 2023'!D40+D37)</f>
        <v>31.736000000000001</v>
      </c>
      <c r="E39" s="97">
        <f>SUM('Oct 2023'!E40+E37)</f>
        <v>18863.084999999999</v>
      </c>
      <c r="F39" s="97"/>
      <c r="G39" s="97"/>
      <c r="H39" s="97"/>
      <c r="I39" s="93"/>
      <c r="J39" s="98"/>
    </row>
    <row r="40" spans="1:15" x14ac:dyDescent="0.25">
      <c r="A40" s="93"/>
      <c r="B40" s="93"/>
      <c r="C40" s="97"/>
      <c r="D40" s="97"/>
      <c r="E40" s="97"/>
      <c r="F40" s="97"/>
      <c r="G40" s="97"/>
      <c r="H40" s="97"/>
      <c r="I40" s="93"/>
      <c r="J40" s="98"/>
    </row>
    <row r="41" spans="1:15" ht="15" customHeight="1" x14ac:dyDescent="0.25">
      <c r="A41" s="259"/>
      <c r="B41" s="259"/>
      <c r="C41" s="259"/>
      <c r="D41" s="259"/>
      <c r="E41" s="259"/>
      <c r="F41" s="259"/>
      <c r="G41" s="260"/>
      <c r="H41" s="261" t="s">
        <v>12</v>
      </c>
      <c r="I41" s="262"/>
      <c r="J41" s="110"/>
      <c r="K41" s="110"/>
    </row>
    <row r="42" spans="1:15" ht="17.45" customHeight="1" x14ac:dyDescent="0.25">
      <c r="A42" s="109"/>
      <c r="B42" s="109"/>
      <c r="C42" s="109"/>
      <c r="D42" s="109"/>
      <c r="E42" s="109"/>
      <c r="F42" s="109"/>
      <c r="G42" s="109"/>
      <c r="H42" s="261"/>
      <c r="I42" s="262"/>
      <c r="J42" s="110"/>
      <c r="K42" s="110"/>
      <c r="L42" s="110"/>
      <c r="M42" s="110"/>
      <c r="N42" s="111"/>
      <c r="O42" s="110"/>
    </row>
    <row r="43" spans="1:15" ht="16.899999999999999" customHeight="1" x14ac:dyDescent="0.25">
      <c r="A43" s="263" t="s">
        <v>23</v>
      </c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110"/>
      <c r="M43" s="110"/>
      <c r="N43" s="111"/>
      <c r="O43" s="110"/>
    </row>
    <row r="44" spans="1:15" ht="13.9" customHeight="1" x14ac:dyDescent="0.25">
      <c r="A44" s="112" t="s">
        <v>17</v>
      </c>
      <c r="B44" s="113"/>
      <c r="C44" s="114"/>
      <c r="D44" s="115"/>
      <c r="E44" s="115"/>
      <c r="F44" s="116"/>
      <c r="G44" s="117"/>
      <c r="H44" s="118"/>
      <c r="I44" s="119"/>
      <c r="J44" s="120"/>
      <c r="K44" s="120"/>
      <c r="L44" s="120"/>
      <c r="M44" s="120"/>
      <c r="N44" s="121"/>
      <c r="O44" s="120"/>
    </row>
    <row r="45" spans="1:15" ht="15.6" customHeight="1" x14ac:dyDescent="0.25">
      <c r="A45" s="122"/>
      <c r="B45" s="123"/>
      <c r="C45" s="114"/>
      <c r="D45" s="115"/>
      <c r="E45" s="115"/>
      <c r="F45" s="124"/>
      <c r="G45" s="117">
        <f>SUM(24-E45)</f>
        <v>24</v>
      </c>
      <c r="H45" s="118">
        <f>SUM(D45+F45)</f>
        <v>0</v>
      </c>
      <c r="I45" s="119">
        <f>SUM(D45/24*E45+H45/24*G45)</f>
        <v>0</v>
      </c>
      <c r="J45" s="120"/>
      <c r="K45" s="120"/>
      <c r="L45" s="120"/>
      <c r="M45" s="120"/>
      <c r="N45" s="121"/>
    </row>
    <row r="46" spans="1:15" x14ac:dyDescent="0.25">
      <c r="A46" s="122"/>
      <c r="B46" s="123"/>
      <c r="C46" s="114"/>
      <c r="D46" s="115"/>
      <c r="E46" s="115"/>
      <c r="F46" s="124"/>
      <c r="G46" s="117">
        <f>SUM(24-E46)</f>
        <v>24</v>
      </c>
      <c r="H46" s="118">
        <f>SUM(D46+F46)</f>
        <v>0</v>
      </c>
      <c r="I46" s="119">
        <f>SUM(D46/24*E46+H46/24*G46)</f>
        <v>0</v>
      </c>
      <c r="J46" s="120"/>
      <c r="K46" s="120"/>
      <c r="L46" s="120"/>
      <c r="M46" s="120"/>
      <c r="N46" s="121"/>
    </row>
    <row r="47" spans="1:15" x14ac:dyDescent="0.25">
      <c r="A47" s="122"/>
      <c r="B47" s="123"/>
      <c r="C47" s="114"/>
      <c r="D47" s="115"/>
      <c r="E47" s="115"/>
      <c r="F47" s="124"/>
      <c r="G47" s="117">
        <f>SUM(24-E47)</f>
        <v>24</v>
      </c>
      <c r="H47" s="118">
        <f>SUM(D47+F47)</f>
        <v>0</v>
      </c>
      <c r="I47" s="119">
        <f>SUM(D47/24*E47+H47/24*G47)</f>
        <v>0</v>
      </c>
      <c r="J47" s="120"/>
      <c r="K47" s="120"/>
      <c r="L47" s="120"/>
      <c r="M47" s="120"/>
      <c r="N47" s="121"/>
    </row>
    <row r="48" spans="1:15" x14ac:dyDescent="0.25">
      <c r="A48" s="122"/>
      <c r="B48" s="123"/>
      <c r="C48" s="114"/>
      <c r="D48" s="115"/>
      <c r="E48" s="115"/>
      <c r="F48" s="124"/>
      <c r="G48" s="117">
        <f>SUM(24-E48)</f>
        <v>24</v>
      </c>
      <c r="H48" s="118">
        <f>SUM(D48+F48)</f>
        <v>0</v>
      </c>
      <c r="I48" s="119">
        <f>SUM(D48/24*E48+H48/24*G48)</f>
        <v>0</v>
      </c>
      <c r="J48" s="120"/>
      <c r="K48" s="120"/>
      <c r="L48" s="120"/>
      <c r="M48" s="120"/>
      <c r="N48" s="121"/>
    </row>
    <row r="49" spans="1:15" x14ac:dyDescent="0.25">
      <c r="A49" s="122"/>
      <c r="B49" s="123"/>
      <c r="C49" s="114"/>
      <c r="D49" s="115"/>
      <c r="E49" s="115"/>
      <c r="F49" s="124"/>
      <c r="G49" s="117">
        <f>SUM(24-E49)</f>
        <v>24</v>
      </c>
      <c r="H49" s="118">
        <f>SUM(D49+F49)</f>
        <v>0</v>
      </c>
      <c r="I49" s="119">
        <f>SUM(D49/24*E49+H49/24*G49)</f>
        <v>0</v>
      </c>
      <c r="J49" s="120"/>
      <c r="K49" s="120"/>
      <c r="L49" s="120"/>
      <c r="M49" s="120"/>
      <c r="N49" s="121"/>
    </row>
    <row r="50" spans="1:15" x14ac:dyDescent="0.25">
      <c r="A50" s="125"/>
      <c r="B50" s="125"/>
      <c r="C50" s="126"/>
      <c r="D50" s="126"/>
      <c r="E50" s="126"/>
      <c r="F50" s="126"/>
      <c r="G50" s="126"/>
      <c r="H50" s="127"/>
      <c r="I50" s="120"/>
      <c r="J50" s="120"/>
      <c r="K50" s="120"/>
      <c r="L50" s="120"/>
      <c r="M50" s="120"/>
      <c r="N50" s="121"/>
    </row>
    <row r="51" spans="1:15" ht="13.15" customHeight="1" thickBot="1" x14ac:dyDescent="0.3">
      <c r="A51" s="128" t="s">
        <v>18</v>
      </c>
      <c r="B51" s="128"/>
      <c r="C51" s="128"/>
      <c r="D51" s="128"/>
      <c r="E51" s="128"/>
      <c r="F51" s="129"/>
      <c r="G51" s="130"/>
      <c r="H51" s="127"/>
      <c r="I51" s="120"/>
      <c r="J51" s="120"/>
      <c r="K51" s="120"/>
      <c r="L51" s="120"/>
      <c r="M51" s="120"/>
      <c r="N51" s="121"/>
      <c r="O51" s="120"/>
    </row>
    <row r="52" spans="1:15" x14ac:dyDescent="0.25">
      <c r="A52" s="131" t="s">
        <v>19</v>
      </c>
      <c r="B52" s="132"/>
      <c r="C52" s="133" t="s">
        <v>13</v>
      </c>
      <c r="D52" s="134" t="s">
        <v>14</v>
      </c>
      <c r="E52" s="134" t="s">
        <v>15</v>
      </c>
      <c r="F52" s="135" t="s">
        <v>16</v>
      </c>
      <c r="G52" s="136" t="s">
        <v>20</v>
      </c>
      <c r="H52" s="137"/>
      <c r="I52" s="138"/>
      <c r="J52" s="139"/>
      <c r="K52" s="139"/>
      <c r="L52" s="120"/>
      <c r="M52" s="120"/>
      <c r="N52" s="121"/>
      <c r="O52" s="120"/>
    </row>
    <row r="53" spans="1:15" x14ac:dyDescent="0.25">
      <c r="A53" s="140"/>
      <c r="B53" s="141"/>
      <c r="C53" s="142"/>
      <c r="D53" s="143"/>
      <c r="E53" s="144"/>
      <c r="F53" s="145"/>
      <c r="G53" s="146"/>
      <c r="H53" s="147"/>
      <c r="I53" s="148"/>
      <c r="J53" s="149"/>
      <c r="K53" s="149"/>
    </row>
    <row r="54" spans="1:15" x14ac:dyDescent="0.25">
      <c r="A54" s="150"/>
      <c r="B54" s="151"/>
      <c r="C54" s="152"/>
      <c r="D54" s="153"/>
      <c r="E54" s="144"/>
      <c r="F54" s="154"/>
      <c r="G54" s="155"/>
      <c r="H54" s="147"/>
      <c r="I54" s="148"/>
    </row>
    <row r="55" spans="1:15" x14ac:dyDescent="0.25">
      <c r="A55" s="150"/>
      <c r="B55" s="151"/>
      <c r="C55" s="152"/>
      <c r="D55" s="153"/>
      <c r="E55" s="144"/>
      <c r="F55" s="156"/>
      <c r="G55" s="155"/>
      <c r="H55" s="147"/>
      <c r="I55" s="148"/>
    </row>
    <row r="56" spans="1:15" x14ac:dyDescent="0.25">
      <c r="A56" s="150"/>
      <c r="B56" s="151"/>
      <c r="C56" s="152"/>
      <c r="D56" s="153"/>
      <c r="E56" s="144"/>
      <c r="F56" s="156"/>
      <c r="G56" s="155"/>
      <c r="H56" s="147"/>
      <c r="I56" s="148"/>
    </row>
    <row r="57" spans="1:15" ht="15.75" thickBot="1" x14ac:dyDescent="0.3">
      <c r="A57" s="157"/>
      <c r="B57" s="158"/>
      <c r="C57" s="159"/>
      <c r="D57" s="160"/>
      <c r="E57" s="161"/>
      <c r="F57" s="160"/>
      <c r="G57" s="162"/>
      <c r="H57" s="147"/>
      <c r="I57" s="148"/>
    </row>
    <row r="58" spans="1:15" ht="15.75" thickBot="1" x14ac:dyDescent="0.3">
      <c r="A58" s="256" t="s">
        <v>21</v>
      </c>
      <c r="B58" s="257"/>
      <c r="C58" s="257"/>
      <c r="D58" s="258"/>
      <c r="E58" s="163">
        <f>SUM(E53:E57)</f>
        <v>0</v>
      </c>
      <c r="F58" s="164" t="s">
        <v>22</v>
      </c>
      <c r="G58" s="165">
        <f>SUM(G53:G57)</f>
        <v>0</v>
      </c>
      <c r="H58" s="166"/>
      <c r="I58" s="99"/>
      <c r="J58" s="100"/>
      <c r="K58" s="100"/>
    </row>
    <row r="59" spans="1:15" s="100" customFormat="1" ht="30" customHeight="1" x14ac:dyDescent="0.25">
      <c r="A59" s="256" t="s">
        <v>21</v>
      </c>
      <c r="B59" s="257"/>
      <c r="C59" s="257"/>
      <c r="D59" s="258"/>
      <c r="E59" s="163">
        <f>SUM(E54:E58)</f>
        <v>0</v>
      </c>
      <c r="F59" s="164" t="s">
        <v>22</v>
      </c>
      <c r="G59" s="165">
        <f>SUM(G54:G58)</f>
        <v>0</v>
      </c>
      <c r="H59" s="166"/>
      <c r="I59" s="99"/>
    </row>
  </sheetData>
  <mergeCells count="5">
    <mergeCell ref="A59:D59"/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Sep 2024</vt:lpstr>
      <vt:lpstr>Aug 2024</vt:lpstr>
      <vt:lpstr>Jul 2024</vt:lpstr>
      <vt:lpstr>Jun 2024</vt:lpstr>
      <vt:lpstr>May 2024</vt:lpstr>
      <vt:lpstr>Apr 2024</vt:lpstr>
      <vt:lpstr>Mar 2024</vt:lpstr>
      <vt:lpstr>Feb 2024</vt:lpstr>
      <vt:lpstr>Jan 2024</vt:lpstr>
      <vt:lpstr>Dec 2023</vt:lpstr>
      <vt:lpstr>Nov 2023</vt:lpstr>
      <vt:lpstr>Oct 2023</vt:lpstr>
      <vt:lpstr>'Apr 2024'!Print_Area</vt:lpstr>
      <vt:lpstr>'Aug 2024'!Print_Area</vt:lpstr>
      <vt:lpstr>'Dec 2023'!Print_Area</vt:lpstr>
      <vt:lpstr>'Feb 2024'!Print_Area</vt:lpstr>
      <vt:lpstr>'Jan 2024'!Print_Area</vt:lpstr>
      <vt:lpstr>'Jul 2024'!Print_Area</vt:lpstr>
      <vt:lpstr>'Jun 2024'!Print_Area</vt:lpstr>
      <vt:lpstr>'Mar 2024'!Print_Area</vt:lpstr>
      <vt:lpstr>'Nov 2023'!Print_Area</vt:lpstr>
      <vt:lpstr>'Oct 2023'!Print_Area</vt:lpstr>
      <vt:lpstr>'Sep 2024'!Print_Area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Water Office</cp:lastModifiedBy>
  <cp:lastPrinted>2023-01-05T19:43:32Z</cp:lastPrinted>
  <dcterms:created xsi:type="dcterms:W3CDTF">2010-05-21T17:05:57Z</dcterms:created>
  <dcterms:modified xsi:type="dcterms:W3CDTF">2024-10-01T17:48:11Z</dcterms:modified>
</cp:coreProperties>
</file>