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O500\Hydrology\Daily\TID\"/>
    </mc:Choice>
  </mc:AlternateContent>
  <xr:revisionPtr revIDLastSave="0" documentId="13_ncr:1_{C88C0F8E-982D-4F9C-A5FC-3AE3F983DECA}" xr6:coauthVersionLast="46" xr6:coauthVersionMax="46" xr10:uidLastSave="{00000000-0000-0000-0000-000000000000}"/>
  <bookViews>
    <workbookView xWindow="-120" yWindow="-120" windowWidth="20730" windowHeight="11160" tabRatio="868" xr2:uid="{00000000-000D-0000-FFFF-FFFF00000000}"/>
  </bookViews>
  <sheets>
    <sheet name="Sep 2021" sheetId="12" r:id="rId1"/>
    <sheet name="Aug 2021" sheetId="11" r:id="rId2"/>
    <sheet name="Jul 2021" sheetId="10" r:id="rId3"/>
    <sheet name="Jun 2021" sheetId="9" r:id="rId4"/>
    <sheet name="May 2021" sheetId="8" r:id="rId5"/>
    <sheet name="Apr 2021" sheetId="7" r:id="rId6"/>
    <sheet name="Mar 2021" sheetId="6" r:id="rId7"/>
    <sheet name="Feb 2021" sheetId="5" r:id="rId8"/>
    <sheet name="Jan 2021" sheetId="4" r:id="rId9"/>
    <sheet name="Dec 2020" sheetId="3" r:id="rId10"/>
    <sheet name="Nov 2020" sheetId="2" r:id="rId11"/>
    <sheet name="Oct 2020" sheetId="1" r:id="rId12"/>
  </sheets>
  <definedNames>
    <definedName name="_xlnm.Print_Area" localSheetId="5">'Apr 2021'!$A$1:$H$34</definedName>
    <definedName name="_xlnm.Print_Area" localSheetId="1">'Aug 2021'!$A$1:$H$39</definedName>
    <definedName name="_xlnm.Print_Area" localSheetId="7">'Feb 2021'!$A$1:$H$33</definedName>
    <definedName name="_xlnm.Print_Area" localSheetId="8">'Jan 2021'!$A$1:$H$35</definedName>
    <definedName name="_xlnm.Print_Area" localSheetId="2">'Jul 2021'!$A$1:$H$39</definedName>
    <definedName name="_xlnm.Print_Area" localSheetId="3">'Jun 2021'!$A$1:$H$38</definedName>
    <definedName name="_xlnm.Print_Area" localSheetId="6">'Mar 2021'!$A$1:$H$35</definedName>
    <definedName name="_xlnm.Print_Area" localSheetId="10">'Nov 2020'!$A$1:$H$38</definedName>
    <definedName name="_xlnm.Print_Area" localSheetId="11">'Oct 2020'!$A$1:$H$40</definedName>
    <definedName name="_xlnm.Print_Area" localSheetId="0">'Sep 2021'!$A$1:$H$38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12" l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2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10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9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8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7"/>
  <c r="A5" i="6"/>
  <c r="A6" i="6" s="1"/>
  <c r="A7" i="6" s="1"/>
  <c r="A8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4" i="6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4" i="5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4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4" i="2"/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C33" i="7"/>
  <c r="C36" i="7" s="1"/>
  <c r="D33" i="7"/>
  <c r="D36" i="7" s="1"/>
  <c r="E33" i="7"/>
  <c r="F33" i="7"/>
  <c r="G33" i="7"/>
  <c r="B36" i="7"/>
  <c r="F44" i="7"/>
  <c r="G44" i="7"/>
  <c r="F45" i="7"/>
  <c r="G45" i="7"/>
  <c r="F46" i="7"/>
  <c r="G46" i="7"/>
  <c r="F47" i="7"/>
  <c r="G47" i="7"/>
  <c r="F48" i="7"/>
  <c r="G48" i="7"/>
  <c r="H48" i="7" s="1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G45" i="3"/>
  <c r="F46" i="3"/>
  <c r="G46" i="3"/>
  <c r="F47" i="3"/>
  <c r="G47" i="3"/>
  <c r="F48" i="3"/>
  <c r="G48" i="3"/>
  <c r="F49" i="3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H43" i="5" s="1"/>
  <c r="F44" i="5"/>
  <c r="G44" i="5"/>
  <c r="F45" i="5"/>
  <c r="G45" i="5"/>
  <c r="H45" i="5" s="1"/>
  <c r="F46" i="5"/>
  <c r="G46" i="5"/>
  <c r="F47" i="5"/>
  <c r="G47" i="5"/>
  <c r="F51" i="5"/>
  <c r="F52" i="5"/>
  <c r="F53" i="5"/>
  <c r="F54" i="5"/>
  <c r="F55" i="5"/>
  <c r="D56" i="5"/>
  <c r="B34" i="4"/>
  <c r="C34" i="4"/>
  <c r="D34" i="4"/>
  <c r="E34" i="4"/>
  <c r="F34" i="4"/>
  <c r="G34" i="4"/>
  <c r="B37" i="4"/>
  <c r="C37" i="4"/>
  <c r="D37" i="4"/>
  <c r="F45" i="4"/>
  <c r="G45" i="4"/>
  <c r="F46" i="4"/>
  <c r="G46" i="4"/>
  <c r="F47" i="4"/>
  <c r="G47" i="4"/>
  <c r="F48" i="4"/>
  <c r="G48" i="4"/>
  <c r="F49" i="4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F46" i="10"/>
  <c r="G46" i="10"/>
  <c r="F47" i="10"/>
  <c r="G47" i="10"/>
  <c r="F48" i="10"/>
  <c r="G48" i="10"/>
  <c r="F49" i="10"/>
  <c r="G49" i="10"/>
  <c r="F53" i="10"/>
  <c r="F54" i="10"/>
  <c r="F55" i="10"/>
  <c r="F56" i="10"/>
  <c r="F57" i="10"/>
  <c r="D58" i="10"/>
  <c r="B33" i="9"/>
  <c r="B36" i="9"/>
  <c r="C36" i="9"/>
  <c r="D36" i="9"/>
  <c r="F44" i="9"/>
  <c r="G44" i="9"/>
  <c r="F45" i="9"/>
  <c r="G45" i="9"/>
  <c r="F46" i="9"/>
  <c r="G46" i="9"/>
  <c r="F47" i="9"/>
  <c r="G47" i="9"/>
  <c r="F48" i="9"/>
  <c r="G48" i="9"/>
  <c r="F52" i="9"/>
  <c r="F53" i="9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H45" i="6" s="1"/>
  <c r="F46" i="6"/>
  <c r="G46" i="6"/>
  <c r="F47" i="6"/>
  <c r="G47" i="6"/>
  <c r="F48" i="6"/>
  <c r="G48" i="6"/>
  <c r="F49" i="6"/>
  <c r="G49" i="6"/>
  <c r="H49" i="6" s="1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G45" i="8"/>
  <c r="F46" i="8"/>
  <c r="G46" i="8"/>
  <c r="F47" i="8"/>
  <c r="G47" i="8"/>
  <c r="F48" i="8"/>
  <c r="G48" i="8"/>
  <c r="F49" i="8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G45" i="2"/>
  <c r="F46" i="2"/>
  <c r="G46" i="2"/>
  <c r="F47" i="2"/>
  <c r="G47" i="2"/>
  <c r="H47" i="2" s="1"/>
  <c r="F48" i="2"/>
  <c r="G48" i="2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F46" i="1"/>
  <c r="G46" i="1"/>
  <c r="F47" i="1"/>
  <c r="G47" i="1"/>
  <c r="H47" i="1" s="1"/>
  <c r="F48" i="1"/>
  <c r="G48" i="1"/>
  <c r="F49" i="1"/>
  <c r="G49" i="1"/>
  <c r="D58" i="1"/>
  <c r="D59" i="1" s="1"/>
  <c r="F58" i="1"/>
  <c r="F59" i="1" s="1"/>
  <c r="B36" i="12"/>
  <c r="C36" i="12"/>
  <c r="D36" i="12"/>
  <c r="F44" i="12"/>
  <c r="G44" i="12"/>
  <c r="F45" i="12"/>
  <c r="G45" i="12"/>
  <c r="F46" i="12"/>
  <c r="G46" i="12"/>
  <c r="F47" i="12"/>
  <c r="G47" i="12"/>
  <c r="F48" i="12"/>
  <c r="G48" i="12"/>
  <c r="F52" i="12"/>
  <c r="F53" i="12"/>
  <c r="F54" i="12"/>
  <c r="F55" i="12"/>
  <c r="F56" i="12"/>
  <c r="D57" i="12"/>
  <c r="H46" i="1" l="1"/>
  <c r="H46" i="2"/>
  <c r="H48" i="6"/>
  <c r="H49" i="1"/>
  <c r="H47" i="6"/>
  <c r="H44" i="7"/>
  <c r="H49" i="8"/>
  <c r="H45" i="8"/>
  <c r="H47" i="3"/>
  <c r="H45" i="4"/>
  <c r="H47" i="12"/>
  <c r="H44" i="9"/>
  <c r="H46" i="5"/>
  <c r="F58" i="10"/>
  <c r="H47" i="4"/>
  <c r="H46" i="10"/>
  <c r="H45" i="3"/>
  <c r="H44" i="12"/>
  <c r="D39" i="3"/>
  <c r="D39" i="4" s="1"/>
  <c r="D37" i="5" s="1"/>
  <c r="D39" i="6" s="1"/>
  <c r="D38" i="7" s="1"/>
  <c r="D39" i="8" s="1"/>
  <c r="D38" i="9" s="1"/>
  <c r="D39" i="10" s="1"/>
  <c r="D39" i="11" s="1"/>
  <c r="D38" i="12" s="1"/>
  <c r="H47" i="8"/>
  <c r="H46" i="6"/>
  <c r="H47" i="9"/>
  <c r="H45" i="9"/>
  <c r="H45" i="10"/>
  <c r="F56" i="5"/>
  <c r="H48" i="3"/>
  <c r="F57" i="12"/>
  <c r="H45" i="12"/>
  <c r="H48" i="8"/>
  <c r="H46" i="8"/>
  <c r="H48" i="9"/>
  <c r="H45" i="1"/>
  <c r="H48" i="2"/>
  <c r="H45" i="2"/>
  <c r="F57" i="9"/>
  <c r="H46" i="9"/>
  <c r="H48" i="10"/>
  <c r="H49" i="4"/>
  <c r="H49" i="3"/>
  <c r="H44" i="2"/>
  <c r="F58" i="8"/>
  <c r="H49" i="10"/>
  <c r="H47" i="10"/>
  <c r="H48" i="4"/>
  <c r="F57" i="7"/>
  <c r="H46" i="7"/>
  <c r="H48" i="12"/>
  <c r="H46" i="12"/>
  <c r="H48" i="1"/>
  <c r="F58" i="4"/>
  <c r="H46" i="4"/>
  <c r="H47" i="5"/>
  <c r="H44" i="5"/>
  <c r="H46" i="3"/>
  <c r="H47" i="7"/>
  <c r="H45" i="7"/>
  <c r="F58" i="6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<sst xmlns="http://schemas.openxmlformats.org/spreadsheetml/2006/main" count="510" uniqueCount="67">
  <si>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</si>
  <si>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</si>
  <si>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</si>
  <si>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</si>
  <si>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</si>
  <si>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</si>
  <si>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</si>
  <si>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</si>
  <si>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</si>
  <si>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</si>
  <si>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</si>
  <si>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</si>
  <si>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</si>
  <si>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</si>
  <si>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</si>
  <si>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</si>
  <si>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</si>
  <si>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</si>
  <si>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</si>
  <si>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</si>
  <si>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</si>
  <si>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</si>
  <si>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</si>
  <si>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</si>
  <si>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</si>
  <si>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</si>
  <si>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</si>
  <si>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</si>
  <si>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14:00 125/150</t>
  </si>
  <si>
    <t>Sump 1A - 50</t>
  </si>
  <si>
    <t>* 12:00 150/125</t>
  </si>
  <si>
    <t>* 12:00 150/175</t>
  </si>
  <si>
    <t>* 15:00 175/150</t>
  </si>
  <si>
    <t>* 11:00 150/125</t>
  </si>
  <si>
    <t>correction to St 48 and J-canal</t>
  </si>
  <si>
    <t>T</t>
  </si>
  <si>
    <t>* 15:00 125/150</t>
  </si>
  <si>
    <t>* 10:30 150/175</t>
  </si>
  <si>
    <t>* 12:00 175/125</t>
  </si>
  <si>
    <t>Sump 1A - * 12:00 50/0</t>
  </si>
  <si>
    <t>* 1300 125/100</t>
  </si>
  <si>
    <t>* 1500 100/75</t>
  </si>
  <si>
    <t>* 12:30 75/100</t>
  </si>
  <si>
    <t>* 13:30 100/125</t>
  </si>
  <si>
    <t>* 00:00 125/175 * 17:00 175/150</t>
  </si>
  <si>
    <t>* 13:00 150/100</t>
  </si>
  <si>
    <t>* 16:00 100/75</t>
  </si>
  <si>
    <t>* 16:00 75/50</t>
  </si>
  <si>
    <t>* 13:00 50/25</t>
  </si>
  <si>
    <t>* 18:00 25/0</t>
  </si>
  <si>
    <t>correction to Anderson Rose</t>
  </si>
  <si>
    <t>"</t>
  </si>
  <si>
    <t>* 09:00 0/50</t>
  </si>
  <si>
    <t>* 16:00 50/30</t>
  </si>
  <si>
    <t>* 12:00 30/40</t>
  </si>
  <si>
    <t>* 9:00 40/35</t>
  </si>
  <si>
    <t>* 8:30 35/10</t>
  </si>
  <si>
    <t>* 16:00 10/0</t>
  </si>
  <si>
    <t>* 16:30 0/10</t>
  </si>
  <si>
    <t>* 12:00 10/5</t>
  </si>
  <si>
    <t>* 11:00 5/10</t>
  </si>
  <si>
    <t>* 16:00 5/15</t>
  </si>
  <si>
    <t>* 08:00 15/5</t>
  </si>
  <si>
    <t>*0600 10/0</t>
  </si>
  <si>
    <t>-</t>
  </si>
  <si>
    <t>* 15:30 0/150</t>
  </si>
  <si>
    <t>* 09:20 150/0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</si>
</sst>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11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3" fontId="22" fillId="0" borderId="1" xfId="3" applyNumberFormat="1" applyFont="1" applyFill="1" applyBorder="1" applyAlignment="1">
      <alignment horizontal="right" wrapText="1"/>
    </xf>
    <xf numFmtId="14" fontId="21" fillId="0" borderId="2" xfId="0" applyNumberFormat="1" applyFont="1" applyBorder="1"/>
    <xf numFmtId="14" fontId="21" fillId="0" borderId="1" xfId="0" applyNumberFormat="1" applyFont="1" applyBorder="1"/>
    <xf numFmtId="3" fontId="21" fillId="0" borderId="1" xfId="0" applyNumberFormat="1" applyFont="1" applyBorder="1"/>
    <xf numFmtId="4" fontId="21" fillId="0" borderId="1" xfId="0" applyNumberFormat="1" applyFont="1" applyBorder="1"/>
    <xf numFmtId="14" fontId="22" fillId="0" borderId="1" xfId="3" applyNumberFormat="1" applyFont="1" applyFill="1" applyBorder="1" applyAlignment="1">
      <alignment horizontal="right" wrapText="1"/>
    </xf>
    <xf numFmtId="0" fontId="23" fillId="0" borderId="0" xfId="0" applyFont="1"/>
    <xf numFmtId="0" fontId="24" fillId="0" borderId="27" xfId="0" applyFont="1" applyBorder="1" applyAlignment="1">
      <alignment horizontal="right" wrapText="1"/>
    </xf>
    <xf numFmtId="4" fontId="24" fillId="0" borderId="27" xfId="0" applyNumberFormat="1" applyFont="1" applyBorder="1" applyAlignment="1">
      <alignment horizontal="right" wrapText="1"/>
    </xf>
    <xf numFmtId="0" fontId="24" fillId="0" borderId="0" xfId="0" applyFont="1"/>
    <xf numFmtId="0" fontId="25" fillId="0" borderId="27" xfId="0" applyFont="1" applyBorder="1" applyAlignment="1">
      <alignment horizontal="right"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4" fillId="0" borderId="27" xfId="0" applyFont="1" applyBorder="1" applyAlignment="1">
      <alignment horizontal="right"/>
    </xf>
    <xf numFmtId="0" fontId="24" fillId="0" borderId="28" xfId="0" applyFont="1" applyBorder="1" applyAlignment="1">
      <alignment horizontal="right"/>
    </xf>
    <xf numFmtId="0" fontId="24" fillId="0" borderId="28" xfId="0" applyFont="1" applyBorder="1" applyAlignment="1">
      <alignment horizontal="right" wrapText="1"/>
    </xf>
    <xf numFmtId="14" fontId="24" fillId="0" borderId="27" xfId="0" applyNumberFormat="1" applyFont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 applyProtection="1">
      <alignment horizontal="center" wrapText="1"/>
    </xf>
    <xf numFmtId="0" fontId="8" fillId="0" borderId="21" xfId="2" applyFont="1" applyBorder="1" applyAlignment="1" applyProtection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tabSelected="1" zoomScale="70" zoomScaleNormal="70" workbookViewId="0">
      <pane xSplit="1" ySplit="2" topLeftCell="B6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6.33203125" bestFit="1" customWidth="1"/>
  </cols>
  <sheetData>
    <row r="1" spans="1:11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1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11" x14ac:dyDescent="0.3">
      <c r="A3" s="25">
        <v>44440</v>
      </c>
      <c r="B3" s="92">
        <v>150</v>
      </c>
      <c r="C3" s="92">
        <v>0</v>
      </c>
      <c r="D3" s="92">
        <v>158</v>
      </c>
      <c r="E3" s="92">
        <v>0</v>
      </c>
      <c r="F3" s="92">
        <v>0</v>
      </c>
      <c r="G3" s="92">
        <v>0</v>
      </c>
      <c r="H3" s="93" t="s">
        <v>64</v>
      </c>
      <c r="I3" s="91"/>
      <c r="J3" s="91"/>
      <c r="K3" s="94"/>
    </row>
    <row r="4" spans="1:11" x14ac:dyDescent="0.3">
      <c r="A4" s="25">
        <f>A3+1</f>
        <v>44441</v>
      </c>
      <c r="B4" s="92">
        <v>150</v>
      </c>
      <c r="C4" s="92">
        <v>0</v>
      </c>
      <c r="D4" s="92">
        <v>158</v>
      </c>
      <c r="E4" s="92">
        <v>0</v>
      </c>
      <c r="F4" s="92">
        <v>0</v>
      </c>
      <c r="G4" s="92">
        <v>0</v>
      </c>
      <c r="H4" s="93" t="s">
        <v>64</v>
      </c>
      <c r="I4" s="91"/>
      <c r="J4" s="91"/>
      <c r="K4" s="94"/>
    </row>
    <row r="5" spans="1:11" x14ac:dyDescent="0.3">
      <c r="A5" s="25">
        <f t="shared" ref="A5:A32" si="0">A4+1</f>
        <v>44442</v>
      </c>
      <c r="B5" s="92">
        <v>150</v>
      </c>
      <c r="C5" s="92">
        <v>0</v>
      </c>
      <c r="D5" s="92">
        <v>158</v>
      </c>
      <c r="E5" s="92">
        <v>0</v>
      </c>
      <c r="F5" s="92">
        <v>0</v>
      </c>
      <c r="G5" s="92">
        <v>0</v>
      </c>
      <c r="H5" s="93" t="s">
        <v>64</v>
      </c>
      <c r="I5" s="91"/>
      <c r="J5" s="91"/>
      <c r="K5" s="94"/>
    </row>
    <row r="6" spans="1:11" x14ac:dyDescent="0.3">
      <c r="A6" s="25">
        <f t="shared" si="0"/>
        <v>44443</v>
      </c>
      <c r="B6" s="92">
        <v>150</v>
      </c>
      <c r="C6" s="92">
        <v>0</v>
      </c>
      <c r="D6" s="92">
        <v>158</v>
      </c>
      <c r="E6" s="92">
        <v>0</v>
      </c>
      <c r="F6" s="92">
        <v>0</v>
      </c>
      <c r="G6" s="92">
        <v>0</v>
      </c>
      <c r="H6" s="93" t="s">
        <v>64</v>
      </c>
      <c r="I6" s="91"/>
      <c r="J6" s="91"/>
      <c r="K6" s="94"/>
    </row>
    <row r="7" spans="1:11" x14ac:dyDescent="0.3">
      <c r="A7" s="25">
        <f t="shared" si="0"/>
        <v>44444</v>
      </c>
      <c r="B7" s="92">
        <v>150</v>
      </c>
      <c r="C7" s="92">
        <v>0</v>
      </c>
      <c r="D7" s="92">
        <v>158</v>
      </c>
      <c r="E7" s="92">
        <v>0</v>
      </c>
      <c r="F7" s="92">
        <v>0</v>
      </c>
      <c r="G7" s="92">
        <v>0</v>
      </c>
      <c r="H7" s="93" t="s">
        <v>64</v>
      </c>
      <c r="I7" s="91"/>
      <c r="J7" s="91"/>
      <c r="K7" s="94"/>
    </row>
    <row r="8" spans="1:11" x14ac:dyDescent="0.3">
      <c r="A8" s="25">
        <f t="shared" si="0"/>
        <v>44445</v>
      </c>
      <c r="B8" s="92">
        <v>150</v>
      </c>
      <c r="C8" s="92">
        <v>0</v>
      </c>
      <c r="D8" s="92">
        <v>163</v>
      </c>
      <c r="E8" s="92">
        <v>0</v>
      </c>
      <c r="F8" s="92">
        <v>0</v>
      </c>
      <c r="G8" s="92">
        <v>0</v>
      </c>
      <c r="H8" s="93" t="s">
        <v>64</v>
      </c>
      <c r="I8" s="91"/>
      <c r="J8" s="91"/>
      <c r="K8" s="94"/>
    </row>
    <row r="9" spans="1:11" x14ac:dyDescent="0.3">
      <c r="A9" s="25">
        <f t="shared" si="0"/>
        <v>44446</v>
      </c>
      <c r="B9" s="92">
        <v>150</v>
      </c>
      <c r="C9" s="92">
        <v>0</v>
      </c>
      <c r="D9" s="92">
        <v>163</v>
      </c>
      <c r="E9" s="92">
        <v>0</v>
      </c>
      <c r="F9" s="92">
        <v>0</v>
      </c>
      <c r="G9" s="92">
        <v>0</v>
      </c>
      <c r="H9" s="93" t="s">
        <v>64</v>
      </c>
      <c r="I9" s="91"/>
      <c r="J9" s="91"/>
      <c r="K9" s="94"/>
    </row>
    <row r="10" spans="1:11" x14ac:dyDescent="0.3">
      <c r="A10" s="25">
        <f t="shared" si="0"/>
        <v>44447</v>
      </c>
      <c r="B10" s="92">
        <v>58</v>
      </c>
      <c r="C10" s="92">
        <v>0</v>
      </c>
      <c r="D10" s="92">
        <v>160</v>
      </c>
      <c r="E10" s="92">
        <v>0</v>
      </c>
      <c r="F10" s="92">
        <v>0</v>
      </c>
      <c r="G10" s="92">
        <v>0</v>
      </c>
      <c r="H10" s="93" t="s">
        <v>64</v>
      </c>
      <c r="I10" s="91" t="s">
        <v>66</v>
      </c>
      <c r="J10" s="91"/>
      <c r="K10" s="94"/>
    </row>
    <row r="11" spans="1:11" x14ac:dyDescent="0.3">
      <c r="A11" s="25">
        <f t="shared" si="0"/>
        <v>44448</v>
      </c>
      <c r="B11" s="92">
        <v>0</v>
      </c>
      <c r="C11" s="92">
        <v>0</v>
      </c>
      <c r="D11" s="92">
        <v>107</v>
      </c>
      <c r="E11" s="92">
        <v>0</v>
      </c>
      <c r="F11" s="92">
        <v>0</v>
      </c>
      <c r="G11" s="92">
        <v>0</v>
      </c>
      <c r="H11" s="93" t="s">
        <v>64</v>
      </c>
      <c r="I11" s="91"/>
      <c r="J11" s="91"/>
      <c r="K11" s="94"/>
    </row>
    <row r="12" spans="1:11" x14ac:dyDescent="0.3">
      <c r="A12" s="25">
        <f t="shared" si="0"/>
        <v>44449</v>
      </c>
      <c r="B12" s="92">
        <v>0</v>
      </c>
      <c r="C12" s="92">
        <v>0</v>
      </c>
      <c r="D12" s="92">
        <v>45</v>
      </c>
      <c r="E12" s="92">
        <v>1.08</v>
      </c>
      <c r="F12" s="92">
        <v>0</v>
      </c>
      <c r="G12" s="92">
        <v>0</v>
      </c>
      <c r="H12" s="93" t="s">
        <v>64</v>
      </c>
      <c r="I12" s="91"/>
      <c r="J12" s="91"/>
      <c r="K12" s="94"/>
    </row>
    <row r="13" spans="1:11" x14ac:dyDescent="0.3">
      <c r="A13" s="25">
        <f t="shared" si="0"/>
        <v>44450</v>
      </c>
      <c r="B13" s="92">
        <v>0</v>
      </c>
      <c r="C13" s="92">
        <v>0</v>
      </c>
      <c r="D13" s="92">
        <v>20</v>
      </c>
      <c r="E13" s="92">
        <v>0</v>
      </c>
      <c r="F13" s="92">
        <v>0</v>
      </c>
      <c r="G13" s="92">
        <v>0</v>
      </c>
      <c r="H13" s="93" t="s">
        <v>64</v>
      </c>
      <c r="I13" s="91"/>
      <c r="J13" s="91"/>
      <c r="K13" s="94"/>
    </row>
    <row r="14" spans="1:11" x14ac:dyDescent="0.3">
      <c r="A14" s="25">
        <f t="shared" si="0"/>
        <v>44451</v>
      </c>
      <c r="B14" s="92">
        <v>0</v>
      </c>
      <c r="C14" s="92">
        <v>0</v>
      </c>
      <c r="D14" s="92">
        <v>12</v>
      </c>
      <c r="E14" s="92">
        <v>0</v>
      </c>
      <c r="F14" s="92">
        <v>0</v>
      </c>
      <c r="G14" s="92">
        <v>0</v>
      </c>
      <c r="H14" s="93" t="s">
        <v>64</v>
      </c>
      <c r="I14" s="91"/>
      <c r="J14" s="91"/>
      <c r="K14" s="94"/>
    </row>
    <row r="15" spans="1:11" x14ac:dyDescent="0.3">
      <c r="A15" s="25">
        <f t="shared" si="0"/>
        <v>44452</v>
      </c>
      <c r="B15" s="92">
        <v>0</v>
      </c>
      <c r="C15" s="92">
        <v>0</v>
      </c>
      <c r="D15" s="92">
        <v>8</v>
      </c>
      <c r="E15" s="92">
        <v>0</v>
      </c>
      <c r="F15" s="92">
        <v>0</v>
      </c>
      <c r="G15" s="92">
        <v>0</v>
      </c>
      <c r="H15" s="93" t="s">
        <v>64</v>
      </c>
      <c r="I15" s="91"/>
      <c r="J15" s="91"/>
      <c r="K15" s="94"/>
    </row>
    <row r="16" spans="1:11" x14ac:dyDescent="0.3">
      <c r="A16" s="25">
        <f t="shared" si="0"/>
        <v>44453</v>
      </c>
      <c r="B16" s="92">
        <v>0</v>
      </c>
      <c r="C16" s="92">
        <v>0</v>
      </c>
      <c r="D16" s="92">
        <v>4</v>
      </c>
      <c r="E16" s="92">
        <v>0</v>
      </c>
      <c r="F16" s="92">
        <v>0</v>
      </c>
      <c r="G16" s="92">
        <v>0</v>
      </c>
      <c r="H16" s="93" t="s">
        <v>64</v>
      </c>
      <c r="I16" s="91"/>
      <c r="J16" s="91"/>
      <c r="K16" s="94"/>
    </row>
    <row r="17" spans="1:11" x14ac:dyDescent="0.3">
      <c r="A17" s="25">
        <f t="shared" si="0"/>
        <v>44454</v>
      </c>
      <c r="B17" s="92">
        <v>0</v>
      </c>
      <c r="C17" s="92">
        <v>0</v>
      </c>
      <c r="D17" s="92">
        <v>5</v>
      </c>
      <c r="E17" s="92">
        <v>0</v>
      </c>
      <c r="F17" s="92">
        <v>0</v>
      </c>
      <c r="G17" s="92">
        <v>0</v>
      </c>
      <c r="H17" s="93" t="s">
        <v>64</v>
      </c>
      <c r="I17" s="91"/>
      <c r="J17" s="91"/>
      <c r="K17" s="94"/>
    </row>
    <row r="18" spans="1:11" x14ac:dyDescent="0.3">
      <c r="A18" s="25">
        <f t="shared" si="0"/>
        <v>44455</v>
      </c>
      <c r="B18" s="92">
        <v>0</v>
      </c>
      <c r="C18" s="92">
        <v>0</v>
      </c>
      <c r="D18" s="92">
        <v>6</v>
      </c>
      <c r="E18" s="92">
        <v>0</v>
      </c>
      <c r="F18" s="92">
        <v>0</v>
      </c>
      <c r="G18" s="92">
        <v>0</v>
      </c>
      <c r="H18" s="93" t="s">
        <v>64</v>
      </c>
      <c r="I18" s="91"/>
      <c r="J18" s="91"/>
      <c r="K18" s="94"/>
    </row>
    <row r="19" spans="1:11" x14ac:dyDescent="0.3">
      <c r="A19" s="25">
        <f t="shared" si="0"/>
        <v>44456</v>
      </c>
      <c r="B19" s="92">
        <v>0</v>
      </c>
      <c r="C19" s="92">
        <v>0</v>
      </c>
      <c r="D19" s="92">
        <v>6</v>
      </c>
      <c r="E19" s="92">
        <v>0</v>
      </c>
      <c r="F19" s="92">
        <v>0</v>
      </c>
      <c r="G19" s="92">
        <v>0</v>
      </c>
      <c r="H19" s="93" t="s">
        <v>64</v>
      </c>
      <c r="I19" s="91"/>
      <c r="J19" s="91"/>
      <c r="K19" s="94"/>
    </row>
    <row r="20" spans="1:11" x14ac:dyDescent="0.3">
      <c r="A20" s="25">
        <f t="shared" si="0"/>
        <v>44457</v>
      </c>
      <c r="B20" s="92">
        <v>0</v>
      </c>
      <c r="C20" s="92">
        <v>0</v>
      </c>
      <c r="D20" s="92">
        <v>6</v>
      </c>
      <c r="E20" s="92">
        <v>0.14000000000000001</v>
      </c>
      <c r="F20" s="92">
        <v>0</v>
      </c>
      <c r="G20" s="92">
        <v>0</v>
      </c>
      <c r="H20" s="93" t="s">
        <v>64</v>
      </c>
      <c r="I20" s="91"/>
      <c r="J20" s="91"/>
      <c r="K20" s="94"/>
    </row>
    <row r="21" spans="1:11" x14ac:dyDescent="0.3">
      <c r="A21" s="25">
        <f t="shared" si="0"/>
        <v>44458</v>
      </c>
      <c r="B21" s="92">
        <v>0</v>
      </c>
      <c r="C21" s="92">
        <v>0</v>
      </c>
      <c r="D21" s="92">
        <v>6</v>
      </c>
      <c r="E21" s="92">
        <v>0.01</v>
      </c>
      <c r="F21" s="92">
        <v>0</v>
      </c>
      <c r="G21" s="92">
        <v>0</v>
      </c>
      <c r="H21" s="93" t="s">
        <v>64</v>
      </c>
      <c r="I21" s="91"/>
      <c r="J21" s="91"/>
      <c r="K21" s="94"/>
    </row>
    <row r="22" spans="1:11" x14ac:dyDescent="0.3">
      <c r="A22" s="25">
        <f t="shared" si="0"/>
        <v>44459</v>
      </c>
      <c r="B22" s="92">
        <v>0</v>
      </c>
      <c r="C22" s="92">
        <v>0</v>
      </c>
      <c r="D22" s="92">
        <v>5</v>
      </c>
      <c r="E22" s="92">
        <v>0</v>
      </c>
      <c r="F22" s="92">
        <v>0</v>
      </c>
      <c r="G22" s="92">
        <v>0</v>
      </c>
      <c r="H22" s="93" t="s">
        <v>64</v>
      </c>
      <c r="I22" s="91"/>
      <c r="J22" s="91"/>
      <c r="K22" s="94"/>
    </row>
    <row r="23" spans="1:11" x14ac:dyDescent="0.3">
      <c r="A23" s="25">
        <f t="shared" si="0"/>
        <v>44460</v>
      </c>
      <c r="B23" s="92">
        <v>0</v>
      </c>
      <c r="C23" s="92">
        <v>0</v>
      </c>
      <c r="D23" s="92">
        <v>5</v>
      </c>
      <c r="E23" s="92">
        <v>0</v>
      </c>
      <c r="F23" s="92">
        <v>0</v>
      </c>
      <c r="G23" s="92">
        <v>0</v>
      </c>
      <c r="H23" s="93" t="s">
        <v>64</v>
      </c>
      <c r="I23" s="91"/>
      <c r="J23" s="91"/>
      <c r="K23" s="94"/>
    </row>
    <row r="24" spans="1:11" x14ac:dyDescent="0.3">
      <c r="A24" s="25">
        <f t="shared" si="0"/>
        <v>44461</v>
      </c>
      <c r="B24" s="92">
        <v>0</v>
      </c>
      <c r="C24" s="92">
        <v>0</v>
      </c>
      <c r="D24" s="92">
        <v>5</v>
      </c>
      <c r="E24" s="92">
        <v>0</v>
      </c>
      <c r="F24" s="92">
        <v>0</v>
      </c>
      <c r="G24" s="92">
        <v>0</v>
      </c>
      <c r="H24" s="93" t="s">
        <v>64</v>
      </c>
      <c r="I24" s="91"/>
      <c r="J24" s="91"/>
      <c r="K24" s="94"/>
    </row>
    <row r="25" spans="1:11" x14ac:dyDescent="0.3">
      <c r="A25" s="25">
        <f t="shared" si="0"/>
        <v>44462</v>
      </c>
      <c r="B25" s="92">
        <v>0</v>
      </c>
      <c r="C25" s="92">
        <v>0</v>
      </c>
      <c r="D25" s="92">
        <v>5</v>
      </c>
      <c r="E25" s="92">
        <v>0</v>
      </c>
      <c r="F25" s="92">
        <v>0</v>
      </c>
      <c r="G25" s="92">
        <v>0</v>
      </c>
      <c r="H25" s="93" t="s">
        <v>64</v>
      </c>
      <c r="I25" s="91"/>
      <c r="J25" s="91"/>
      <c r="K25" s="94"/>
    </row>
    <row r="26" spans="1:11" x14ac:dyDescent="0.3">
      <c r="A26" s="25">
        <f t="shared" si="0"/>
        <v>44463</v>
      </c>
      <c r="B26" s="92">
        <v>0</v>
      </c>
      <c r="C26" s="92">
        <v>0</v>
      </c>
      <c r="D26" s="92">
        <v>5</v>
      </c>
      <c r="E26" s="92">
        <v>0</v>
      </c>
      <c r="F26" s="92">
        <v>0</v>
      </c>
      <c r="G26" s="92">
        <v>0</v>
      </c>
      <c r="H26" s="93" t="s">
        <v>64</v>
      </c>
      <c r="I26" s="91"/>
      <c r="J26" s="91"/>
      <c r="K26" s="94"/>
    </row>
    <row r="27" spans="1:11" x14ac:dyDescent="0.3">
      <c r="A27" s="25">
        <f t="shared" si="0"/>
        <v>44464</v>
      </c>
      <c r="B27" s="92">
        <v>0</v>
      </c>
      <c r="C27" s="92">
        <v>0</v>
      </c>
      <c r="D27" s="92">
        <v>5</v>
      </c>
      <c r="E27" s="92">
        <v>0</v>
      </c>
      <c r="F27" s="92">
        <v>0</v>
      </c>
      <c r="G27" s="92">
        <v>0</v>
      </c>
      <c r="H27" s="93" t="s">
        <v>64</v>
      </c>
      <c r="I27" s="91"/>
      <c r="J27" s="91"/>
      <c r="K27" s="94"/>
    </row>
    <row r="28" spans="1:11" x14ac:dyDescent="0.3">
      <c r="A28" s="25">
        <f t="shared" si="0"/>
        <v>44465</v>
      </c>
      <c r="B28" s="92">
        <v>0</v>
      </c>
      <c r="C28" s="92">
        <v>0</v>
      </c>
      <c r="D28" s="92">
        <v>5</v>
      </c>
      <c r="E28" s="92">
        <v>0</v>
      </c>
      <c r="F28" s="92">
        <v>0</v>
      </c>
      <c r="G28" s="92">
        <v>0</v>
      </c>
      <c r="H28" s="93" t="s">
        <v>64</v>
      </c>
      <c r="I28" s="91"/>
      <c r="J28" s="91"/>
      <c r="K28" s="94"/>
    </row>
    <row r="29" spans="1:11" x14ac:dyDescent="0.3">
      <c r="A29" s="25">
        <f t="shared" si="0"/>
        <v>44466</v>
      </c>
      <c r="B29" s="92">
        <v>0</v>
      </c>
      <c r="C29" s="92">
        <v>0</v>
      </c>
      <c r="D29" s="92">
        <v>5</v>
      </c>
      <c r="E29" s="92">
        <v>0</v>
      </c>
      <c r="F29" s="92">
        <v>0</v>
      </c>
      <c r="G29" s="92">
        <v>0</v>
      </c>
      <c r="H29" s="92" t="s">
        <v>64</v>
      </c>
      <c r="I29" s="91"/>
      <c r="J29" s="91"/>
    </row>
    <row r="30" spans="1:11" x14ac:dyDescent="0.3">
      <c r="A30" s="25">
        <f t="shared" si="0"/>
        <v>44467</v>
      </c>
      <c r="B30" s="92">
        <v>0</v>
      </c>
      <c r="C30" s="92">
        <v>0</v>
      </c>
      <c r="D30" s="92">
        <v>5</v>
      </c>
      <c r="E30" s="92">
        <v>0.17</v>
      </c>
      <c r="F30" s="92">
        <v>0</v>
      </c>
      <c r="G30" s="92">
        <v>0</v>
      </c>
      <c r="H30" s="92" t="s">
        <v>64</v>
      </c>
      <c r="I30" s="91"/>
      <c r="J30" s="91"/>
    </row>
    <row r="31" spans="1:11" x14ac:dyDescent="0.3">
      <c r="A31" s="25">
        <f t="shared" si="0"/>
        <v>44468</v>
      </c>
      <c r="B31" s="92">
        <v>0</v>
      </c>
      <c r="C31" s="92">
        <v>0</v>
      </c>
      <c r="D31" s="92">
        <v>5</v>
      </c>
      <c r="E31" s="92">
        <v>0</v>
      </c>
      <c r="F31" s="92">
        <v>0</v>
      </c>
      <c r="G31" s="92">
        <v>0</v>
      </c>
      <c r="H31" s="92" t="s">
        <v>64</v>
      </c>
      <c r="I31" s="91"/>
      <c r="J31" s="91"/>
    </row>
    <row r="32" spans="1:11" ht="15" thickBot="1" x14ac:dyDescent="0.35">
      <c r="A32" s="25">
        <f t="shared" si="0"/>
        <v>44469</v>
      </c>
      <c r="B32" s="92">
        <v>0</v>
      </c>
      <c r="C32" s="92">
        <v>0</v>
      </c>
      <c r="D32" s="92">
        <v>5</v>
      </c>
      <c r="E32" s="92">
        <v>0</v>
      </c>
      <c r="F32" s="92">
        <v>0</v>
      </c>
      <c r="G32" s="92">
        <v>0</v>
      </c>
      <c r="H32" s="92" t="s">
        <v>64</v>
      </c>
    </row>
    <row r="33" spans="1:14" s="11" customFormat="1" ht="15" thickTop="1" x14ac:dyDescent="0.3">
      <c r="A33" s="15" t="s">
        <v>8</v>
      </c>
      <c r="B33" s="16">
        <f t="shared" ref="B33:G33" si="1">SUM(B3:B32)</f>
        <v>1108</v>
      </c>
      <c r="C33" s="16">
        <f t="shared" si="1"/>
        <v>0</v>
      </c>
      <c r="D33" s="16">
        <f t="shared" si="1"/>
        <v>1556</v>
      </c>
      <c r="E33" s="17">
        <f t="shared" si="1"/>
        <v>1.4000000000000001</v>
      </c>
      <c r="F33" s="17">
        <f t="shared" si="1"/>
        <v>0</v>
      </c>
      <c r="G33" s="16">
        <f t="shared" si="1"/>
        <v>0</v>
      </c>
      <c r="H33" s="17"/>
    </row>
    <row r="34" spans="1:14" s="11" customFormat="1" x14ac:dyDescent="0.3">
      <c r="A34" s="18" t="s">
        <v>9</v>
      </c>
      <c r="B34" s="19">
        <f>SUM(B33+'Aug 2021'!B35)</f>
        <v>11633</v>
      </c>
      <c r="C34" s="19">
        <f>SUM(C33+'Aug 2021'!C35)</f>
        <v>3290</v>
      </c>
      <c r="D34" s="19">
        <f>SUM(D33+'Aug 2021'!D35)</f>
        <v>12019</v>
      </c>
      <c r="E34" s="20">
        <f>SUM(E33+'Aug 2021'!E35)</f>
        <v>5.5600000000000005</v>
      </c>
      <c r="F34" s="20">
        <f>SUM(F33+'Aug 2021'!F35)</f>
        <v>10.9</v>
      </c>
      <c r="G34" s="19">
        <f>SUM(G33+'Aug 2021'!G35)</f>
        <v>0</v>
      </c>
      <c r="H34" s="20"/>
    </row>
    <row r="36" spans="1:14" x14ac:dyDescent="0.3">
      <c r="A36" t="s">
        <v>10</v>
      </c>
      <c r="B36" s="22">
        <f>SUM(B3:B32)*1.9835</f>
        <v>2197.7179999999998</v>
      </c>
      <c r="C36" s="22">
        <f>SUM(C3:C32)*1.9835</f>
        <v>0</v>
      </c>
      <c r="D36" s="22">
        <f>SUM(D3:D32)*1.9835</f>
        <v>3086.326</v>
      </c>
      <c r="E36" s="22"/>
      <c r="F36" s="22"/>
      <c r="G36" s="22"/>
    </row>
    <row r="37" spans="1:14" x14ac:dyDescent="0.3">
      <c r="B37" s="22"/>
      <c r="C37" s="22"/>
      <c r="D37" s="23"/>
      <c r="E37" s="22"/>
      <c r="F37" s="22"/>
      <c r="G37" s="22"/>
    </row>
    <row r="38" spans="1:14" x14ac:dyDescent="0.3">
      <c r="A38" t="s">
        <v>24</v>
      </c>
      <c r="B38" s="22">
        <f>SUM(B36+'Aug 2021'!B39)</f>
        <v>23966.630499999999</v>
      </c>
      <c r="C38" s="22">
        <f>SUM(C36+'Aug 2021'!C39)</f>
        <v>6555.4674999999997</v>
      </c>
      <c r="D38" s="22">
        <f>SUM(D36+'Aug 2021'!D39)</f>
        <v>25025.819500000001</v>
      </c>
      <c r="E38" s="22"/>
      <c r="F38" s="22"/>
      <c r="G38" s="22"/>
    </row>
    <row r="40" spans="1:14" ht="17.399999999999999" customHeight="1" x14ac:dyDescent="0.3">
      <c r="A40" s="102"/>
      <c r="B40" s="102"/>
      <c r="C40" s="102"/>
      <c r="D40" s="102"/>
      <c r="E40" s="102"/>
      <c r="F40" s="103"/>
      <c r="G40" s="104" t="s">
        <v>12</v>
      </c>
      <c r="H40" s="105"/>
      <c r="I40" s="27"/>
      <c r="J40" s="27"/>
      <c r="K40" s="27"/>
      <c r="L40" s="27"/>
      <c r="M40" s="28"/>
      <c r="N40" s="27"/>
    </row>
    <row r="41" spans="1:14" ht="16.95" customHeight="1" x14ac:dyDescent="0.3">
      <c r="A41" s="26"/>
      <c r="B41" s="26"/>
      <c r="C41" s="26"/>
      <c r="D41" s="26"/>
      <c r="E41" s="26"/>
      <c r="F41" s="26"/>
      <c r="G41" s="104"/>
      <c r="H41" s="105"/>
      <c r="I41" s="27"/>
      <c r="J41" s="27"/>
      <c r="K41" s="27"/>
      <c r="L41" s="27"/>
      <c r="M41" s="28"/>
      <c r="N41" s="27"/>
    </row>
    <row r="42" spans="1:14" ht="13.95" customHeight="1" thickBot="1" x14ac:dyDescent="0.35">
      <c r="A42" s="106" t="s">
        <v>23</v>
      </c>
      <c r="B42" s="106"/>
      <c r="C42" s="106"/>
      <c r="D42" s="106"/>
      <c r="E42" s="106"/>
      <c r="F42" s="106"/>
      <c r="G42" s="106"/>
      <c r="H42" s="106"/>
      <c r="I42" s="107"/>
      <c r="J42" s="29"/>
      <c r="K42" s="29"/>
      <c r="L42" s="29"/>
      <c r="M42" s="30"/>
      <c r="N42" s="31"/>
    </row>
    <row r="43" spans="1:14" ht="15.6" customHeight="1" x14ac:dyDescent="0.3">
      <c r="A43" s="39" t="s">
        <v>17</v>
      </c>
      <c r="B43" s="33"/>
      <c r="C43" s="34"/>
      <c r="D43" s="34"/>
      <c r="E43" s="35"/>
      <c r="F43" s="36"/>
      <c r="G43" s="37"/>
      <c r="H43" s="38"/>
      <c r="I43" s="31"/>
      <c r="J43" s="31"/>
      <c r="K43" s="31"/>
      <c r="L43" s="31"/>
      <c r="M43" s="30"/>
    </row>
    <row r="44" spans="1:14" x14ac:dyDescent="0.3">
      <c r="A44" s="32"/>
      <c r="B44" s="33"/>
      <c r="C44" s="34"/>
      <c r="D44" s="34"/>
      <c r="E44" s="40"/>
      <c r="F44" s="36">
        <f>SUM(24-D44)</f>
        <v>24</v>
      </c>
      <c r="G44" s="37">
        <f>SUM(C44+E44)</f>
        <v>0</v>
      </c>
      <c r="H44" s="38">
        <f>SUM(C44/24*D44+G44/24*F44)</f>
        <v>0</v>
      </c>
      <c r="I44" s="31"/>
      <c r="J44" s="31"/>
      <c r="K44" s="31"/>
      <c r="L44" s="31"/>
      <c r="M44" s="30"/>
    </row>
    <row r="45" spans="1:14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0"/>
    </row>
    <row r="46" spans="1:14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0"/>
    </row>
    <row r="47" spans="1:14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0"/>
    </row>
    <row r="48" spans="1:14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0"/>
    </row>
    <row r="49" spans="1:14" ht="13.2" customHeight="1" x14ac:dyDescent="0.3">
      <c r="A49" s="41"/>
      <c r="B49" s="42"/>
      <c r="C49" s="42"/>
      <c r="D49" s="42"/>
      <c r="E49" s="42"/>
      <c r="F49" s="42"/>
      <c r="G49" s="43"/>
      <c r="H49" s="31"/>
      <c r="I49" s="31"/>
      <c r="J49" s="31"/>
      <c r="K49" s="31"/>
      <c r="L49" s="31"/>
      <c r="M49" s="30"/>
      <c r="N49" s="31"/>
    </row>
    <row r="50" spans="1:14" ht="15" thickBot="1" x14ac:dyDescent="0.35">
      <c r="A50" s="44" t="s">
        <v>18</v>
      </c>
      <c r="B50" s="44"/>
      <c r="C50" s="44"/>
      <c r="D50" s="44"/>
      <c r="E50" s="45"/>
      <c r="F50" s="46"/>
      <c r="G50" s="43"/>
      <c r="H50" s="31"/>
      <c r="I50" s="31"/>
      <c r="J50" s="31"/>
      <c r="K50" s="31"/>
      <c r="L50" s="31"/>
      <c r="M50" s="30"/>
      <c r="N50" s="31"/>
    </row>
    <row r="51" spans="1:14" ht="25.8" x14ac:dyDescent="0.3">
      <c r="A51" s="47" t="s">
        <v>19</v>
      </c>
      <c r="B51" s="48" t="s">
        <v>13</v>
      </c>
      <c r="C51" s="49" t="s">
        <v>14</v>
      </c>
      <c r="D51" s="49" t="s">
        <v>15</v>
      </c>
      <c r="E51" s="50" t="s">
        <v>16</v>
      </c>
      <c r="F51" s="51" t="s">
        <v>20</v>
      </c>
      <c r="G51" s="52"/>
      <c r="H51" s="53"/>
      <c r="I51" s="54"/>
    </row>
    <row r="52" spans="1:14" ht="15.6" x14ac:dyDescent="0.3">
      <c r="A52" s="55"/>
      <c r="B52" s="56"/>
      <c r="C52" s="57"/>
      <c r="D52" s="58"/>
      <c r="E52" s="59"/>
      <c r="F52" s="60">
        <f>SUM(C52/24*D52)</f>
        <v>0</v>
      </c>
      <c r="G52" s="61"/>
      <c r="H52" s="62"/>
      <c r="I52" s="63"/>
    </row>
    <row r="53" spans="1:14" x14ac:dyDescent="0.3">
      <c r="A53" s="64"/>
      <c r="B53" s="65"/>
      <c r="C53" s="66"/>
      <c r="D53" s="58"/>
      <c r="E53" s="67"/>
      <c r="F53" s="68">
        <f>SUM(C53/24*D53)</f>
        <v>0</v>
      </c>
      <c r="G53" s="61"/>
      <c r="H53" s="62"/>
    </row>
    <row r="54" spans="1:14" x14ac:dyDescent="0.3">
      <c r="A54" s="64"/>
      <c r="B54" s="65"/>
      <c r="C54" s="66"/>
      <c r="D54" s="58"/>
      <c r="E54" s="69"/>
      <c r="F54" s="68">
        <f>SUM(C54/24*D54)</f>
        <v>0</v>
      </c>
      <c r="G54" s="61"/>
      <c r="H54" s="62"/>
    </row>
    <row r="55" spans="1:14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4" ht="15" thickBot="1" x14ac:dyDescent="0.35">
      <c r="A56" s="70"/>
      <c r="B56" s="71"/>
      <c r="C56" s="72"/>
      <c r="D56" s="73"/>
      <c r="E56" s="72"/>
      <c r="F56" s="74">
        <f>SUM(C56/24*D56)</f>
        <v>0</v>
      </c>
      <c r="G56" s="61"/>
      <c r="H56" s="62"/>
      <c r="I56" s="75"/>
    </row>
    <row r="57" spans="1:14" s="81" customFormat="1" ht="30" customHeight="1" x14ac:dyDescent="0.3">
      <c r="A57" s="108" t="s">
        <v>21</v>
      </c>
      <c r="B57" s="109"/>
      <c r="C57" s="110"/>
      <c r="D57" s="76">
        <f>SUM(D52:D56)</f>
        <v>0</v>
      </c>
      <c r="E57" s="77" t="s">
        <v>22</v>
      </c>
      <c r="F57" s="78">
        <f>SUM(F52:F56)</f>
        <v>0</v>
      </c>
      <c r="G57" s="79"/>
      <c r="H57" s="80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8"/>
  <sheetViews>
    <sheetView zoomScale="70" zoomScaleNormal="7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M14" sqref="M14"/>
    </sheetView>
  </sheetViews>
  <sheetFormatPr defaultRowHeight="14.4" outlineLevelRow="2" x14ac:dyDescent="0.3"/>
  <cols>
    <col min="1" max="1" width="13.5546875" bestFit="1" customWidth="1"/>
    <col min="2" max="8" width="11.6640625" customWidth="1"/>
    <col min="9" max="9" width="27.33203125" customWidth="1"/>
  </cols>
  <sheetData>
    <row r="1" spans="1:14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4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14" outlineLevel="1" x14ac:dyDescent="0.3">
      <c r="A3" s="12">
        <v>44409</v>
      </c>
      <c r="B3" s="92">
        <v>0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2" t="s">
        <v>64</v>
      </c>
      <c r="I3" s="96"/>
      <c r="J3" s="94"/>
      <c r="K3" s="94"/>
      <c r="L3" s="94"/>
      <c r="M3" s="94"/>
      <c r="N3" s="94"/>
    </row>
    <row r="4" spans="1:14" outlineLevel="2" x14ac:dyDescent="0.3">
      <c r="A4" s="12">
        <f>A3+1</f>
        <v>44410</v>
      </c>
      <c r="B4" s="92">
        <v>0</v>
      </c>
      <c r="C4" s="92">
        <v>0</v>
      </c>
      <c r="D4" s="92">
        <v>0</v>
      </c>
      <c r="E4" s="92">
        <v>0</v>
      </c>
      <c r="F4" s="92">
        <v>0</v>
      </c>
      <c r="G4" s="92">
        <v>0</v>
      </c>
      <c r="H4" s="92" t="s">
        <v>64</v>
      </c>
      <c r="I4" s="96"/>
      <c r="J4" s="94"/>
      <c r="K4" s="94"/>
      <c r="L4" s="94"/>
      <c r="M4" s="94"/>
      <c r="N4" s="94"/>
    </row>
    <row r="5" spans="1:14" outlineLevel="2" x14ac:dyDescent="0.3">
      <c r="A5" s="12">
        <f t="shared" ref="A5:A33" si="0">A4+1</f>
        <v>44411</v>
      </c>
      <c r="B5" s="92">
        <v>0</v>
      </c>
      <c r="C5" s="92">
        <v>0</v>
      </c>
      <c r="D5" s="92">
        <v>0</v>
      </c>
      <c r="E5" s="92">
        <v>0</v>
      </c>
      <c r="F5" s="92">
        <v>0</v>
      </c>
      <c r="G5" s="92">
        <v>0</v>
      </c>
      <c r="H5" s="92" t="s">
        <v>64</v>
      </c>
      <c r="I5" s="96"/>
      <c r="J5" s="94"/>
      <c r="K5" s="94"/>
      <c r="L5" s="94"/>
      <c r="M5" s="94"/>
      <c r="N5" s="94"/>
    </row>
    <row r="6" spans="1:14" outlineLevel="2" x14ac:dyDescent="0.3">
      <c r="A6" s="12">
        <f t="shared" si="0"/>
        <v>44412</v>
      </c>
      <c r="B6" s="92">
        <v>0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2" t="s">
        <v>64</v>
      </c>
      <c r="I6" s="96"/>
      <c r="J6" s="94"/>
      <c r="K6" s="94"/>
      <c r="L6" s="94"/>
      <c r="M6" s="94"/>
      <c r="N6" s="94"/>
    </row>
    <row r="7" spans="1:14" outlineLevel="2" x14ac:dyDescent="0.3">
      <c r="A7" s="12">
        <f t="shared" si="0"/>
        <v>44413</v>
      </c>
      <c r="B7" s="92">
        <v>53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2" t="s">
        <v>64</v>
      </c>
      <c r="I7" s="96" t="s">
        <v>65</v>
      </c>
      <c r="J7" s="94"/>
      <c r="K7" s="94"/>
      <c r="L7" s="94"/>
      <c r="M7" s="94"/>
      <c r="N7" s="94"/>
    </row>
    <row r="8" spans="1:14" outlineLevel="2" x14ac:dyDescent="0.3">
      <c r="A8" s="12">
        <f t="shared" si="0"/>
        <v>44414</v>
      </c>
      <c r="B8" s="92">
        <v>150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2" t="s">
        <v>64</v>
      </c>
      <c r="I8" s="96"/>
      <c r="J8" s="94"/>
      <c r="K8" s="94"/>
      <c r="L8" s="94"/>
      <c r="M8" s="94"/>
      <c r="N8" s="94"/>
    </row>
    <row r="9" spans="1:14" outlineLevel="2" x14ac:dyDescent="0.3">
      <c r="A9" s="12">
        <f t="shared" si="0"/>
        <v>44415</v>
      </c>
      <c r="B9" s="92">
        <v>150</v>
      </c>
      <c r="C9" s="92">
        <v>0</v>
      </c>
      <c r="D9" s="92">
        <v>58</v>
      </c>
      <c r="E9" s="92">
        <v>0</v>
      </c>
      <c r="F9" s="92">
        <v>0</v>
      </c>
      <c r="G9" s="92">
        <v>0</v>
      </c>
      <c r="H9" s="92" t="s">
        <v>64</v>
      </c>
      <c r="I9" s="96"/>
      <c r="J9" s="94"/>
      <c r="K9" s="94"/>
      <c r="L9" s="94"/>
      <c r="M9" s="94"/>
      <c r="N9" s="94"/>
    </row>
    <row r="10" spans="1:14" outlineLevel="2" x14ac:dyDescent="0.3">
      <c r="A10" s="12">
        <f t="shared" si="0"/>
        <v>44416</v>
      </c>
      <c r="B10" s="92">
        <v>150</v>
      </c>
      <c r="C10" s="92">
        <v>0</v>
      </c>
      <c r="D10" s="92">
        <v>115</v>
      </c>
      <c r="E10" s="92">
        <v>0</v>
      </c>
      <c r="F10" s="92">
        <v>0</v>
      </c>
      <c r="G10" s="92">
        <v>0</v>
      </c>
      <c r="H10" s="92" t="s">
        <v>64</v>
      </c>
      <c r="I10" s="96"/>
      <c r="J10" s="94"/>
      <c r="K10" s="94"/>
      <c r="L10" s="94"/>
      <c r="M10" s="94"/>
      <c r="N10" s="94"/>
    </row>
    <row r="11" spans="1:14" outlineLevel="2" x14ac:dyDescent="0.3">
      <c r="A11" s="12">
        <f t="shared" si="0"/>
        <v>44417</v>
      </c>
      <c r="B11" s="92">
        <v>150</v>
      </c>
      <c r="C11" s="92">
        <v>0</v>
      </c>
      <c r="D11" s="92">
        <v>115</v>
      </c>
      <c r="E11" s="92">
        <v>0</v>
      </c>
      <c r="F11" s="92">
        <v>0</v>
      </c>
      <c r="G11" s="92">
        <v>0</v>
      </c>
      <c r="H11" s="92" t="s">
        <v>64</v>
      </c>
      <c r="I11" s="96"/>
      <c r="J11" s="94"/>
      <c r="K11" s="94"/>
      <c r="L11" s="94"/>
      <c r="M11" s="94"/>
      <c r="N11" s="94"/>
    </row>
    <row r="12" spans="1:14" outlineLevel="2" x14ac:dyDescent="0.3">
      <c r="A12" s="12">
        <f t="shared" si="0"/>
        <v>44418</v>
      </c>
      <c r="B12" s="92">
        <v>150</v>
      </c>
      <c r="C12" s="92">
        <v>0</v>
      </c>
      <c r="D12" s="92">
        <v>125</v>
      </c>
      <c r="E12" s="92">
        <v>0</v>
      </c>
      <c r="F12" s="92">
        <v>0</v>
      </c>
      <c r="G12" s="92">
        <v>0</v>
      </c>
      <c r="H12" s="93" t="s">
        <v>64</v>
      </c>
      <c r="I12" s="91"/>
      <c r="J12" s="94"/>
      <c r="K12" s="94"/>
      <c r="L12" s="94"/>
      <c r="M12" s="94"/>
      <c r="N12" s="94"/>
    </row>
    <row r="13" spans="1:14" outlineLevel="2" x14ac:dyDescent="0.3">
      <c r="A13" s="12">
        <f t="shared" si="0"/>
        <v>44419</v>
      </c>
      <c r="B13" s="92">
        <v>150</v>
      </c>
      <c r="C13" s="92">
        <v>0</v>
      </c>
      <c r="D13" s="92">
        <v>135</v>
      </c>
      <c r="E13" s="92">
        <v>0</v>
      </c>
      <c r="F13" s="92">
        <v>0</v>
      </c>
      <c r="G13" s="92">
        <v>0</v>
      </c>
      <c r="H13" s="93" t="s">
        <v>64</v>
      </c>
      <c r="I13" s="91"/>
      <c r="J13" s="91"/>
      <c r="K13" s="94"/>
      <c r="L13" s="94"/>
      <c r="M13" s="94"/>
      <c r="N13" s="94"/>
    </row>
    <row r="14" spans="1:14" outlineLevel="2" x14ac:dyDescent="0.3">
      <c r="A14" s="12">
        <f t="shared" si="0"/>
        <v>44420</v>
      </c>
      <c r="B14" s="92">
        <v>130</v>
      </c>
      <c r="C14" s="92">
        <v>0</v>
      </c>
      <c r="D14" s="92">
        <v>130</v>
      </c>
      <c r="E14" s="92">
        <v>0</v>
      </c>
      <c r="F14" s="92">
        <v>0</v>
      </c>
      <c r="G14" s="92">
        <v>0</v>
      </c>
      <c r="H14" s="93" t="s">
        <v>64</v>
      </c>
      <c r="I14" s="91"/>
      <c r="J14" s="91"/>
      <c r="K14" s="94"/>
      <c r="L14" s="94"/>
      <c r="M14" s="94"/>
      <c r="N14" s="94"/>
    </row>
    <row r="15" spans="1:14" outlineLevel="2" x14ac:dyDescent="0.3">
      <c r="A15" s="12">
        <f t="shared" si="0"/>
        <v>44421</v>
      </c>
      <c r="B15" s="92">
        <v>150</v>
      </c>
      <c r="C15" s="92">
        <v>0</v>
      </c>
      <c r="D15" s="92">
        <v>130</v>
      </c>
      <c r="E15" s="92">
        <v>0</v>
      </c>
      <c r="F15" s="92">
        <v>0</v>
      </c>
      <c r="G15" s="92">
        <v>0</v>
      </c>
      <c r="H15" s="93" t="s">
        <v>64</v>
      </c>
      <c r="I15" s="91"/>
      <c r="J15" s="91"/>
      <c r="K15" s="94"/>
      <c r="L15" s="94"/>
      <c r="M15" s="94"/>
      <c r="N15" s="94"/>
    </row>
    <row r="16" spans="1:14" outlineLevel="2" x14ac:dyDescent="0.3">
      <c r="A16" s="12">
        <f t="shared" si="0"/>
        <v>44422</v>
      </c>
      <c r="B16" s="92">
        <v>150</v>
      </c>
      <c r="C16" s="92">
        <v>0</v>
      </c>
      <c r="D16" s="92">
        <v>142</v>
      </c>
      <c r="E16" s="92">
        <v>0</v>
      </c>
      <c r="F16" s="92">
        <v>0</v>
      </c>
      <c r="G16" s="92">
        <v>0</v>
      </c>
      <c r="H16" s="93" t="s">
        <v>64</v>
      </c>
      <c r="I16" s="91"/>
      <c r="J16" s="91"/>
      <c r="K16" s="94"/>
      <c r="L16" s="94"/>
      <c r="M16" s="94"/>
      <c r="N16" s="94"/>
    </row>
    <row r="17" spans="1:14" outlineLevel="2" x14ac:dyDescent="0.3">
      <c r="A17" s="12">
        <f t="shared" si="0"/>
        <v>44423</v>
      </c>
      <c r="B17" s="92">
        <v>150</v>
      </c>
      <c r="C17" s="92">
        <v>0</v>
      </c>
      <c r="D17" s="92">
        <v>149</v>
      </c>
      <c r="E17" s="92">
        <v>0</v>
      </c>
      <c r="F17" s="92">
        <v>0</v>
      </c>
      <c r="G17" s="92">
        <v>0</v>
      </c>
      <c r="H17" s="93" t="s">
        <v>64</v>
      </c>
      <c r="I17" s="91"/>
      <c r="J17" s="91"/>
      <c r="K17" s="94"/>
      <c r="L17" s="94"/>
      <c r="M17" s="94"/>
      <c r="N17" s="94"/>
    </row>
    <row r="18" spans="1:14" outlineLevel="2" x14ac:dyDescent="0.3">
      <c r="A18" s="12">
        <f t="shared" si="0"/>
        <v>44424</v>
      </c>
      <c r="B18" s="92">
        <v>150</v>
      </c>
      <c r="C18" s="92">
        <v>0</v>
      </c>
      <c r="D18" s="92">
        <v>155</v>
      </c>
      <c r="E18" s="92">
        <v>0</v>
      </c>
      <c r="F18" s="92">
        <v>0</v>
      </c>
      <c r="G18" s="92">
        <v>0</v>
      </c>
      <c r="H18" s="93" t="s">
        <v>64</v>
      </c>
      <c r="I18" s="91"/>
      <c r="J18" s="91"/>
      <c r="K18" s="94"/>
      <c r="L18" s="94"/>
      <c r="M18" s="94"/>
      <c r="N18" s="94"/>
    </row>
    <row r="19" spans="1:14" outlineLevel="2" x14ac:dyDescent="0.3">
      <c r="A19" s="12">
        <f t="shared" si="0"/>
        <v>44425</v>
      </c>
      <c r="B19" s="92">
        <v>150</v>
      </c>
      <c r="C19" s="92">
        <v>0</v>
      </c>
      <c r="D19" s="92">
        <v>158</v>
      </c>
      <c r="E19" s="92">
        <v>0</v>
      </c>
      <c r="F19" s="92">
        <v>0</v>
      </c>
      <c r="G19" s="92">
        <v>0</v>
      </c>
      <c r="H19" s="93" t="s">
        <v>64</v>
      </c>
      <c r="I19" s="91"/>
      <c r="J19" s="91"/>
      <c r="K19" s="94"/>
      <c r="L19" s="94"/>
      <c r="M19" s="94"/>
      <c r="N19" s="94"/>
    </row>
    <row r="20" spans="1:14" outlineLevel="2" x14ac:dyDescent="0.3">
      <c r="A20" s="12">
        <f t="shared" si="0"/>
        <v>44426</v>
      </c>
      <c r="B20" s="92">
        <v>150</v>
      </c>
      <c r="C20" s="92">
        <v>0</v>
      </c>
      <c r="D20" s="92">
        <v>161</v>
      </c>
      <c r="E20" s="92">
        <v>0</v>
      </c>
      <c r="F20" s="92">
        <v>0</v>
      </c>
      <c r="G20" s="92">
        <v>0</v>
      </c>
      <c r="H20" s="93" t="s">
        <v>64</v>
      </c>
      <c r="I20" s="91"/>
      <c r="J20" s="91"/>
      <c r="K20" s="94"/>
      <c r="L20" s="94"/>
      <c r="M20" s="94"/>
      <c r="N20" s="94"/>
    </row>
    <row r="21" spans="1:14" outlineLevel="2" x14ac:dyDescent="0.3">
      <c r="A21" s="12">
        <f t="shared" si="0"/>
        <v>44427</v>
      </c>
      <c r="B21" s="92">
        <v>150</v>
      </c>
      <c r="C21" s="92">
        <v>0</v>
      </c>
      <c r="D21" s="92">
        <v>162</v>
      </c>
      <c r="E21" s="92">
        <v>0</v>
      </c>
      <c r="F21" s="92">
        <v>0</v>
      </c>
      <c r="G21" s="92">
        <v>0</v>
      </c>
      <c r="H21" s="93" t="s">
        <v>64</v>
      </c>
      <c r="I21" s="91"/>
      <c r="J21" s="91"/>
      <c r="K21" s="94"/>
      <c r="L21" s="94"/>
      <c r="M21" s="94"/>
      <c r="N21" s="94"/>
    </row>
    <row r="22" spans="1:14" outlineLevel="2" x14ac:dyDescent="0.3">
      <c r="A22" s="12">
        <f t="shared" si="0"/>
        <v>44428</v>
      </c>
      <c r="B22" s="92">
        <v>150</v>
      </c>
      <c r="C22" s="92">
        <v>0</v>
      </c>
      <c r="D22" s="92">
        <v>158</v>
      </c>
      <c r="E22" s="92">
        <v>0</v>
      </c>
      <c r="F22" s="92">
        <v>0</v>
      </c>
      <c r="G22" s="92">
        <v>0</v>
      </c>
      <c r="H22" s="93" t="s">
        <v>64</v>
      </c>
      <c r="I22" s="91"/>
      <c r="J22" s="91"/>
      <c r="K22" s="94"/>
      <c r="L22" s="94"/>
      <c r="M22" s="94"/>
      <c r="N22" s="94"/>
    </row>
    <row r="23" spans="1:14" outlineLevel="2" x14ac:dyDescent="0.3">
      <c r="A23" s="12">
        <f t="shared" si="0"/>
        <v>44429</v>
      </c>
      <c r="B23" s="92">
        <v>150</v>
      </c>
      <c r="C23" s="92">
        <v>0</v>
      </c>
      <c r="D23" s="92">
        <v>158</v>
      </c>
      <c r="E23" s="92">
        <v>0</v>
      </c>
      <c r="F23" s="92">
        <v>0</v>
      </c>
      <c r="G23" s="92">
        <v>0</v>
      </c>
      <c r="H23" s="93" t="s">
        <v>64</v>
      </c>
      <c r="I23" s="91"/>
      <c r="J23" s="91"/>
      <c r="K23" s="94"/>
      <c r="L23" s="94"/>
      <c r="M23" s="94"/>
      <c r="N23" s="94"/>
    </row>
    <row r="24" spans="1:14" outlineLevel="2" x14ac:dyDescent="0.3">
      <c r="A24" s="12">
        <f t="shared" si="0"/>
        <v>44430</v>
      </c>
      <c r="B24" s="92">
        <v>150</v>
      </c>
      <c r="C24" s="92">
        <v>0</v>
      </c>
      <c r="D24" s="92">
        <v>158</v>
      </c>
      <c r="E24" s="92">
        <v>0</v>
      </c>
      <c r="F24" s="92">
        <v>0</v>
      </c>
      <c r="G24" s="92">
        <v>0</v>
      </c>
      <c r="H24" s="93" t="s">
        <v>64</v>
      </c>
      <c r="I24" s="91"/>
      <c r="J24" s="91"/>
      <c r="K24" s="94"/>
      <c r="L24" s="94"/>
      <c r="M24" s="94"/>
      <c r="N24" s="94"/>
    </row>
    <row r="25" spans="1:14" outlineLevel="2" x14ac:dyDescent="0.3">
      <c r="A25" s="12">
        <f t="shared" si="0"/>
        <v>44431</v>
      </c>
      <c r="B25" s="92">
        <v>150</v>
      </c>
      <c r="C25" s="92">
        <v>0</v>
      </c>
      <c r="D25" s="92">
        <v>162</v>
      </c>
      <c r="E25" s="92">
        <v>0</v>
      </c>
      <c r="F25" s="92">
        <v>0</v>
      </c>
      <c r="G25" s="92">
        <v>0</v>
      </c>
      <c r="H25" s="93" t="s">
        <v>64</v>
      </c>
      <c r="I25" s="91"/>
      <c r="J25" s="91"/>
      <c r="K25" s="94"/>
      <c r="L25" s="94"/>
      <c r="M25" s="94"/>
      <c r="N25" s="94"/>
    </row>
    <row r="26" spans="1:14" outlineLevel="2" x14ac:dyDescent="0.3">
      <c r="A26" s="12">
        <f t="shared" si="0"/>
        <v>44432</v>
      </c>
      <c r="B26" s="92">
        <v>150</v>
      </c>
      <c r="C26" s="92">
        <v>0</v>
      </c>
      <c r="D26" s="92">
        <v>162</v>
      </c>
      <c r="E26" s="92">
        <v>0</v>
      </c>
      <c r="F26" s="92">
        <v>0</v>
      </c>
      <c r="G26" s="92">
        <v>0</v>
      </c>
      <c r="H26" s="93" t="s">
        <v>64</v>
      </c>
      <c r="I26" s="91"/>
      <c r="J26" s="91"/>
      <c r="K26" s="94"/>
      <c r="L26" s="94"/>
      <c r="M26" s="94"/>
      <c r="N26" s="94"/>
    </row>
    <row r="27" spans="1:14" outlineLevel="2" x14ac:dyDescent="0.3">
      <c r="A27" s="12">
        <f t="shared" si="0"/>
        <v>44433</v>
      </c>
      <c r="B27" s="92">
        <v>150</v>
      </c>
      <c r="C27" s="92">
        <v>0</v>
      </c>
      <c r="D27" s="92">
        <v>162</v>
      </c>
      <c r="E27" s="92">
        <v>0</v>
      </c>
      <c r="F27" s="92">
        <v>0</v>
      </c>
      <c r="G27" s="92">
        <v>0</v>
      </c>
      <c r="H27" s="93" t="s">
        <v>64</v>
      </c>
      <c r="I27" s="91"/>
      <c r="J27" s="91"/>
      <c r="K27" s="94"/>
      <c r="L27" s="94"/>
      <c r="M27" s="94"/>
      <c r="N27" s="94"/>
    </row>
    <row r="28" spans="1:14" outlineLevel="2" x14ac:dyDescent="0.3">
      <c r="A28" s="12">
        <f t="shared" si="0"/>
        <v>44434</v>
      </c>
      <c r="B28" s="92">
        <v>150</v>
      </c>
      <c r="C28" s="92">
        <v>0</v>
      </c>
      <c r="D28" s="92">
        <v>156</v>
      </c>
      <c r="E28" s="92">
        <v>0</v>
      </c>
      <c r="F28" s="92">
        <v>0</v>
      </c>
      <c r="G28" s="92">
        <v>0</v>
      </c>
      <c r="H28" s="93" t="s">
        <v>64</v>
      </c>
      <c r="I28" s="91"/>
      <c r="J28" s="91"/>
      <c r="K28" s="94"/>
      <c r="L28" s="94"/>
      <c r="M28" s="94"/>
      <c r="N28" s="94"/>
    </row>
    <row r="29" spans="1:14" outlineLevel="2" x14ac:dyDescent="0.3">
      <c r="A29" s="12">
        <f t="shared" si="0"/>
        <v>44435</v>
      </c>
      <c r="B29" s="92">
        <v>150</v>
      </c>
      <c r="C29" s="92">
        <v>0</v>
      </c>
      <c r="D29" s="92">
        <v>158</v>
      </c>
      <c r="E29" s="92">
        <v>0</v>
      </c>
      <c r="F29" s="92">
        <v>0</v>
      </c>
      <c r="G29" s="92">
        <v>0</v>
      </c>
      <c r="H29" s="93" t="s">
        <v>64</v>
      </c>
      <c r="I29" s="91"/>
      <c r="J29" s="91"/>
      <c r="K29" s="94"/>
      <c r="L29" s="94"/>
      <c r="M29" s="94"/>
      <c r="N29" s="94"/>
    </row>
    <row r="30" spans="1:14" outlineLevel="2" x14ac:dyDescent="0.3">
      <c r="A30" s="12">
        <f t="shared" si="0"/>
        <v>44436</v>
      </c>
      <c r="B30" s="92">
        <v>150</v>
      </c>
      <c r="C30" s="92">
        <v>0</v>
      </c>
      <c r="D30" s="92">
        <v>161</v>
      </c>
      <c r="E30" s="92">
        <v>0</v>
      </c>
      <c r="F30" s="92">
        <v>0</v>
      </c>
      <c r="G30" s="92">
        <v>0</v>
      </c>
      <c r="H30" s="93" t="s">
        <v>64</v>
      </c>
      <c r="I30" s="91"/>
      <c r="J30" s="91"/>
      <c r="K30" s="94"/>
      <c r="L30" s="94"/>
      <c r="M30" s="94"/>
      <c r="N30" s="94"/>
    </row>
    <row r="31" spans="1:14" outlineLevel="2" x14ac:dyDescent="0.3">
      <c r="A31" s="12">
        <f t="shared" si="0"/>
        <v>44437</v>
      </c>
      <c r="B31" s="92">
        <v>150</v>
      </c>
      <c r="C31" s="92">
        <v>0</v>
      </c>
      <c r="D31" s="92">
        <v>157</v>
      </c>
      <c r="E31" s="92">
        <v>0</v>
      </c>
      <c r="F31" s="92">
        <v>0</v>
      </c>
      <c r="G31" s="92">
        <v>0</v>
      </c>
      <c r="H31" s="93" t="s">
        <v>64</v>
      </c>
      <c r="I31" s="91"/>
      <c r="J31" s="91"/>
      <c r="K31" s="94"/>
      <c r="L31" s="94"/>
      <c r="M31" s="94"/>
      <c r="N31" s="94"/>
    </row>
    <row r="32" spans="1:14" outlineLevel="2" x14ac:dyDescent="0.3">
      <c r="A32" s="12">
        <f t="shared" si="0"/>
        <v>44438</v>
      </c>
      <c r="B32" s="92">
        <v>150</v>
      </c>
      <c r="C32" s="92">
        <v>0</v>
      </c>
      <c r="D32" s="92">
        <v>158</v>
      </c>
      <c r="E32" s="92">
        <v>0</v>
      </c>
      <c r="F32" s="92">
        <v>0</v>
      </c>
      <c r="G32" s="92">
        <v>0</v>
      </c>
      <c r="H32" s="93" t="s">
        <v>64</v>
      </c>
      <c r="I32" s="91"/>
      <c r="J32" s="91"/>
      <c r="K32" s="94"/>
      <c r="L32" s="94"/>
      <c r="M32" s="94"/>
      <c r="N32" s="94"/>
    </row>
    <row r="33" spans="1:14" ht="15" outlineLevel="2" thickBot="1" x14ac:dyDescent="0.35">
      <c r="A33" s="12">
        <f t="shared" si="0"/>
        <v>44439</v>
      </c>
      <c r="B33" s="92">
        <v>150</v>
      </c>
      <c r="C33" s="92">
        <v>0</v>
      </c>
      <c r="D33" s="92">
        <v>158</v>
      </c>
      <c r="E33" s="92">
        <v>0</v>
      </c>
      <c r="F33" s="92">
        <v>0</v>
      </c>
      <c r="G33" s="92">
        <v>0</v>
      </c>
      <c r="H33" s="93" t="s">
        <v>64</v>
      </c>
      <c r="I33" s="91"/>
      <c r="J33" s="91"/>
      <c r="K33" s="94"/>
      <c r="L33" s="94"/>
      <c r="M33" s="94"/>
      <c r="N33" s="94"/>
    </row>
    <row r="34" spans="1:14" s="11" customFormat="1" ht="15" outlineLevel="1" thickTop="1" x14ac:dyDescent="0.3">
      <c r="A34" s="15" t="s">
        <v>8</v>
      </c>
      <c r="B34" s="16">
        <f t="shared" ref="B34:G34" si="1">SUM(B3:B33)</f>
        <v>3933</v>
      </c>
      <c r="C34" s="16">
        <f t="shared" si="1"/>
        <v>0</v>
      </c>
      <c r="D34" s="16">
        <f t="shared" si="1"/>
        <v>3643</v>
      </c>
      <c r="E34" s="17">
        <f t="shared" si="1"/>
        <v>0</v>
      </c>
      <c r="F34" s="17">
        <f t="shared" si="1"/>
        <v>0</v>
      </c>
      <c r="G34" s="16">
        <f t="shared" si="1"/>
        <v>0</v>
      </c>
      <c r="H34" s="17"/>
    </row>
    <row r="35" spans="1:14" s="11" customFormat="1" outlineLevel="1" x14ac:dyDescent="0.3">
      <c r="A35" s="18" t="s">
        <v>9</v>
      </c>
      <c r="B35" s="19">
        <f>SUM(B34+'Jul 2021'!B35)</f>
        <v>10525</v>
      </c>
      <c r="C35" s="19">
        <f>SUM(C34+'Jul 2021'!C35)</f>
        <v>3290</v>
      </c>
      <c r="D35" s="19">
        <f>SUM(D34+'Jul 2021'!D35)</f>
        <v>10463</v>
      </c>
      <c r="E35" s="20">
        <f>SUM(E34+'Jul 2021'!E35)</f>
        <v>4.16</v>
      </c>
      <c r="F35" s="20">
        <f>SUM(F34+'Jul 2021'!F35)</f>
        <v>10.9</v>
      </c>
      <c r="G35" s="19">
        <f>SUM(G34+'Jul 2021'!G35)</f>
        <v>0</v>
      </c>
      <c r="H35" s="20"/>
    </row>
    <row r="36" spans="1:14" outlineLevel="1" x14ac:dyDescent="0.3"/>
    <row r="37" spans="1:14" x14ac:dyDescent="0.3">
      <c r="A37" t="s">
        <v>10</v>
      </c>
      <c r="B37" s="22">
        <f>SUM(B3:B33)*1.9835</f>
        <v>7801.1055000000006</v>
      </c>
      <c r="C37" s="22">
        <f>SUM(C3:C33)*1.9835</f>
        <v>0</v>
      </c>
      <c r="D37" s="22">
        <f>SUM(D3:D33)*1.9835</f>
        <v>7225.8905000000004</v>
      </c>
      <c r="E37" s="22"/>
      <c r="F37" s="22"/>
      <c r="G37" s="22"/>
    </row>
    <row r="38" spans="1:14" x14ac:dyDescent="0.3">
      <c r="B38" s="22"/>
      <c r="C38" s="22"/>
      <c r="D38" s="23"/>
      <c r="E38" s="22"/>
      <c r="F38" s="22"/>
      <c r="G38" s="22"/>
    </row>
    <row r="39" spans="1:14" x14ac:dyDescent="0.3">
      <c r="A39" t="s">
        <v>24</v>
      </c>
      <c r="B39" s="22">
        <f>SUM(B37+'Jul 2021'!B39)</f>
        <v>21768.912499999999</v>
      </c>
      <c r="C39" s="22">
        <f>SUM(C37+'Jul 2021'!C39)</f>
        <v>6555.4674999999997</v>
      </c>
      <c r="D39" s="22">
        <f>SUM(D37+'Jul 2021'!D39)</f>
        <v>21939.4935</v>
      </c>
      <c r="E39" s="22"/>
      <c r="F39" s="22"/>
      <c r="G39" s="22"/>
    </row>
    <row r="41" spans="1:14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  <c r="K41" s="27"/>
      <c r="L41" s="27"/>
      <c r="M41" s="28"/>
      <c r="N41" s="27"/>
    </row>
    <row r="42" spans="1:14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8"/>
      <c r="N42" s="27"/>
    </row>
    <row r="43" spans="1:14" ht="13.95" customHeight="1" thickBot="1" x14ac:dyDescent="0.35">
      <c r="A43" s="106" t="s">
        <v>23</v>
      </c>
      <c r="B43" s="106"/>
      <c r="C43" s="106"/>
      <c r="D43" s="106"/>
      <c r="E43" s="106"/>
      <c r="F43" s="106"/>
      <c r="G43" s="106"/>
      <c r="H43" s="106"/>
      <c r="I43" s="107"/>
      <c r="J43" s="29"/>
      <c r="K43" s="29"/>
      <c r="L43" s="29"/>
      <c r="M43" s="30"/>
      <c r="N43" s="31"/>
    </row>
    <row r="44" spans="1:14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0"/>
    </row>
    <row r="45" spans="1:14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0"/>
    </row>
    <row r="46" spans="1:14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0"/>
    </row>
    <row r="47" spans="1:14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0"/>
    </row>
    <row r="48" spans="1:14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0"/>
    </row>
    <row r="49" spans="1:14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0"/>
    </row>
    <row r="50" spans="1:14" ht="13.2" customHeight="1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0"/>
      <c r="N50" s="31"/>
    </row>
    <row r="51" spans="1:14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0"/>
      <c r="N51" s="31"/>
    </row>
    <row r="52" spans="1:14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</row>
    <row r="53" spans="1:14" ht="15.6" outlineLevel="1" x14ac:dyDescent="0.3">
      <c r="A53" s="55"/>
      <c r="B53" s="56"/>
      <c r="C53" s="57"/>
      <c r="D53" s="58"/>
      <c r="E53" s="59"/>
      <c r="F53" s="60">
        <f>SUM(C53/24*D53)</f>
        <v>0</v>
      </c>
      <c r="G53" s="61"/>
      <c r="H53" s="62"/>
      <c r="I53" s="63"/>
    </row>
    <row r="54" spans="1:14" outlineLevel="1" x14ac:dyDescent="0.3">
      <c r="A54" s="64"/>
      <c r="B54" s="65"/>
      <c r="C54" s="66"/>
      <c r="D54" s="58"/>
      <c r="E54" s="67"/>
      <c r="F54" s="68">
        <f>SUM(C54/24*D54)</f>
        <v>0</v>
      </c>
      <c r="G54" s="61"/>
      <c r="H54" s="62"/>
    </row>
    <row r="55" spans="1:14" outlineLevel="1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4" outlineLevel="1" x14ac:dyDescent="0.3">
      <c r="A56" s="64"/>
      <c r="B56" s="65"/>
      <c r="C56" s="66"/>
      <c r="D56" s="58"/>
      <c r="E56" s="69"/>
      <c r="F56" s="68">
        <f>SUM(C56/24*D56)</f>
        <v>0</v>
      </c>
      <c r="G56" s="61"/>
      <c r="H56" s="62"/>
    </row>
    <row r="57" spans="1:14" ht="15" outlineLevel="1" thickBot="1" x14ac:dyDescent="0.35">
      <c r="A57" s="70"/>
      <c r="B57" s="71"/>
      <c r="C57" s="72"/>
      <c r="D57" s="73"/>
      <c r="E57" s="72"/>
      <c r="F57" s="74">
        <f>SUM(C57/24*D57)</f>
        <v>0</v>
      </c>
      <c r="G57" s="61"/>
      <c r="H57" s="62"/>
      <c r="I57" s="75"/>
    </row>
    <row r="58" spans="1:14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zoomScale="80" zoomScaleNormal="80" workbookViewId="0">
      <pane xSplit="1" ySplit="2" topLeftCell="B18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0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25">
        <v>44378</v>
      </c>
      <c r="B3" s="92">
        <v>0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3">
        <v>4030</v>
      </c>
      <c r="I3" s="91"/>
    </row>
    <row r="4" spans="1:9" x14ac:dyDescent="0.3">
      <c r="A4" s="25">
        <f>A3+1</f>
        <v>44379</v>
      </c>
      <c r="B4" s="92">
        <v>0</v>
      </c>
      <c r="C4" s="92">
        <v>0</v>
      </c>
      <c r="D4" s="92">
        <v>0</v>
      </c>
      <c r="E4" s="92">
        <v>0</v>
      </c>
      <c r="F4" s="92">
        <v>0</v>
      </c>
      <c r="G4" s="92">
        <v>0</v>
      </c>
      <c r="H4" s="93">
        <v>4030</v>
      </c>
      <c r="I4" s="91"/>
    </row>
    <row r="5" spans="1:9" x14ac:dyDescent="0.3">
      <c r="A5" s="25">
        <f t="shared" ref="A5:A33" si="0">A4+1</f>
        <v>44380</v>
      </c>
      <c r="B5" s="92">
        <v>0</v>
      </c>
      <c r="C5" s="92">
        <v>0</v>
      </c>
      <c r="D5" s="92">
        <v>0</v>
      </c>
      <c r="E5" s="92">
        <v>0</v>
      </c>
      <c r="F5" s="92">
        <v>0</v>
      </c>
      <c r="G5" s="92">
        <v>0</v>
      </c>
      <c r="H5" s="93">
        <v>4030</v>
      </c>
      <c r="I5" s="91"/>
    </row>
    <row r="6" spans="1:9" x14ac:dyDescent="0.3">
      <c r="A6" s="25">
        <f t="shared" si="0"/>
        <v>44381</v>
      </c>
      <c r="B6" s="92">
        <v>0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3">
        <v>4030</v>
      </c>
      <c r="I6" s="91"/>
    </row>
    <row r="7" spans="1:9" x14ac:dyDescent="0.3">
      <c r="A7" s="25">
        <f t="shared" si="0"/>
        <v>44382</v>
      </c>
      <c r="B7" s="92">
        <v>0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3">
        <v>4030</v>
      </c>
      <c r="I7" s="91"/>
    </row>
    <row r="8" spans="1:9" x14ac:dyDescent="0.3">
      <c r="A8" s="25">
        <f t="shared" si="0"/>
        <v>44383</v>
      </c>
      <c r="B8" s="92">
        <v>0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2" t="s">
        <v>64</v>
      </c>
      <c r="I8" s="91"/>
    </row>
    <row r="9" spans="1:9" x14ac:dyDescent="0.3">
      <c r="A9" s="25">
        <f t="shared" si="0"/>
        <v>44384</v>
      </c>
      <c r="B9" s="92">
        <v>0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 t="s">
        <v>64</v>
      </c>
      <c r="I9" s="91"/>
    </row>
    <row r="10" spans="1:9" x14ac:dyDescent="0.3">
      <c r="A10" s="25">
        <f t="shared" si="0"/>
        <v>44385</v>
      </c>
      <c r="B10" s="92">
        <v>0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2" t="s">
        <v>64</v>
      </c>
      <c r="I10" s="91"/>
    </row>
    <row r="11" spans="1:9" x14ac:dyDescent="0.3">
      <c r="A11" s="25">
        <f t="shared" si="0"/>
        <v>44386</v>
      </c>
      <c r="B11" s="92">
        <v>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 t="s">
        <v>64</v>
      </c>
      <c r="I11" s="91"/>
    </row>
    <row r="12" spans="1:9" x14ac:dyDescent="0.3">
      <c r="A12" s="25">
        <f t="shared" si="0"/>
        <v>44387</v>
      </c>
      <c r="B12" s="92">
        <v>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 t="s">
        <v>64</v>
      </c>
      <c r="I12" s="91"/>
    </row>
    <row r="13" spans="1:9" x14ac:dyDescent="0.3">
      <c r="A13" s="25">
        <f t="shared" si="0"/>
        <v>44388</v>
      </c>
      <c r="B13" s="92">
        <v>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 t="s">
        <v>64</v>
      </c>
      <c r="I13" s="91"/>
    </row>
    <row r="14" spans="1:9" x14ac:dyDescent="0.3">
      <c r="A14" s="25">
        <f t="shared" si="0"/>
        <v>44389</v>
      </c>
      <c r="B14" s="92">
        <v>0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3" t="s">
        <v>64</v>
      </c>
      <c r="I14" s="91"/>
    </row>
    <row r="15" spans="1:9" x14ac:dyDescent="0.3">
      <c r="A15" s="25">
        <f t="shared" si="0"/>
        <v>44390</v>
      </c>
      <c r="B15" s="92">
        <v>0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3" t="s">
        <v>64</v>
      </c>
      <c r="I15" s="91"/>
    </row>
    <row r="16" spans="1:9" x14ac:dyDescent="0.3">
      <c r="A16" s="25">
        <f t="shared" si="0"/>
        <v>44391</v>
      </c>
      <c r="B16" s="92">
        <v>0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3" t="s">
        <v>64</v>
      </c>
      <c r="I16" s="91"/>
    </row>
    <row r="17" spans="1:9" x14ac:dyDescent="0.3">
      <c r="A17" s="25">
        <f t="shared" si="0"/>
        <v>44392</v>
      </c>
      <c r="B17" s="92">
        <v>0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3" t="s">
        <v>64</v>
      </c>
      <c r="I17" s="91"/>
    </row>
    <row r="18" spans="1:9" x14ac:dyDescent="0.3">
      <c r="A18" s="25">
        <f t="shared" si="0"/>
        <v>44393</v>
      </c>
      <c r="B18" s="92">
        <v>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3" t="s">
        <v>64</v>
      </c>
      <c r="I18" s="91"/>
    </row>
    <row r="19" spans="1:9" x14ac:dyDescent="0.3">
      <c r="A19" s="25">
        <f t="shared" si="0"/>
        <v>44394</v>
      </c>
      <c r="B19" s="92">
        <v>0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3" t="s">
        <v>64</v>
      </c>
      <c r="I19" s="91"/>
    </row>
    <row r="20" spans="1:9" x14ac:dyDescent="0.3">
      <c r="A20" s="25">
        <f t="shared" si="0"/>
        <v>44395</v>
      </c>
      <c r="B20" s="92">
        <v>0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3" t="s">
        <v>64</v>
      </c>
      <c r="I20" s="91"/>
    </row>
    <row r="21" spans="1:9" x14ac:dyDescent="0.3">
      <c r="A21" s="25">
        <f t="shared" si="0"/>
        <v>44396</v>
      </c>
      <c r="B21" s="92">
        <v>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3" t="s">
        <v>64</v>
      </c>
      <c r="I21" s="91"/>
    </row>
    <row r="22" spans="1:9" x14ac:dyDescent="0.3">
      <c r="A22" s="25">
        <f t="shared" si="0"/>
        <v>44397</v>
      </c>
      <c r="B22" s="92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3" t="s">
        <v>64</v>
      </c>
      <c r="I22" s="91"/>
    </row>
    <row r="23" spans="1:9" x14ac:dyDescent="0.3">
      <c r="A23" s="25">
        <f t="shared" si="0"/>
        <v>44398</v>
      </c>
      <c r="B23" s="92">
        <v>0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93" t="s">
        <v>64</v>
      </c>
      <c r="I23" s="91"/>
    </row>
    <row r="24" spans="1:9" x14ac:dyDescent="0.3">
      <c r="A24" s="25">
        <f t="shared" si="0"/>
        <v>44399</v>
      </c>
      <c r="B24" s="92">
        <v>0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3" t="s">
        <v>64</v>
      </c>
      <c r="I24" s="91"/>
    </row>
    <row r="25" spans="1:9" x14ac:dyDescent="0.3">
      <c r="A25" s="25">
        <f t="shared" si="0"/>
        <v>44400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3" t="s">
        <v>64</v>
      </c>
      <c r="I25" s="91"/>
    </row>
    <row r="26" spans="1:9" x14ac:dyDescent="0.3">
      <c r="A26" s="25">
        <f t="shared" si="0"/>
        <v>44401</v>
      </c>
      <c r="B26" s="92">
        <v>0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3" t="s">
        <v>64</v>
      </c>
      <c r="I26" s="91"/>
    </row>
    <row r="27" spans="1:9" x14ac:dyDescent="0.3">
      <c r="A27" s="25">
        <f t="shared" si="0"/>
        <v>44402</v>
      </c>
      <c r="B27" s="92">
        <v>0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3" t="s">
        <v>64</v>
      </c>
      <c r="I27" s="91"/>
    </row>
    <row r="28" spans="1:9" x14ac:dyDescent="0.3">
      <c r="A28" s="25">
        <f t="shared" si="0"/>
        <v>44403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0</v>
      </c>
      <c r="H28" s="93" t="s">
        <v>64</v>
      </c>
      <c r="I28" s="91"/>
    </row>
    <row r="29" spans="1:9" x14ac:dyDescent="0.3">
      <c r="A29" s="25">
        <f t="shared" si="0"/>
        <v>44404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3" t="s">
        <v>64</v>
      </c>
      <c r="I29" s="91"/>
    </row>
    <row r="30" spans="1:9" x14ac:dyDescent="0.3">
      <c r="A30" s="25">
        <f t="shared" si="0"/>
        <v>44405</v>
      </c>
      <c r="B30" s="92">
        <v>0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3" t="s">
        <v>64</v>
      </c>
      <c r="I30" s="91"/>
    </row>
    <row r="31" spans="1:9" x14ac:dyDescent="0.3">
      <c r="A31" s="25">
        <f t="shared" si="0"/>
        <v>44406</v>
      </c>
      <c r="B31" s="92">
        <v>0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3" t="s">
        <v>64</v>
      </c>
      <c r="I31" s="91"/>
    </row>
    <row r="32" spans="1:9" x14ac:dyDescent="0.3">
      <c r="A32" s="25">
        <f t="shared" si="0"/>
        <v>44407</v>
      </c>
      <c r="B32" s="92">
        <v>0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3" t="s">
        <v>64</v>
      </c>
      <c r="I32" s="91"/>
    </row>
    <row r="33" spans="1:14" ht="15" thickBot="1" x14ac:dyDescent="0.35">
      <c r="A33" s="25">
        <f t="shared" si="0"/>
        <v>44408</v>
      </c>
      <c r="B33" s="92">
        <v>0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3" t="s">
        <v>64</v>
      </c>
      <c r="I33" s="91"/>
    </row>
    <row r="34" spans="1:14" s="11" customFormat="1" ht="15" thickTop="1" x14ac:dyDescent="0.3">
      <c r="A34" s="15" t="s">
        <v>8</v>
      </c>
      <c r="B34" s="16">
        <f t="shared" ref="B34:G34" si="1">SUM(B3:B33)</f>
        <v>0</v>
      </c>
      <c r="C34" s="16">
        <f t="shared" si="1"/>
        <v>0</v>
      </c>
      <c r="D34" s="16">
        <f t="shared" si="1"/>
        <v>0</v>
      </c>
      <c r="E34" s="17">
        <f t="shared" si="1"/>
        <v>0</v>
      </c>
      <c r="F34" s="17">
        <f t="shared" si="1"/>
        <v>0</v>
      </c>
      <c r="G34" s="16">
        <f t="shared" si="1"/>
        <v>0</v>
      </c>
      <c r="H34" s="17"/>
    </row>
    <row r="35" spans="1:14" s="11" customFormat="1" x14ac:dyDescent="0.3">
      <c r="A35" s="18" t="s">
        <v>9</v>
      </c>
      <c r="B35" s="19">
        <f>SUM(B34+'Jun 2021'!B34)</f>
        <v>6592</v>
      </c>
      <c r="C35" s="19">
        <f>SUM(C34+'Jun 2021'!C34)</f>
        <v>3290</v>
      </c>
      <c r="D35" s="19">
        <f>SUM(D34+'Jun 2021'!D34)</f>
        <v>6820</v>
      </c>
      <c r="E35" s="20">
        <f>SUM(E34+'Jun 2021'!E34)</f>
        <v>4.16</v>
      </c>
      <c r="F35" s="20">
        <f>SUM(F34+'Jun 2021'!F34)</f>
        <v>10.9</v>
      </c>
      <c r="G35" s="19">
        <f>SUM(G34+'Jun 2021'!G34)</f>
        <v>0</v>
      </c>
      <c r="H35" s="20"/>
    </row>
    <row r="37" spans="1:14" x14ac:dyDescent="0.3">
      <c r="A37" t="s">
        <v>10</v>
      </c>
      <c r="B37" s="22">
        <f>SUM(B3:B33)*1.9835</f>
        <v>0</v>
      </c>
      <c r="C37" s="22">
        <f>SUM(C3:C33)*1.9835</f>
        <v>0</v>
      </c>
      <c r="D37" s="22">
        <f>SUM(D3:D33)*1.9835</f>
        <v>0</v>
      </c>
      <c r="E37" s="22"/>
      <c r="F37" s="22"/>
      <c r="G37" s="22"/>
    </row>
    <row r="38" spans="1:14" x14ac:dyDescent="0.3">
      <c r="B38" s="22"/>
      <c r="C38" s="22"/>
      <c r="D38" s="23"/>
      <c r="E38" s="22"/>
      <c r="F38" s="22"/>
      <c r="G38" s="22"/>
    </row>
    <row r="39" spans="1:14" x14ac:dyDescent="0.3">
      <c r="A39" t="s">
        <v>24</v>
      </c>
      <c r="B39" s="22">
        <f>SUM(B37+'Jun 2021'!B38)</f>
        <v>13967.806999999999</v>
      </c>
      <c r="C39" s="22">
        <f>SUM(C37+'Jun 2021'!C38)</f>
        <v>6555.4674999999997</v>
      </c>
      <c r="D39" s="22">
        <f>SUM(D37+'Jun 2021'!D38)</f>
        <v>14713.602999999999</v>
      </c>
      <c r="E39" s="22"/>
      <c r="F39" s="22"/>
      <c r="G39" s="22"/>
    </row>
    <row r="41" spans="1:14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  <c r="K41" s="27"/>
      <c r="L41" s="27"/>
      <c r="M41" s="28"/>
      <c r="N41" s="27"/>
    </row>
    <row r="42" spans="1:14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8"/>
      <c r="N42" s="27"/>
    </row>
    <row r="43" spans="1:14" ht="13.95" customHeight="1" thickBot="1" x14ac:dyDescent="0.35">
      <c r="A43" s="106" t="s">
        <v>23</v>
      </c>
      <c r="B43" s="106"/>
      <c r="C43" s="106"/>
      <c r="D43" s="106"/>
      <c r="E43" s="106"/>
      <c r="F43" s="106"/>
      <c r="G43" s="106"/>
      <c r="H43" s="106"/>
      <c r="I43" s="107"/>
      <c r="J43" s="29"/>
      <c r="K43" s="29"/>
      <c r="L43" s="29"/>
      <c r="M43" s="30"/>
      <c r="N43" s="31"/>
    </row>
    <row r="44" spans="1:14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0"/>
    </row>
    <row r="45" spans="1:14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0"/>
    </row>
    <row r="46" spans="1:14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0"/>
    </row>
    <row r="47" spans="1:14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0"/>
    </row>
    <row r="48" spans="1:14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0"/>
    </row>
    <row r="49" spans="1:14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0"/>
    </row>
    <row r="50" spans="1:14" ht="13.2" customHeight="1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0"/>
      <c r="N50" s="31"/>
    </row>
    <row r="51" spans="1:14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0"/>
      <c r="N51" s="31"/>
    </row>
    <row r="52" spans="1:14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</row>
    <row r="53" spans="1:14" ht="15.6" x14ac:dyDescent="0.3">
      <c r="A53" s="55"/>
      <c r="B53" s="56"/>
      <c r="C53" s="57"/>
      <c r="D53" s="58"/>
      <c r="E53" s="59"/>
      <c r="F53" s="60">
        <f>SUM(C53/24*D53)</f>
        <v>0</v>
      </c>
      <c r="G53" s="61"/>
      <c r="H53" s="62"/>
      <c r="I53" s="63"/>
    </row>
    <row r="54" spans="1:14" x14ac:dyDescent="0.3">
      <c r="A54" s="64"/>
      <c r="B54" s="65"/>
      <c r="C54" s="66"/>
      <c r="D54" s="58"/>
      <c r="E54" s="67"/>
      <c r="F54" s="68">
        <f>SUM(C54/24*D54)</f>
        <v>0</v>
      </c>
      <c r="G54" s="61"/>
      <c r="H54" s="62"/>
    </row>
    <row r="55" spans="1:14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4" x14ac:dyDescent="0.3">
      <c r="A56" s="64"/>
      <c r="B56" s="65"/>
      <c r="C56" s="66"/>
      <c r="D56" s="58"/>
      <c r="E56" s="69"/>
      <c r="F56" s="68">
        <f>SUM(C56/24*D56)</f>
        <v>0</v>
      </c>
      <c r="G56" s="61"/>
      <c r="H56" s="62"/>
    </row>
    <row r="57" spans="1:14" ht="15" thickBot="1" x14ac:dyDescent="0.35">
      <c r="A57" s="70"/>
      <c r="B57" s="71"/>
      <c r="C57" s="72"/>
      <c r="D57" s="73"/>
      <c r="E57" s="72"/>
      <c r="F57" s="74">
        <f>SUM(C57/24*D57)</f>
        <v>0</v>
      </c>
      <c r="G57" s="61"/>
      <c r="H57" s="62"/>
      <c r="I57" s="75"/>
    </row>
    <row r="58" spans="1:14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2.109375" bestFit="1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25">
        <v>44348</v>
      </c>
      <c r="B3" s="92">
        <v>10</v>
      </c>
      <c r="C3" s="92">
        <v>0</v>
      </c>
      <c r="D3" s="92">
        <v>0</v>
      </c>
      <c r="E3" s="92">
        <v>0</v>
      </c>
      <c r="F3" s="92">
        <v>0</v>
      </c>
      <c r="G3" s="92">
        <v>0</v>
      </c>
      <c r="H3" s="93">
        <v>4032.42</v>
      </c>
      <c r="I3" s="96"/>
    </row>
    <row r="4" spans="1:9" x14ac:dyDescent="0.3">
      <c r="A4" s="25">
        <f>A3+1</f>
        <v>44349</v>
      </c>
      <c r="B4" s="92">
        <v>10</v>
      </c>
      <c r="C4" s="92">
        <v>0</v>
      </c>
      <c r="D4" s="92">
        <v>0</v>
      </c>
      <c r="E4" s="92">
        <v>0</v>
      </c>
      <c r="F4" s="92">
        <v>0</v>
      </c>
      <c r="G4" s="92">
        <v>0</v>
      </c>
      <c r="H4" s="93">
        <v>4032.39</v>
      </c>
      <c r="I4" s="96"/>
    </row>
    <row r="5" spans="1:9" x14ac:dyDescent="0.3">
      <c r="A5" s="25">
        <f t="shared" ref="A5:A32" si="0">A4+1</f>
        <v>44350</v>
      </c>
      <c r="B5" s="92">
        <v>4</v>
      </c>
      <c r="C5" s="92">
        <v>0</v>
      </c>
      <c r="D5" s="92">
        <v>0</v>
      </c>
      <c r="E5" s="92">
        <v>0</v>
      </c>
      <c r="F5" s="92">
        <v>0</v>
      </c>
      <c r="G5" s="92">
        <v>0</v>
      </c>
      <c r="H5" s="93">
        <v>4032.36</v>
      </c>
      <c r="I5" s="96" t="s">
        <v>63</v>
      </c>
    </row>
    <row r="6" spans="1:9" x14ac:dyDescent="0.3">
      <c r="A6" s="25">
        <f t="shared" si="0"/>
        <v>44351</v>
      </c>
      <c r="B6" s="92">
        <v>0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3">
        <v>4032.33</v>
      </c>
      <c r="I6" s="96"/>
    </row>
    <row r="7" spans="1:9" x14ac:dyDescent="0.3">
      <c r="A7" s="25">
        <f t="shared" si="0"/>
        <v>44352</v>
      </c>
      <c r="B7" s="92">
        <v>0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3">
        <v>4032.31</v>
      </c>
      <c r="I7" s="96"/>
    </row>
    <row r="8" spans="1:9" x14ac:dyDescent="0.3">
      <c r="A8" s="25">
        <f t="shared" si="0"/>
        <v>44353</v>
      </c>
      <c r="B8" s="92">
        <v>0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3">
        <v>4032.28</v>
      </c>
      <c r="I8" s="96"/>
    </row>
    <row r="9" spans="1:9" x14ac:dyDescent="0.3">
      <c r="A9" s="25">
        <f t="shared" si="0"/>
        <v>44354</v>
      </c>
      <c r="B9" s="92">
        <v>0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3">
        <v>4032.2</v>
      </c>
      <c r="I9" s="96"/>
    </row>
    <row r="10" spans="1:9" x14ac:dyDescent="0.3">
      <c r="A10" s="25">
        <f t="shared" si="0"/>
        <v>44355</v>
      </c>
      <c r="B10" s="92">
        <v>0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3">
        <v>4032.1</v>
      </c>
      <c r="I10" s="96"/>
    </row>
    <row r="11" spans="1:9" x14ac:dyDescent="0.3">
      <c r="A11" s="25">
        <f t="shared" si="0"/>
        <v>44356</v>
      </c>
      <c r="B11" s="92">
        <v>0</v>
      </c>
      <c r="C11" s="92">
        <v>0</v>
      </c>
      <c r="D11" s="92">
        <v>0</v>
      </c>
      <c r="E11" s="92">
        <v>0.01</v>
      </c>
      <c r="F11" s="92">
        <v>0</v>
      </c>
      <c r="G11" s="92">
        <v>0</v>
      </c>
      <c r="H11" s="93">
        <v>4032</v>
      </c>
      <c r="I11" s="96"/>
    </row>
    <row r="12" spans="1:9" x14ac:dyDescent="0.3">
      <c r="A12" s="25">
        <f t="shared" si="0"/>
        <v>44357</v>
      </c>
      <c r="B12" s="92">
        <v>0</v>
      </c>
      <c r="C12" s="92">
        <v>0</v>
      </c>
      <c r="D12" s="92">
        <v>0</v>
      </c>
      <c r="E12" s="92">
        <v>0.03</v>
      </c>
      <c r="F12" s="92">
        <v>0</v>
      </c>
      <c r="G12" s="92">
        <v>0</v>
      </c>
      <c r="H12" s="93">
        <v>4031.8</v>
      </c>
      <c r="I12" s="96"/>
    </row>
    <row r="13" spans="1:9" x14ac:dyDescent="0.3">
      <c r="A13" s="25">
        <f t="shared" si="0"/>
        <v>44358</v>
      </c>
      <c r="B13" s="92">
        <v>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3">
        <v>4031.6</v>
      </c>
      <c r="I13" s="96"/>
    </row>
    <row r="14" spans="1:9" x14ac:dyDescent="0.3">
      <c r="A14" s="25">
        <f t="shared" si="0"/>
        <v>44359</v>
      </c>
      <c r="B14" s="92">
        <v>0</v>
      </c>
      <c r="C14" s="92">
        <v>0</v>
      </c>
      <c r="D14" s="92">
        <v>0</v>
      </c>
      <c r="E14" s="92">
        <v>0.01</v>
      </c>
      <c r="F14" s="92">
        <v>0</v>
      </c>
      <c r="G14" s="92">
        <v>0</v>
      </c>
      <c r="H14" s="93">
        <v>4031.4</v>
      </c>
      <c r="I14" s="96"/>
    </row>
    <row r="15" spans="1:9" x14ac:dyDescent="0.3">
      <c r="A15" s="25">
        <f t="shared" si="0"/>
        <v>44360</v>
      </c>
      <c r="B15" s="92">
        <v>0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3">
        <v>4031.2</v>
      </c>
      <c r="I15" s="96"/>
    </row>
    <row r="16" spans="1:9" x14ac:dyDescent="0.3">
      <c r="A16" s="25">
        <f t="shared" si="0"/>
        <v>44361</v>
      </c>
      <c r="B16" s="92">
        <v>0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3">
        <v>4031</v>
      </c>
      <c r="I16" s="96"/>
    </row>
    <row r="17" spans="1:9" x14ac:dyDescent="0.3">
      <c r="A17" s="25">
        <f t="shared" si="0"/>
        <v>44362</v>
      </c>
      <c r="B17" s="92">
        <v>0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3">
        <v>4030.8</v>
      </c>
      <c r="I17" s="96"/>
    </row>
    <row r="18" spans="1:9" x14ac:dyDescent="0.3">
      <c r="A18" s="25">
        <f t="shared" si="0"/>
        <v>44363</v>
      </c>
      <c r="B18" s="92">
        <v>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3">
        <v>4030.6</v>
      </c>
      <c r="I18" s="96"/>
    </row>
    <row r="19" spans="1:9" x14ac:dyDescent="0.3">
      <c r="A19" s="25">
        <f t="shared" si="0"/>
        <v>44364</v>
      </c>
      <c r="B19" s="92">
        <v>0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3">
        <v>4030.5</v>
      </c>
      <c r="I19" s="96"/>
    </row>
    <row r="20" spans="1:9" x14ac:dyDescent="0.3">
      <c r="A20" s="25">
        <f t="shared" si="0"/>
        <v>44365</v>
      </c>
      <c r="B20" s="92">
        <v>0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3">
        <v>4030.35</v>
      </c>
      <c r="I20" s="96"/>
    </row>
    <row r="21" spans="1:9" x14ac:dyDescent="0.3">
      <c r="A21" s="25">
        <f t="shared" si="0"/>
        <v>44366</v>
      </c>
      <c r="B21" s="92">
        <v>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3">
        <v>4030.29</v>
      </c>
      <c r="I21" s="96"/>
    </row>
    <row r="22" spans="1:9" x14ac:dyDescent="0.3">
      <c r="A22" s="25">
        <f t="shared" si="0"/>
        <v>44367</v>
      </c>
      <c r="B22" s="92">
        <v>0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3">
        <v>4030.22</v>
      </c>
      <c r="I22" s="96"/>
    </row>
    <row r="23" spans="1:9" x14ac:dyDescent="0.3">
      <c r="A23" s="25">
        <f t="shared" si="0"/>
        <v>44368</v>
      </c>
      <c r="B23" s="92">
        <v>0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93">
        <v>4030.2</v>
      </c>
      <c r="I23" s="91"/>
    </row>
    <row r="24" spans="1:9" x14ac:dyDescent="0.3">
      <c r="A24" s="25">
        <f t="shared" si="0"/>
        <v>44369</v>
      </c>
      <c r="B24" s="92">
        <v>0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3">
        <v>4030.1</v>
      </c>
      <c r="I24" s="91"/>
    </row>
    <row r="25" spans="1:9" x14ac:dyDescent="0.3">
      <c r="A25" s="25">
        <f t="shared" si="0"/>
        <v>44370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3">
        <v>4030</v>
      </c>
      <c r="I25" s="91"/>
    </row>
    <row r="26" spans="1:9" x14ac:dyDescent="0.3">
      <c r="A26" s="25">
        <f t="shared" si="0"/>
        <v>44371</v>
      </c>
      <c r="B26" s="92">
        <v>0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3">
        <v>4030</v>
      </c>
      <c r="I26" s="91"/>
    </row>
    <row r="27" spans="1:9" x14ac:dyDescent="0.3">
      <c r="A27" s="25">
        <f t="shared" si="0"/>
        <v>44372</v>
      </c>
      <c r="B27" s="92">
        <v>0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3">
        <v>4030</v>
      </c>
      <c r="I27" s="91"/>
    </row>
    <row r="28" spans="1:9" x14ac:dyDescent="0.3">
      <c r="A28" s="25">
        <f t="shared" si="0"/>
        <v>44373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0</v>
      </c>
      <c r="H28" s="93">
        <v>4030</v>
      </c>
      <c r="I28" s="91"/>
    </row>
    <row r="29" spans="1:9" x14ac:dyDescent="0.3">
      <c r="A29" s="25">
        <f t="shared" si="0"/>
        <v>44374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3">
        <v>4030</v>
      </c>
      <c r="I29" s="91"/>
    </row>
    <row r="30" spans="1:9" x14ac:dyDescent="0.3">
      <c r="A30" s="25">
        <f t="shared" si="0"/>
        <v>44375</v>
      </c>
      <c r="B30" s="92">
        <v>0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3">
        <v>4030</v>
      </c>
      <c r="I30" s="91"/>
    </row>
    <row r="31" spans="1:9" x14ac:dyDescent="0.3">
      <c r="A31" s="25">
        <f t="shared" si="0"/>
        <v>44376</v>
      </c>
      <c r="B31" s="92">
        <v>0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3">
        <v>4030</v>
      </c>
      <c r="I31" s="91"/>
    </row>
    <row r="32" spans="1:9" ht="15" thickBot="1" x14ac:dyDescent="0.35">
      <c r="A32" s="25">
        <f t="shared" si="0"/>
        <v>44377</v>
      </c>
      <c r="B32" s="92">
        <v>0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3">
        <v>4030</v>
      </c>
      <c r="I32" s="91"/>
    </row>
    <row r="33" spans="1:14" s="11" customFormat="1" ht="15" thickTop="1" x14ac:dyDescent="0.3">
      <c r="A33" s="15" t="s">
        <v>8</v>
      </c>
      <c r="B33" s="16">
        <f t="shared" ref="B33:G33" si="1">SUM(B3:B32)</f>
        <v>24</v>
      </c>
      <c r="C33" s="16">
        <f t="shared" si="1"/>
        <v>0</v>
      </c>
      <c r="D33" s="16">
        <f t="shared" si="1"/>
        <v>0</v>
      </c>
      <c r="E33" s="17">
        <f t="shared" si="1"/>
        <v>0.05</v>
      </c>
      <c r="F33" s="17">
        <f t="shared" si="1"/>
        <v>0</v>
      </c>
      <c r="G33" s="16">
        <f t="shared" si="1"/>
        <v>0</v>
      </c>
      <c r="H33" s="17"/>
    </row>
    <row r="34" spans="1:14" s="11" customFormat="1" x14ac:dyDescent="0.3">
      <c r="A34" s="18" t="s">
        <v>9</v>
      </c>
      <c r="B34" s="19">
        <f>SUM(B33+'May 2021'!B35)</f>
        <v>6592</v>
      </c>
      <c r="C34" s="19">
        <f>SUM(C33+'May 2021'!C35)</f>
        <v>3290</v>
      </c>
      <c r="D34" s="19">
        <f>SUM(D33+'May 2021'!D35)</f>
        <v>6820</v>
      </c>
      <c r="E34" s="20">
        <f>SUM(E33+'May 2021'!E35)</f>
        <v>4.16</v>
      </c>
      <c r="F34" s="20">
        <f>SUM(F33+'May 2021'!F35)</f>
        <v>10.9</v>
      </c>
      <c r="G34" s="19">
        <f>SUM(G33+'May 2021'!G35)</f>
        <v>0</v>
      </c>
      <c r="H34" s="20"/>
    </row>
    <row r="36" spans="1:14" x14ac:dyDescent="0.3">
      <c r="A36" t="s">
        <v>10</v>
      </c>
      <c r="B36" s="22">
        <f>SUM(B3:B32)*1.9835</f>
        <v>47.603999999999999</v>
      </c>
      <c r="C36" s="22">
        <f>SUM(C3:C32)*1.9835</f>
        <v>0</v>
      </c>
      <c r="D36" s="22">
        <f>SUM(D3:D32)*1.9835</f>
        <v>0</v>
      </c>
      <c r="E36" s="22"/>
      <c r="F36" s="22"/>
      <c r="G36" s="22"/>
      <c r="I36" s="21"/>
    </row>
    <row r="38" spans="1:14" x14ac:dyDescent="0.3">
      <c r="A38" t="s">
        <v>24</v>
      </c>
      <c r="B38" s="22">
        <f>SUM(B36+'May 2021'!B39)</f>
        <v>13967.806999999999</v>
      </c>
      <c r="C38" s="22">
        <f>SUM(C36+'May 2021'!C39)</f>
        <v>6555.4674999999997</v>
      </c>
      <c r="D38" s="22">
        <f>SUM(D36+'May 2021'!D39)</f>
        <v>14713.602999999999</v>
      </c>
      <c r="E38" s="22"/>
      <c r="F38" s="22"/>
      <c r="G38" s="22"/>
      <c r="I38" s="21"/>
    </row>
    <row r="40" spans="1:14" ht="17.399999999999999" customHeight="1" x14ac:dyDescent="0.3">
      <c r="A40" s="102"/>
      <c r="B40" s="102"/>
      <c r="C40" s="102"/>
      <c r="D40" s="102"/>
      <c r="E40" s="102"/>
      <c r="F40" s="103"/>
      <c r="G40" s="104" t="s">
        <v>12</v>
      </c>
      <c r="H40" s="105"/>
      <c r="I40" s="27"/>
      <c r="J40" s="27"/>
      <c r="K40" s="27"/>
      <c r="L40" s="27"/>
      <c r="M40" s="28"/>
      <c r="N40" s="27"/>
    </row>
    <row r="41" spans="1:14" ht="16.95" customHeight="1" x14ac:dyDescent="0.3">
      <c r="A41" s="26"/>
      <c r="B41" s="26"/>
      <c r="C41" s="26"/>
      <c r="D41" s="26"/>
      <c r="E41" s="26"/>
      <c r="F41" s="26"/>
      <c r="G41" s="104"/>
      <c r="H41" s="105"/>
      <c r="I41" s="27"/>
      <c r="J41" s="27"/>
      <c r="K41" s="27"/>
      <c r="L41" s="27"/>
      <c r="M41" s="28"/>
      <c r="N41" s="27"/>
    </row>
    <row r="42" spans="1:14" ht="13.95" customHeight="1" thickBot="1" x14ac:dyDescent="0.35">
      <c r="A42" s="106" t="s">
        <v>23</v>
      </c>
      <c r="B42" s="106"/>
      <c r="C42" s="106"/>
      <c r="D42" s="106"/>
      <c r="E42" s="106"/>
      <c r="F42" s="106"/>
      <c r="G42" s="106"/>
      <c r="H42" s="106"/>
      <c r="I42" s="107"/>
      <c r="J42" s="29"/>
      <c r="K42" s="29"/>
      <c r="L42" s="29"/>
      <c r="M42" s="30"/>
      <c r="N42" s="31"/>
    </row>
    <row r="43" spans="1:14" ht="15.6" customHeight="1" x14ac:dyDescent="0.3">
      <c r="A43" s="39" t="s">
        <v>17</v>
      </c>
      <c r="B43" s="33"/>
      <c r="C43" s="34"/>
      <c r="D43" s="34"/>
      <c r="E43" s="35"/>
      <c r="F43" s="36"/>
      <c r="G43" s="37"/>
      <c r="H43" s="38"/>
      <c r="I43" s="31"/>
      <c r="J43" s="31"/>
      <c r="K43" s="31"/>
      <c r="L43" s="31"/>
      <c r="M43" s="30"/>
    </row>
    <row r="44" spans="1:14" x14ac:dyDescent="0.3">
      <c r="A44" s="32"/>
      <c r="B44" s="33"/>
      <c r="C44" s="34"/>
      <c r="D44" s="34"/>
      <c r="E44" s="40"/>
      <c r="F44" s="36">
        <f>SUM(24-D44)</f>
        <v>24</v>
      </c>
      <c r="G44" s="37">
        <f>SUM(C44+E44)</f>
        <v>0</v>
      </c>
      <c r="H44" s="38">
        <f>SUM(C44/24*D44+G44/24*F44)</f>
        <v>0</v>
      </c>
      <c r="I44" s="31"/>
      <c r="J44" s="31"/>
      <c r="K44" s="31"/>
      <c r="L44" s="31"/>
      <c r="M44" s="30"/>
    </row>
    <row r="45" spans="1:14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0"/>
    </row>
    <row r="46" spans="1:14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0"/>
    </row>
    <row r="47" spans="1:14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0"/>
    </row>
    <row r="48" spans="1:14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0"/>
    </row>
    <row r="49" spans="1:14" ht="13.2" customHeight="1" x14ac:dyDescent="0.3">
      <c r="A49" s="41"/>
      <c r="B49" s="42"/>
      <c r="C49" s="42"/>
      <c r="D49" s="42"/>
      <c r="E49" s="42"/>
      <c r="F49" s="42"/>
      <c r="G49" s="43"/>
      <c r="H49" s="31"/>
      <c r="I49" s="31"/>
      <c r="J49" s="31"/>
      <c r="K49" s="31"/>
      <c r="L49" s="31"/>
      <c r="M49" s="30"/>
      <c r="N49" s="31"/>
    </row>
    <row r="50" spans="1:14" ht="15" thickBot="1" x14ac:dyDescent="0.35">
      <c r="A50" s="44" t="s">
        <v>18</v>
      </c>
      <c r="B50" s="44"/>
      <c r="C50" s="44"/>
      <c r="D50" s="44"/>
      <c r="E50" s="45"/>
      <c r="F50" s="46"/>
      <c r="G50" s="43"/>
      <c r="H50" s="31"/>
      <c r="I50" s="31"/>
      <c r="J50" s="31"/>
      <c r="K50" s="31"/>
      <c r="L50" s="31"/>
      <c r="M50" s="30"/>
      <c r="N50" s="31"/>
    </row>
    <row r="51" spans="1:14" ht="25.8" x14ac:dyDescent="0.3">
      <c r="A51" s="47" t="s">
        <v>19</v>
      </c>
      <c r="B51" s="48" t="s">
        <v>13</v>
      </c>
      <c r="C51" s="49" t="s">
        <v>14</v>
      </c>
      <c r="D51" s="49" t="s">
        <v>15</v>
      </c>
      <c r="E51" s="50" t="s">
        <v>16</v>
      </c>
      <c r="F51" s="51" t="s">
        <v>20</v>
      </c>
      <c r="G51" s="52"/>
      <c r="H51" s="53"/>
      <c r="I51" s="54"/>
    </row>
    <row r="52" spans="1:14" ht="15.6" x14ac:dyDescent="0.3">
      <c r="A52" s="55"/>
      <c r="B52" s="56"/>
      <c r="C52" s="57"/>
      <c r="D52" s="58"/>
      <c r="E52" s="59"/>
      <c r="F52" s="60">
        <f>SUM(C52/24*D52)</f>
        <v>0</v>
      </c>
      <c r="G52" s="61"/>
      <c r="H52" s="62"/>
      <c r="I52" s="63"/>
    </row>
    <row r="53" spans="1:14" x14ac:dyDescent="0.3">
      <c r="A53" s="64"/>
      <c r="B53" s="65"/>
      <c r="C53" s="66"/>
      <c r="D53" s="58"/>
      <c r="E53" s="67"/>
      <c r="F53" s="68">
        <f>SUM(C53/24*D53)</f>
        <v>0</v>
      </c>
      <c r="G53" s="61"/>
      <c r="H53" s="62"/>
    </row>
    <row r="54" spans="1:14" x14ac:dyDescent="0.3">
      <c r="A54" s="64"/>
      <c r="B54" s="65"/>
      <c r="C54" s="66"/>
      <c r="D54" s="58"/>
      <c r="E54" s="69"/>
      <c r="F54" s="68">
        <f>SUM(C54/24*D54)</f>
        <v>0</v>
      </c>
      <c r="G54" s="61"/>
      <c r="H54" s="62"/>
    </row>
    <row r="55" spans="1:14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4" ht="15" thickBot="1" x14ac:dyDescent="0.35">
      <c r="A56" s="70"/>
      <c r="B56" s="71"/>
      <c r="C56" s="72"/>
      <c r="D56" s="73"/>
      <c r="E56" s="72"/>
      <c r="F56" s="74">
        <f>SUM(C56/24*D56)</f>
        <v>0</v>
      </c>
      <c r="G56" s="61"/>
      <c r="H56" s="62"/>
      <c r="I56" s="75"/>
    </row>
    <row r="57" spans="1:14" s="81" customFormat="1" ht="30" customHeight="1" x14ac:dyDescent="0.3">
      <c r="A57" s="108" t="s">
        <v>21</v>
      </c>
      <c r="B57" s="109"/>
      <c r="C57" s="110"/>
      <c r="D57" s="76">
        <f>SUM(D52:D56)</f>
        <v>0</v>
      </c>
      <c r="E57" s="77" t="s">
        <v>22</v>
      </c>
      <c r="F57" s="78">
        <f>SUM(F52:F56)</f>
        <v>0</v>
      </c>
      <c r="G57" s="79"/>
      <c r="H57" s="80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8"/>
  <sheetViews>
    <sheetView zoomScale="80" zoomScaleNormal="80" workbookViewId="0">
      <pane xSplit="1" ySplit="2" topLeftCell="B9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44317</v>
      </c>
      <c r="B3" s="92">
        <v>5</v>
      </c>
      <c r="C3" s="92">
        <v>0</v>
      </c>
      <c r="D3" s="92">
        <v>5</v>
      </c>
      <c r="E3" s="92">
        <v>0</v>
      </c>
      <c r="F3" s="92">
        <v>0</v>
      </c>
      <c r="G3" s="92">
        <v>0</v>
      </c>
      <c r="H3" s="93">
        <v>4033.5</v>
      </c>
      <c r="I3" s="97"/>
    </row>
    <row r="4" spans="1:9" x14ac:dyDescent="0.3">
      <c r="A4" s="12">
        <f>A3+1</f>
        <v>44318</v>
      </c>
      <c r="B4" s="92">
        <v>5</v>
      </c>
      <c r="C4" s="92">
        <v>0</v>
      </c>
      <c r="D4" s="92">
        <v>20</v>
      </c>
      <c r="E4" s="92">
        <v>0</v>
      </c>
      <c r="F4" s="92">
        <v>0</v>
      </c>
      <c r="G4" s="92">
        <v>0</v>
      </c>
      <c r="H4" s="93">
        <v>4033.5</v>
      </c>
      <c r="I4" s="96"/>
    </row>
    <row r="5" spans="1:9" x14ac:dyDescent="0.3">
      <c r="A5" s="12">
        <f t="shared" ref="A5:A33" si="0">A4+1</f>
        <v>44319</v>
      </c>
      <c r="B5" s="92">
        <v>5</v>
      </c>
      <c r="C5" s="92">
        <v>0</v>
      </c>
      <c r="D5" s="92">
        <v>20</v>
      </c>
      <c r="E5" s="92">
        <v>0</v>
      </c>
      <c r="F5" s="92">
        <v>0</v>
      </c>
      <c r="G5" s="92">
        <v>0</v>
      </c>
      <c r="H5" s="93">
        <v>4033.48</v>
      </c>
      <c r="I5" s="96"/>
    </row>
    <row r="6" spans="1:9" x14ac:dyDescent="0.3">
      <c r="A6" s="12">
        <f t="shared" si="0"/>
        <v>44320</v>
      </c>
      <c r="B6" s="92">
        <v>5</v>
      </c>
      <c r="C6" s="92">
        <v>0</v>
      </c>
      <c r="D6" s="92">
        <v>20</v>
      </c>
      <c r="E6" s="92">
        <v>0</v>
      </c>
      <c r="F6" s="92">
        <v>0</v>
      </c>
      <c r="G6" s="92">
        <v>0</v>
      </c>
      <c r="H6" s="93">
        <v>4033.44</v>
      </c>
      <c r="I6" s="96"/>
    </row>
    <row r="7" spans="1:9" x14ac:dyDescent="0.3">
      <c r="A7" s="12">
        <f t="shared" si="0"/>
        <v>44321</v>
      </c>
      <c r="B7" s="92">
        <v>8</v>
      </c>
      <c r="C7" s="92">
        <v>0</v>
      </c>
      <c r="D7" s="92">
        <v>20</v>
      </c>
      <c r="E7" s="92">
        <v>0</v>
      </c>
      <c r="F7" s="92">
        <v>0</v>
      </c>
      <c r="G7" s="92">
        <v>0</v>
      </c>
      <c r="H7" s="93">
        <v>4033.4</v>
      </c>
      <c r="I7" s="96" t="s">
        <v>60</v>
      </c>
    </row>
    <row r="8" spans="1:9" x14ac:dyDescent="0.3">
      <c r="A8" s="12">
        <f t="shared" si="0"/>
        <v>44322</v>
      </c>
      <c r="B8" s="92">
        <v>10</v>
      </c>
      <c r="C8" s="92">
        <v>0</v>
      </c>
      <c r="D8" s="92">
        <v>20</v>
      </c>
      <c r="E8" s="92">
        <v>0</v>
      </c>
      <c r="F8" s="92">
        <v>0</v>
      </c>
      <c r="G8" s="92">
        <v>0</v>
      </c>
      <c r="H8" s="93">
        <v>4033.38</v>
      </c>
      <c r="I8" s="96"/>
    </row>
    <row r="9" spans="1:9" x14ac:dyDescent="0.3">
      <c r="A9" s="12">
        <f t="shared" si="0"/>
        <v>44323</v>
      </c>
      <c r="B9" s="92">
        <v>10</v>
      </c>
      <c r="C9" s="92">
        <v>0</v>
      </c>
      <c r="D9" s="92">
        <v>20</v>
      </c>
      <c r="E9" s="92">
        <v>0</v>
      </c>
      <c r="F9" s="92">
        <v>0</v>
      </c>
      <c r="G9" s="92">
        <v>0</v>
      </c>
      <c r="H9" s="93">
        <v>4033.36</v>
      </c>
      <c r="I9" s="96"/>
    </row>
    <row r="10" spans="1:9" x14ac:dyDescent="0.3">
      <c r="A10" s="12">
        <f t="shared" si="0"/>
        <v>44324</v>
      </c>
      <c r="B10" s="92">
        <v>10</v>
      </c>
      <c r="C10" s="92">
        <v>0</v>
      </c>
      <c r="D10" s="92">
        <v>2</v>
      </c>
      <c r="E10" s="92">
        <v>0</v>
      </c>
      <c r="F10" s="92">
        <v>0</v>
      </c>
      <c r="G10" s="92">
        <v>0</v>
      </c>
      <c r="H10" s="93">
        <v>4033.35</v>
      </c>
      <c r="I10" s="96"/>
    </row>
    <row r="11" spans="1:9" x14ac:dyDescent="0.3">
      <c r="A11" s="12">
        <f t="shared" si="0"/>
        <v>44325</v>
      </c>
      <c r="B11" s="92">
        <v>10</v>
      </c>
      <c r="C11" s="92">
        <v>0</v>
      </c>
      <c r="D11" s="92">
        <v>2</v>
      </c>
      <c r="E11" s="92">
        <v>0</v>
      </c>
      <c r="F11" s="92">
        <v>0</v>
      </c>
      <c r="G11" s="92">
        <v>0</v>
      </c>
      <c r="H11" s="93">
        <v>4033.32</v>
      </c>
      <c r="I11" s="96"/>
    </row>
    <row r="12" spans="1:9" x14ac:dyDescent="0.3">
      <c r="A12" s="12">
        <f t="shared" si="0"/>
        <v>44326</v>
      </c>
      <c r="B12" s="92">
        <v>10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3">
        <v>4033.3</v>
      </c>
      <c r="I12" s="96"/>
    </row>
    <row r="13" spans="1:9" x14ac:dyDescent="0.3">
      <c r="A13" s="12">
        <f t="shared" si="0"/>
        <v>44327</v>
      </c>
      <c r="B13" s="92">
        <v>10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3">
        <v>4033.28</v>
      </c>
      <c r="I13" s="96"/>
    </row>
    <row r="14" spans="1:9" x14ac:dyDescent="0.3">
      <c r="A14" s="12">
        <f t="shared" si="0"/>
        <v>44328</v>
      </c>
      <c r="B14" s="92">
        <v>10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3">
        <v>4033.26</v>
      </c>
      <c r="I14" s="96"/>
    </row>
    <row r="15" spans="1:9" x14ac:dyDescent="0.3">
      <c r="A15" s="12">
        <f t="shared" si="0"/>
        <v>44329</v>
      </c>
      <c r="B15" s="92">
        <v>10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3">
        <v>4033.24</v>
      </c>
      <c r="I15" s="96"/>
    </row>
    <row r="16" spans="1:9" x14ac:dyDescent="0.3">
      <c r="A16" s="12">
        <f t="shared" si="0"/>
        <v>44330</v>
      </c>
      <c r="B16" s="92">
        <v>10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3">
        <v>4033.2</v>
      </c>
      <c r="I16" s="96"/>
    </row>
    <row r="17" spans="1:9" x14ac:dyDescent="0.3">
      <c r="A17" s="12">
        <f t="shared" si="0"/>
        <v>44331</v>
      </c>
      <c r="B17" s="92">
        <v>10</v>
      </c>
      <c r="C17" s="92">
        <v>0</v>
      </c>
      <c r="D17" s="92">
        <v>0</v>
      </c>
      <c r="E17" s="92">
        <v>0.03</v>
      </c>
      <c r="F17" s="92">
        <v>0</v>
      </c>
      <c r="G17" s="95">
        <v>0</v>
      </c>
      <c r="H17" s="93">
        <v>4033.18</v>
      </c>
      <c r="I17" s="96"/>
    </row>
    <row r="18" spans="1:9" x14ac:dyDescent="0.3">
      <c r="A18" s="12">
        <f t="shared" si="0"/>
        <v>44332</v>
      </c>
      <c r="B18" s="92">
        <v>10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3">
        <v>4033.16</v>
      </c>
      <c r="I18" s="96"/>
    </row>
    <row r="19" spans="1:9" x14ac:dyDescent="0.3">
      <c r="A19" s="12">
        <f t="shared" si="0"/>
        <v>44333</v>
      </c>
      <c r="B19" s="92">
        <v>10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3">
        <v>4033.09</v>
      </c>
      <c r="I19" s="96"/>
    </row>
    <row r="20" spans="1:9" x14ac:dyDescent="0.3">
      <c r="A20" s="12">
        <f t="shared" si="0"/>
        <v>44334</v>
      </c>
      <c r="B20" s="92">
        <v>10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3">
        <v>4033.05</v>
      </c>
      <c r="I20" s="91"/>
    </row>
    <row r="21" spans="1:9" x14ac:dyDescent="0.3">
      <c r="A21" s="12">
        <f t="shared" si="0"/>
        <v>44335</v>
      </c>
      <c r="B21" s="92">
        <v>10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3">
        <v>4033.03</v>
      </c>
      <c r="I21" s="91"/>
    </row>
    <row r="22" spans="1:9" x14ac:dyDescent="0.3">
      <c r="A22" s="12">
        <f t="shared" si="0"/>
        <v>44336</v>
      </c>
      <c r="B22" s="92">
        <v>10</v>
      </c>
      <c r="C22" s="92">
        <v>0</v>
      </c>
      <c r="D22" s="92">
        <v>0</v>
      </c>
      <c r="E22" s="92">
        <v>0.01</v>
      </c>
      <c r="F22" s="92">
        <v>0</v>
      </c>
      <c r="G22" s="92">
        <v>0</v>
      </c>
      <c r="H22" s="93">
        <v>4033.01</v>
      </c>
      <c r="I22" s="91"/>
    </row>
    <row r="23" spans="1:9" x14ac:dyDescent="0.3">
      <c r="A23" s="12">
        <f t="shared" si="0"/>
        <v>44337</v>
      </c>
      <c r="B23" s="92">
        <v>10</v>
      </c>
      <c r="C23" s="92">
        <v>0</v>
      </c>
      <c r="D23" s="92">
        <v>0</v>
      </c>
      <c r="E23" s="92">
        <v>0.02</v>
      </c>
      <c r="F23" s="92">
        <v>0</v>
      </c>
      <c r="G23" s="92">
        <v>0</v>
      </c>
      <c r="H23" s="93">
        <v>4033</v>
      </c>
      <c r="I23" s="91"/>
    </row>
    <row r="24" spans="1:9" x14ac:dyDescent="0.3">
      <c r="A24" s="12">
        <f t="shared" si="0"/>
        <v>44338</v>
      </c>
      <c r="B24" s="92">
        <v>10</v>
      </c>
      <c r="C24" s="92">
        <v>0</v>
      </c>
      <c r="D24" s="92">
        <v>0</v>
      </c>
      <c r="E24" s="92">
        <v>0.02</v>
      </c>
      <c r="F24" s="92">
        <v>0</v>
      </c>
      <c r="G24" s="92">
        <v>0</v>
      </c>
      <c r="H24" s="93">
        <v>4032.97</v>
      </c>
      <c r="I24" s="91"/>
    </row>
    <row r="25" spans="1:9" x14ac:dyDescent="0.3">
      <c r="A25" s="12">
        <f t="shared" si="0"/>
        <v>44339</v>
      </c>
      <c r="B25" s="92">
        <v>10</v>
      </c>
      <c r="C25" s="92">
        <v>0</v>
      </c>
      <c r="D25" s="92">
        <v>0</v>
      </c>
      <c r="E25" s="92">
        <v>0.01</v>
      </c>
      <c r="F25" s="92">
        <v>0</v>
      </c>
      <c r="G25" s="92">
        <v>0</v>
      </c>
      <c r="H25" s="93">
        <v>4032.95</v>
      </c>
      <c r="I25" s="91"/>
    </row>
    <row r="26" spans="1:9" x14ac:dyDescent="0.3">
      <c r="A26" s="12">
        <f t="shared" si="0"/>
        <v>44340</v>
      </c>
      <c r="B26" s="92">
        <v>10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3">
        <v>4032.9</v>
      </c>
      <c r="I26" s="91"/>
    </row>
    <row r="27" spans="1:9" x14ac:dyDescent="0.3">
      <c r="A27" s="12">
        <f t="shared" si="0"/>
        <v>44341</v>
      </c>
      <c r="B27" s="92">
        <v>10</v>
      </c>
      <c r="C27" s="92">
        <v>0</v>
      </c>
      <c r="D27" s="92">
        <v>0</v>
      </c>
      <c r="E27" s="92">
        <v>0.17</v>
      </c>
      <c r="F27" s="92">
        <v>0</v>
      </c>
      <c r="G27" s="92">
        <v>0</v>
      </c>
      <c r="H27" s="93">
        <v>4032.83</v>
      </c>
      <c r="I27" s="91"/>
    </row>
    <row r="28" spans="1:9" x14ac:dyDescent="0.3">
      <c r="A28" s="12">
        <f t="shared" si="0"/>
        <v>44342</v>
      </c>
      <c r="B28" s="92">
        <v>10</v>
      </c>
      <c r="C28" s="92">
        <v>0</v>
      </c>
      <c r="D28" s="92">
        <v>0</v>
      </c>
      <c r="E28" s="92">
        <v>0</v>
      </c>
      <c r="F28" s="92">
        <v>0</v>
      </c>
      <c r="G28" s="92">
        <v>0</v>
      </c>
      <c r="H28" s="93">
        <v>4032.76</v>
      </c>
      <c r="I28" s="91"/>
    </row>
    <row r="29" spans="1:9" x14ac:dyDescent="0.3">
      <c r="A29" s="12">
        <f t="shared" si="0"/>
        <v>44343</v>
      </c>
      <c r="B29" s="92">
        <v>10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3">
        <v>4032.69</v>
      </c>
      <c r="I29" s="91"/>
    </row>
    <row r="30" spans="1:9" x14ac:dyDescent="0.3">
      <c r="A30" s="12">
        <f t="shared" si="0"/>
        <v>44344</v>
      </c>
      <c r="B30" s="92">
        <v>10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3">
        <v>4032.62</v>
      </c>
      <c r="I30" s="91"/>
    </row>
    <row r="31" spans="1:9" x14ac:dyDescent="0.3">
      <c r="A31" s="12">
        <f t="shared" si="0"/>
        <v>44345</v>
      </c>
      <c r="B31" s="92">
        <v>10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3">
        <v>4032.55</v>
      </c>
      <c r="I31" s="91"/>
    </row>
    <row r="32" spans="1:9" x14ac:dyDescent="0.3">
      <c r="A32" s="12">
        <f t="shared" si="0"/>
        <v>44346</v>
      </c>
      <c r="B32" s="92">
        <v>10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3">
        <v>4032.48</v>
      </c>
      <c r="I32" s="91"/>
    </row>
    <row r="33" spans="1:15" ht="15" thickBot="1" x14ac:dyDescent="0.35">
      <c r="A33" s="12">
        <f t="shared" si="0"/>
        <v>44347</v>
      </c>
      <c r="B33" s="92">
        <v>10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3">
        <v>4032.45</v>
      </c>
      <c r="I33" s="91"/>
    </row>
    <row r="34" spans="1:15" s="11" customFormat="1" ht="15" thickTop="1" x14ac:dyDescent="0.3">
      <c r="A34" s="15" t="s">
        <v>8</v>
      </c>
      <c r="B34" s="16">
        <f t="shared" ref="B34:G34" si="1">SUM(B3:B33)</f>
        <v>288</v>
      </c>
      <c r="C34" s="16">
        <f t="shared" si="1"/>
        <v>0</v>
      </c>
      <c r="D34" s="16">
        <f t="shared" si="1"/>
        <v>129</v>
      </c>
      <c r="E34" s="17">
        <f t="shared" si="1"/>
        <v>0.26</v>
      </c>
      <c r="F34" s="17">
        <f t="shared" si="1"/>
        <v>0</v>
      </c>
      <c r="G34" s="16">
        <f t="shared" si="1"/>
        <v>0</v>
      </c>
      <c r="H34" s="17"/>
    </row>
    <row r="35" spans="1:15" s="11" customFormat="1" x14ac:dyDescent="0.3">
      <c r="A35" s="18" t="s">
        <v>9</v>
      </c>
      <c r="B35" s="19">
        <f>SUM(B34+'Apr 2021'!B34)</f>
        <v>6568</v>
      </c>
      <c r="C35" s="19">
        <f>SUM(C34+'Apr 2021'!C34)</f>
        <v>3290</v>
      </c>
      <c r="D35" s="19">
        <f>SUM(D34+'Apr 2021'!D34)</f>
        <v>6820</v>
      </c>
      <c r="E35" s="20">
        <f>SUM(E34+'Apr 2021'!E34)</f>
        <v>4.1100000000000003</v>
      </c>
      <c r="F35" s="20">
        <f>SUM(F34+'Apr 2021'!F34)</f>
        <v>10.9</v>
      </c>
      <c r="G35" s="19">
        <f>SUM(G34+'Apr 2021'!G34)</f>
        <v>0</v>
      </c>
      <c r="H35" s="20"/>
    </row>
    <row r="37" spans="1:15" x14ac:dyDescent="0.3">
      <c r="A37" t="s">
        <v>10</v>
      </c>
      <c r="B37" s="22">
        <f>SUM(B3:B33)*1.9835</f>
        <v>571.24800000000005</v>
      </c>
      <c r="C37" s="22">
        <f>SUM(C3:C33)*1.9835</f>
        <v>0</v>
      </c>
      <c r="D37" s="22">
        <f>SUM(D3:D33)*1.9835</f>
        <v>255.8715</v>
      </c>
      <c r="E37" s="22"/>
      <c r="F37" s="22"/>
      <c r="G37" s="22"/>
      <c r="I37" s="21"/>
    </row>
    <row r="39" spans="1:15" x14ac:dyDescent="0.3">
      <c r="A39" t="s">
        <v>24</v>
      </c>
      <c r="B39" s="22">
        <f>SUM(B37+'Apr 2021'!B38)</f>
        <v>13920.203</v>
      </c>
      <c r="C39" s="22">
        <f>SUM(C37+'Apr 2021'!C38)</f>
        <v>6555.4674999999997</v>
      </c>
      <c r="D39" s="22">
        <f>SUM(D37+'Apr 2021'!D38)</f>
        <v>14713.602999999999</v>
      </c>
      <c r="E39" s="22"/>
      <c r="F39" s="22"/>
      <c r="G39" s="22"/>
      <c r="I39" s="21"/>
    </row>
    <row r="40" spans="1:15" x14ac:dyDescent="0.3">
      <c r="I40" s="31"/>
    </row>
    <row r="41" spans="1:15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31"/>
      <c r="J41" s="27"/>
      <c r="K41" s="27"/>
      <c r="L41" s="27"/>
      <c r="M41" s="27"/>
      <c r="N41" s="28"/>
      <c r="O41" s="27"/>
    </row>
    <row r="42" spans="1:15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31"/>
      <c r="J42" s="27"/>
      <c r="K42" s="27"/>
      <c r="L42" s="27"/>
      <c r="M42" s="27"/>
      <c r="N42" s="28"/>
      <c r="O42" s="27"/>
    </row>
    <row r="43" spans="1:15" ht="13.95" customHeight="1" thickBot="1" x14ac:dyDescent="0.35">
      <c r="A43" s="106" t="s">
        <v>23</v>
      </c>
      <c r="B43" s="106"/>
      <c r="C43" s="106"/>
      <c r="D43" s="106"/>
      <c r="E43" s="106"/>
      <c r="F43" s="106"/>
      <c r="G43" s="106"/>
      <c r="H43" s="106"/>
      <c r="I43" s="107"/>
      <c r="J43" s="107"/>
      <c r="K43" s="29"/>
      <c r="L43" s="29"/>
      <c r="M43" s="29"/>
      <c r="N43" s="30"/>
      <c r="O43" s="31"/>
    </row>
    <row r="44" spans="1:15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ht="15.6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54"/>
      <c r="J47" s="31"/>
      <c r="K47" s="31"/>
      <c r="L47" s="31"/>
      <c r="M47" s="31"/>
      <c r="N47" s="30"/>
    </row>
    <row r="48" spans="1:15" ht="15.6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63"/>
      <c r="J48" s="31"/>
      <c r="K48" s="31"/>
      <c r="L48" s="31"/>
      <c r="M48" s="31"/>
      <c r="N48" s="30"/>
    </row>
    <row r="49" spans="1:15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J49" s="31"/>
      <c r="K49" s="31"/>
      <c r="L49" s="31"/>
      <c r="M49" s="31"/>
      <c r="N49" s="30"/>
    </row>
    <row r="50" spans="1:15" ht="13.2" customHeight="1" x14ac:dyDescent="0.3">
      <c r="A50" s="41"/>
      <c r="B50" s="42"/>
      <c r="C50" s="42"/>
      <c r="D50" s="42"/>
      <c r="E50" s="42"/>
      <c r="F50" s="42"/>
      <c r="G50" s="43"/>
      <c r="H50" s="31"/>
      <c r="J50" s="31"/>
      <c r="K50" s="31"/>
      <c r="L50" s="31"/>
      <c r="M50" s="31"/>
      <c r="N50" s="30"/>
      <c r="O50" s="31"/>
    </row>
    <row r="51" spans="1:15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J51" s="31"/>
      <c r="K51" s="31"/>
      <c r="L51" s="31"/>
      <c r="M51" s="31"/>
      <c r="N51" s="30"/>
      <c r="O51" s="31"/>
    </row>
    <row r="52" spans="1:15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75"/>
      <c r="J52" s="54"/>
    </row>
    <row r="53" spans="1:15" ht="15.6" x14ac:dyDescent="0.3">
      <c r="A53" s="55"/>
      <c r="B53" s="56"/>
      <c r="C53" s="57"/>
      <c r="D53" s="58"/>
      <c r="E53" s="59"/>
      <c r="F53" s="60">
        <f>SUM(C53/24*D53)</f>
        <v>0</v>
      </c>
      <c r="G53" s="61"/>
      <c r="H53" s="62"/>
      <c r="I53" s="81"/>
      <c r="J53" s="63"/>
    </row>
    <row r="54" spans="1:15" x14ac:dyDescent="0.3">
      <c r="A54" s="64"/>
      <c r="B54" s="65"/>
      <c r="C54" s="66"/>
      <c r="D54" s="58"/>
      <c r="E54" s="67"/>
      <c r="F54" s="68">
        <f>SUM(C54/24*D54)</f>
        <v>0</v>
      </c>
      <c r="G54" s="61"/>
      <c r="H54" s="62"/>
    </row>
    <row r="55" spans="1:15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5" x14ac:dyDescent="0.3">
      <c r="A56" s="64"/>
      <c r="B56" s="65"/>
      <c r="C56" s="66"/>
      <c r="D56" s="58"/>
      <c r="E56" s="69"/>
      <c r="F56" s="68">
        <f>SUM(C56/24*D56)</f>
        <v>0</v>
      </c>
      <c r="G56" s="61"/>
      <c r="H56" s="62"/>
    </row>
    <row r="57" spans="1:15" ht="15" thickBot="1" x14ac:dyDescent="0.35">
      <c r="A57" s="70"/>
      <c r="B57" s="71"/>
      <c r="C57" s="72"/>
      <c r="D57" s="73"/>
      <c r="E57" s="72"/>
      <c r="F57" s="74">
        <f>SUM(C57/24*D57)</f>
        <v>0</v>
      </c>
      <c r="G57" s="61"/>
      <c r="H57" s="62"/>
      <c r="J57" s="75"/>
    </row>
    <row r="58" spans="1:15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44287</v>
      </c>
      <c r="B3" s="92">
        <v>40</v>
      </c>
      <c r="C3" s="92">
        <v>15</v>
      </c>
      <c r="D3" s="92">
        <v>21</v>
      </c>
      <c r="E3" s="92">
        <v>0</v>
      </c>
      <c r="F3" s="92">
        <v>0</v>
      </c>
      <c r="G3" s="92">
        <v>0</v>
      </c>
      <c r="H3" s="93">
        <v>4034.1</v>
      </c>
      <c r="I3" s="96"/>
    </row>
    <row r="4" spans="1:9" x14ac:dyDescent="0.3">
      <c r="A4" s="12">
        <f>A3+1</f>
        <v>44288</v>
      </c>
      <c r="B4" s="92">
        <v>40</v>
      </c>
      <c r="C4" s="92">
        <v>0</v>
      </c>
      <c r="D4" s="92">
        <v>38</v>
      </c>
      <c r="E4" s="92">
        <v>0</v>
      </c>
      <c r="F4" s="92">
        <v>0</v>
      </c>
      <c r="G4" s="92">
        <v>0</v>
      </c>
      <c r="H4" s="93">
        <v>4034.1</v>
      </c>
      <c r="I4" s="96"/>
    </row>
    <row r="5" spans="1:9" x14ac:dyDescent="0.3">
      <c r="A5" s="12">
        <f t="shared" ref="A5:A32" si="0">A4+1</f>
        <v>44289</v>
      </c>
      <c r="B5" s="92">
        <v>40</v>
      </c>
      <c r="C5" s="92">
        <v>0</v>
      </c>
      <c r="D5" s="92">
        <v>40</v>
      </c>
      <c r="E5" s="92">
        <v>0</v>
      </c>
      <c r="F5" s="92">
        <v>0</v>
      </c>
      <c r="G5" s="92">
        <v>0</v>
      </c>
      <c r="H5" s="93">
        <v>4034.1</v>
      </c>
      <c r="I5" s="96"/>
    </row>
    <row r="6" spans="1:9" x14ac:dyDescent="0.3">
      <c r="A6" s="12">
        <f t="shared" si="0"/>
        <v>44290</v>
      </c>
      <c r="B6" s="92">
        <v>40</v>
      </c>
      <c r="C6" s="92">
        <v>0</v>
      </c>
      <c r="D6" s="92">
        <v>40</v>
      </c>
      <c r="E6" s="92">
        <v>0</v>
      </c>
      <c r="F6" s="92">
        <v>0</v>
      </c>
      <c r="G6" s="92">
        <v>0</v>
      </c>
      <c r="H6" s="93">
        <v>4034.1</v>
      </c>
      <c r="I6" s="96"/>
    </row>
    <row r="7" spans="1:9" x14ac:dyDescent="0.3">
      <c r="A7" s="12">
        <f t="shared" si="0"/>
        <v>44291</v>
      </c>
      <c r="B7" s="92">
        <v>37</v>
      </c>
      <c r="C7" s="92">
        <v>0</v>
      </c>
      <c r="D7" s="92">
        <v>30</v>
      </c>
      <c r="E7" s="92">
        <v>0</v>
      </c>
      <c r="F7" s="92">
        <v>0</v>
      </c>
      <c r="G7" s="92">
        <v>0</v>
      </c>
      <c r="H7" s="93">
        <v>4034.08</v>
      </c>
      <c r="I7" s="96" t="s">
        <v>55</v>
      </c>
    </row>
    <row r="8" spans="1:9" x14ac:dyDescent="0.3">
      <c r="A8" s="12">
        <f t="shared" si="0"/>
        <v>44292</v>
      </c>
      <c r="B8" s="92">
        <v>35</v>
      </c>
      <c r="C8" s="92">
        <v>0</v>
      </c>
      <c r="D8" s="92">
        <v>35</v>
      </c>
      <c r="E8" s="92">
        <v>0</v>
      </c>
      <c r="F8" s="92">
        <v>0</v>
      </c>
      <c r="G8" s="92">
        <v>0</v>
      </c>
      <c r="H8" s="93">
        <v>4034.08</v>
      </c>
      <c r="I8" s="96"/>
    </row>
    <row r="9" spans="1:9" x14ac:dyDescent="0.3">
      <c r="A9" s="12">
        <f t="shared" si="0"/>
        <v>44293</v>
      </c>
      <c r="B9" s="92">
        <v>35</v>
      </c>
      <c r="C9" s="92">
        <v>0</v>
      </c>
      <c r="D9" s="92">
        <v>48</v>
      </c>
      <c r="E9" s="92">
        <v>0</v>
      </c>
      <c r="F9" s="92">
        <v>0</v>
      </c>
      <c r="G9" s="92">
        <v>0</v>
      </c>
      <c r="H9" s="93">
        <v>4034.06</v>
      </c>
      <c r="I9" s="96"/>
    </row>
    <row r="10" spans="1:9" x14ac:dyDescent="0.3">
      <c r="A10" s="12">
        <f t="shared" si="0"/>
        <v>44294</v>
      </c>
      <c r="B10" s="92">
        <v>35</v>
      </c>
      <c r="C10" s="92">
        <v>0</v>
      </c>
      <c r="D10" s="92">
        <v>45</v>
      </c>
      <c r="E10" s="92">
        <v>0</v>
      </c>
      <c r="F10" s="92">
        <v>0</v>
      </c>
      <c r="G10" s="92">
        <v>0</v>
      </c>
      <c r="H10" s="93">
        <v>4034.06</v>
      </c>
      <c r="I10" s="96"/>
    </row>
    <row r="11" spans="1:9" x14ac:dyDescent="0.3">
      <c r="A11" s="12">
        <f t="shared" si="0"/>
        <v>44295</v>
      </c>
      <c r="B11" s="92">
        <v>35</v>
      </c>
      <c r="C11" s="92">
        <v>0</v>
      </c>
      <c r="D11" s="92">
        <v>39</v>
      </c>
      <c r="E11" s="92">
        <v>0</v>
      </c>
      <c r="F11" s="92">
        <v>0</v>
      </c>
      <c r="G11" s="92">
        <v>0</v>
      </c>
      <c r="H11" s="93">
        <v>4034.04</v>
      </c>
      <c r="I11" s="96"/>
    </row>
    <row r="12" spans="1:9" x14ac:dyDescent="0.3">
      <c r="A12" s="12">
        <f t="shared" si="0"/>
        <v>44296</v>
      </c>
      <c r="B12" s="92">
        <v>19</v>
      </c>
      <c r="C12" s="92">
        <v>0</v>
      </c>
      <c r="D12" s="92">
        <v>38</v>
      </c>
      <c r="E12" s="92">
        <v>0</v>
      </c>
      <c r="F12" s="92">
        <v>0</v>
      </c>
      <c r="G12" s="92">
        <v>0</v>
      </c>
      <c r="H12" s="93">
        <v>4034.04</v>
      </c>
      <c r="I12" s="96" t="s">
        <v>56</v>
      </c>
    </row>
    <row r="13" spans="1:9" x14ac:dyDescent="0.3">
      <c r="A13" s="12">
        <f t="shared" si="0"/>
        <v>44297</v>
      </c>
      <c r="B13" s="92">
        <v>7</v>
      </c>
      <c r="C13" s="92">
        <v>0</v>
      </c>
      <c r="D13" s="92">
        <v>36</v>
      </c>
      <c r="E13" s="92">
        <v>0</v>
      </c>
      <c r="F13" s="92">
        <v>0</v>
      </c>
      <c r="G13" s="92">
        <v>0</v>
      </c>
      <c r="H13" s="93">
        <v>4034.02</v>
      </c>
      <c r="I13" s="96" t="s">
        <v>57</v>
      </c>
    </row>
    <row r="14" spans="1:9" x14ac:dyDescent="0.3">
      <c r="A14" s="12">
        <f t="shared" si="0"/>
        <v>44298</v>
      </c>
      <c r="B14" s="92">
        <v>0</v>
      </c>
      <c r="C14" s="92">
        <v>0</v>
      </c>
      <c r="D14" s="92">
        <v>24</v>
      </c>
      <c r="E14" s="92">
        <v>0</v>
      </c>
      <c r="F14" s="92">
        <v>0</v>
      </c>
      <c r="G14" s="92">
        <v>0</v>
      </c>
      <c r="H14" s="93">
        <v>4033.99</v>
      </c>
      <c r="I14" s="96"/>
    </row>
    <row r="15" spans="1:9" x14ac:dyDescent="0.3">
      <c r="A15" s="12">
        <f t="shared" si="0"/>
        <v>44299</v>
      </c>
      <c r="B15" s="92">
        <v>0</v>
      </c>
      <c r="C15" s="92">
        <v>0</v>
      </c>
      <c r="D15" s="92">
        <v>17</v>
      </c>
      <c r="E15" s="92">
        <v>0</v>
      </c>
      <c r="F15" s="92">
        <v>0</v>
      </c>
      <c r="G15" s="92">
        <v>0</v>
      </c>
      <c r="H15" s="93">
        <v>4033.96</v>
      </c>
      <c r="I15" s="96"/>
    </row>
    <row r="16" spans="1:9" x14ac:dyDescent="0.3">
      <c r="A16" s="12">
        <f t="shared" si="0"/>
        <v>44300</v>
      </c>
      <c r="B16" s="92">
        <v>0</v>
      </c>
      <c r="C16" s="92">
        <v>0</v>
      </c>
      <c r="D16" s="92">
        <v>16</v>
      </c>
      <c r="E16" s="92">
        <v>0</v>
      </c>
      <c r="F16" s="92">
        <v>0</v>
      </c>
      <c r="G16" s="92">
        <v>0</v>
      </c>
      <c r="H16" s="93">
        <v>4033.93</v>
      </c>
      <c r="I16" s="96"/>
    </row>
    <row r="17" spans="1:9" x14ac:dyDescent="0.3">
      <c r="A17" s="12">
        <f t="shared" si="0"/>
        <v>44301</v>
      </c>
      <c r="B17" s="92">
        <v>3</v>
      </c>
      <c r="C17" s="92">
        <v>0</v>
      </c>
      <c r="D17" s="92">
        <v>15</v>
      </c>
      <c r="E17" s="92">
        <v>0</v>
      </c>
      <c r="F17" s="92">
        <v>0</v>
      </c>
      <c r="G17" s="92">
        <v>0</v>
      </c>
      <c r="H17" s="93">
        <v>4033.9</v>
      </c>
      <c r="I17" s="96" t="s">
        <v>58</v>
      </c>
    </row>
    <row r="18" spans="1:9" x14ac:dyDescent="0.3">
      <c r="A18" s="12">
        <f t="shared" si="0"/>
        <v>44302</v>
      </c>
      <c r="B18" s="92">
        <v>8</v>
      </c>
      <c r="C18" s="92">
        <v>0</v>
      </c>
      <c r="D18" s="92">
        <v>15</v>
      </c>
      <c r="E18" s="92">
        <v>0</v>
      </c>
      <c r="F18" s="92">
        <v>0</v>
      </c>
      <c r="G18" s="92">
        <v>0</v>
      </c>
      <c r="H18" s="93">
        <v>4033.87</v>
      </c>
      <c r="I18" s="96" t="s">
        <v>59</v>
      </c>
    </row>
    <row r="19" spans="1:9" x14ac:dyDescent="0.3">
      <c r="A19" s="12">
        <f t="shared" si="0"/>
        <v>44303</v>
      </c>
      <c r="B19" s="92">
        <v>5</v>
      </c>
      <c r="C19" s="92">
        <v>0</v>
      </c>
      <c r="D19" s="92">
        <v>15</v>
      </c>
      <c r="E19" s="92">
        <v>0</v>
      </c>
      <c r="F19" s="92">
        <v>0</v>
      </c>
      <c r="G19" s="92">
        <v>0</v>
      </c>
      <c r="H19" s="93">
        <v>4033.84</v>
      </c>
      <c r="I19" s="96"/>
    </row>
    <row r="20" spans="1:9" x14ac:dyDescent="0.3">
      <c r="A20" s="12">
        <f t="shared" si="0"/>
        <v>44304</v>
      </c>
      <c r="B20" s="92">
        <v>5</v>
      </c>
      <c r="C20" s="92">
        <v>0</v>
      </c>
      <c r="D20" s="92">
        <v>10</v>
      </c>
      <c r="E20" s="92">
        <v>0</v>
      </c>
      <c r="F20" s="92">
        <v>0</v>
      </c>
      <c r="G20" s="92">
        <v>0</v>
      </c>
      <c r="H20" s="93">
        <v>4033.81</v>
      </c>
      <c r="I20" s="96"/>
    </row>
    <row r="21" spans="1:9" x14ac:dyDescent="0.3">
      <c r="A21" s="12">
        <f t="shared" si="0"/>
        <v>44305</v>
      </c>
      <c r="B21" s="92">
        <v>5</v>
      </c>
      <c r="C21" s="92">
        <v>0</v>
      </c>
      <c r="D21" s="92">
        <v>10</v>
      </c>
      <c r="E21" s="92">
        <v>0</v>
      </c>
      <c r="F21" s="92">
        <v>0</v>
      </c>
      <c r="G21" s="92">
        <v>0</v>
      </c>
      <c r="H21" s="93">
        <v>4033.78</v>
      </c>
      <c r="I21" s="96"/>
    </row>
    <row r="22" spans="1:9" x14ac:dyDescent="0.3">
      <c r="A22" s="12">
        <f t="shared" si="0"/>
        <v>44306</v>
      </c>
      <c r="B22" s="92">
        <v>5</v>
      </c>
      <c r="C22" s="92">
        <v>0</v>
      </c>
      <c r="D22" s="92">
        <v>8</v>
      </c>
      <c r="E22" s="92">
        <v>0.04</v>
      </c>
      <c r="F22" s="92">
        <v>0</v>
      </c>
      <c r="G22" s="92">
        <v>0</v>
      </c>
      <c r="H22" s="93">
        <v>4033.76</v>
      </c>
      <c r="I22" s="96"/>
    </row>
    <row r="23" spans="1:9" x14ac:dyDescent="0.3">
      <c r="A23" s="12">
        <f t="shared" si="0"/>
        <v>44307</v>
      </c>
      <c r="B23" s="92">
        <v>5</v>
      </c>
      <c r="C23" s="92">
        <v>0</v>
      </c>
      <c r="D23" s="92">
        <v>8</v>
      </c>
      <c r="E23" s="92">
        <v>0</v>
      </c>
      <c r="F23" s="92">
        <v>0</v>
      </c>
      <c r="G23" s="92">
        <v>0</v>
      </c>
      <c r="H23" s="93">
        <v>4033.74</v>
      </c>
      <c r="I23" s="96"/>
    </row>
    <row r="24" spans="1:9" x14ac:dyDescent="0.3">
      <c r="A24" s="12">
        <f t="shared" si="0"/>
        <v>44308</v>
      </c>
      <c r="B24" s="92">
        <v>5</v>
      </c>
      <c r="C24" s="92">
        <v>0</v>
      </c>
      <c r="D24" s="92">
        <v>7</v>
      </c>
      <c r="E24" s="92">
        <v>0</v>
      </c>
      <c r="F24" s="92">
        <v>0</v>
      </c>
      <c r="G24" s="92">
        <v>0</v>
      </c>
      <c r="H24" s="93">
        <v>4033.7</v>
      </c>
      <c r="I24" s="96"/>
    </row>
    <row r="25" spans="1:9" x14ac:dyDescent="0.3">
      <c r="A25" s="12">
        <f t="shared" si="0"/>
        <v>44309</v>
      </c>
      <c r="B25" s="92">
        <v>5</v>
      </c>
      <c r="C25" s="92">
        <v>0</v>
      </c>
      <c r="D25" s="92">
        <v>6</v>
      </c>
      <c r="E25" s="92">
        <v>0</v>
      </c>
      <c r="F25" s="92">
        <v>0</v>
      </c>
      <c r="G25" s="92">
        <v>0</v>
      </c>
      <c r="H25" s="93">
        <v>4033.66</v>
      </c>
      <c r="I25" s="96"/>
    </row>
    <row r="26" spans="1:9" x14ac:dyDescent="0.3">
      <c r="A26" s="12">
        <f t="shared" si="0"/>
        <v>44310</v>
      </c>
      <c r="B26" s="92">
        <v>5</v>
      </c>
      <c r="C26" s="92">
        <v>0</v>
      </c>
      <c r="D26" s="92">
        <v>6</v>
      </c>
      <c r="E26" s="92">
        <v>0.32</v>
      </c>
      <c r="F26" s="92">
        <v>0</v>
      </c>
      <c r="G26" s="92">
        <v>0</v>
      </c>
      <c r="H26" s="93">
        <v>4033.64</v>
      </c>
      <c r="I26" s="96"/>
    </row>
    <row r="27" spans="1:9" x14ac:dyDescent="0.3">
      <c r="A27" s="12">
        <f t="shared" si="0"/>
        <v>44311</v>
      </c>
      <c r="B27" s="92">
        <v>5</v>
      </c>
      <c r="C27" s="92">
        <v>0</v>
      </c>
      <c r="D27" s="92">
        <v>6</v>
      </c>
      <c r="E27" s="92">
        <v>0.19</v>
      </c>
      <c r="F27" s="92">
        <v>0</v>
      </c>
      <c r="G27" s="92">
        <v>0</v>
      </c>
      <c r="H27" s="93">
        <v>4033.6</v>
      </c>
      <c r="I27" s="96"/>
    </row>
    <row r="28" spans="1:9" x14ac:dyDescent="0.3">
      <c r="A28" s="12">
        <f t="shared" si="0"/>
        <v>44312</v>
      </c>
      <c r="B28" s="92">
        <v>5</v>
      </c>
      <c r="C28" s="92">
        <v>0</v>
      </c>
      <c r="D28" s="92">
        <v>5</v>
      </c>
      <c r="E28" s="92">
        <v>0.14000000000000001</v>
      </c>
      <c r="F28" s="92">
        <v>0.5</v>
      </c>
      <c r="G28" s="92">
        <v>0</v>
      </c>
      <c r="H28" s="93">
        <v>4033.6</v>
      </c>
      <c r="I28" s="96"/>
    </row>
    <row r="29" spans="1:9" x14ac:dyDescent="0.3">
      <c r="A29" s="12">
        <f t="shared" si="0"/>
        <v>44313</v>
      </c>
      <c r="B29" s="92">
        <v>5</v>
      </c>
      <c r="C29" s="92">
        <v>0</v>
      </c>
      <c r="D29" s="92">
        <v>5</v>
      </c>
      <c r="E29" s="92">
        <v>0.02</v>
      </c>
      <c r="F29" s="92">
        <v>0</v>
      </c>
      <c r="G29" s="92">
        <v>0</v>
      </c>
      <c r="H29" s="93">
        <v>4033.58</v>
      </c>
      <c r="I29" s="96"/>
    </row>
    <row r="30" spans="1:9" x14ac:dyDescent="0.3">
      <c r="A30" s="12">
        <f t="shared" si="0"/>
        <v>44314</v>
      </c>
      <c r="B30" s="92">
        <v>8</v>
      </c>
      <c r="C30" s="92">
        <v>0</v>
      </c>
      <c r="D30" s="92">
        <v>5</v>
      </c>
      <c r="E30" s="92">
        <v>0</v>
      </c>
      <c r="F30" s="92">
        <v>0</v>
      </c>
      <c r="G30" s="92">
        <v>0</v>
      </c>
      <c r="H30" s="93">
        <v>4033.56</v>
      </c>
      <c r="I30" s="96" t="s">
        <v>61</v>
      </c>
    </row>
    <row r="31" spans="1:9" x14ac:dyDescent="0.3">
      <c r="A31" s="12">
        <f t="shared" si="0"/>
        <v>44315</v>
      </c>
      <c r="B31" s="92">
        <v>8</v>
      </c>
      <c r="C31" s="92">
        <v>0</v>
      </c>
      <c r="D31" s="92">
        <v>5</v>
      </c>
      <c r="E31" s="92">
        <v>0</v>
      </c>
      <c r="F31" s="92">
        <v>0</v>
      </c>
      <c r="G31" s="92">
        <v>0</v>
      </c>
      <c r="H31" s="93">
        <v>4033.54</v>
      </c>
      <c r="I31" s="96" t="s">
        <v>62</v>
      </c>
    </row>
    <row r="32" spans="1:9" ht="15" thickBot="1" x14ac:dyDescent="0.35">
      <c r="A32" s="12">
        <f t="shared" si="0"/>
        <v>44316</v>
      </c>
      <c r="B32" s="92">
        <v>5</v>
      </c>
      <c r="C32" s="92">
        <v>0</v>
      </c>
      <c r="D32" s="92">
        <v>5</v>
      </c>
      <c r="E32" s="92">
        <v>0</v>
      </c>
      <c r="F32" s="92">
        <v>0</v>
      </c>
      <c r="G32" s="92">
        <v>0</v>
      </c>
      <c r="H32" s="93">
        <v>4033.52</v>
      </c>
      <c r="I32" s="96"/>
    </row>
    <row r="33" spans="1:15" s="11" customFormat="1" ht="15" thickTop="1" x14ac:dyDescent="0.3">
      <c r="A33" s="15" t="s">
        <v>8</v>
      </c>
      <c r="B33" s="16">
        <f t="shared" ref="B33:G33" si="1">SUM(B3:B32)</f>
        <v>450</v>
      </c>
      <c r="C33" s="16">
        <f t="shared" si="1"/>
        <v>15</v>
      </c>
      <c r="D33" s="16">
        <f t="shared" si="1"/>
        <v>598</v>
      </c>
      <c r="E33" s="17">
        <f t="shared" si="1"/>
        <v>0.71000000000000008</v>
      </c>
      <c r="F33" s="17">
        <f t="shared" si="1"/>
        <v>0.5</v>
      </c>
      <c r="G33" s="16">
        <f t="shared" si="1"/>
        <v>0</v>
      </c>
      <c r="H33" s="17"/>
      <c r="I33"/>
    </row>
    <row r="34" spans="1:15" s="11" customFormat="1" x14ac:dyDescent="0.3">
      <c r="A34" s="18" t="s">
        <v>9</v>
      </c>
      <c r="B34" s="19">
        <f>SUM(B33+'Mar 2021'!B35)</f>
        <v>6280</v>
      </c>
      <c r="C34" s="19">
        <f>SUM(C33+'Mar 2021'!C35)</f>
        <v>3290</v>
      </c>
      <c r="D34" s="19">
        <f>SUM(D33+'Mar 2021'!D35)</f>
        <v>6691</v>
      </c>
      <c r="E34" s="20">
        <f>SUM(E33+'Mar 2021'!E35)</f>
        <v>3.85</v>
      </c>
      <c r="F34" s="20">
        <f>SUM(F33+'Mar 2021'!F35)</f>
        <v>10.9</v>
      </c>
      <c r="G34" s="19">
        <f>SUM(G33+'Mar 2021'!G35)</f>
        <v>0</v>
      </c>
      <c r="H34" s="20"/>
    </row>
    <row r="35" spans="1:15" x14ac:dyDescent="0.3">
      <c r="I35" s="11"/>
    </row>
    <row r="36" spans="1:15" x14ac:dyDescent="0.3">
      <c r="A36" t="s">
        <v>10</v>
      </c>
      <c r="B36" s="22">
        <f>SUM(B3:B33)*1.9835</f>
        <v>1785.15</v>
      </c>
      <c r="C36" s="22">
        <f>SUM(C3:C33)*1.9835</f>
        <v>59.505000000000003</v>
      </c>
      <c r="D36" s="22">
        <f>SUM(D3:D33)*1.9835</f>
        <v>2372.2660000000001</v>
      </c>
      <c r="E36" s="22"/>
      <c r="F36" s="22"/>
      <c r="G36" s="22"/>
      <c r="I36" s="21"/>
    </row>
    <row r="38" spans="1:15" x14ac:dyDescent="0.3">
      <c r="A38" t="s">
        <v>24</v>
      </c>
      <c r="B38" s="22">
        <f>SUM(B36+'Mar 2021'!B39)</f>
        <v>13348.955</v>
      </c>
      <c r="C38" s="22">
        <f>SUM(C36+'Mar 2021'!C39)</f>
        <v>6555.4674999999997</v>
      </c>
      <c r="D38" s="22">
        <f>SUM(D36+'Mar 2021'!D39)</f>
        <v>14457.7315</v>
      </c>
      <c r="E38" s="22"/>
      <c r="F38" s="22"/>
      <c r="G38" s="22"/>
      <c r="I38" s="21"/>
    </row>
    <row r="39" spans="1:15" x14ac:dyDescent="0.3">
      <c r="B39" s="22"/>
      <c r="C39" s="22"/>
      <c r="D39" s="23"/>
      <c r="E39" s="22"/>
      <c r="F39" s="22"/>
      <c r="G39" s="22"/>
      <c r="I39" s="21"/>
    </row>
    <row r="40" spans="1:15" ht="17.399999999999999" customHeight="1" x14ac:dyDescent="0.3">
      <c r="A40" s="102"/>
      <c r="B40" s="102"/>
      <c r="C40" s="102"/>
      <c r="D40" s="102"/>
      <c r="E40" s="102"/>
      <c r="F40" s="103"/>
      <c r="G40" s="104" t="s">
        <v>12</v>
      </c>
      <c r="H40" s="105"/>
      <c r="I40" s="27"/>
      <c r="J40" s="27"/>
      <c r="K40" s="27"/>
      <c r="L40" s="27"/>
      <c r="M40" s="27"/>
      <c r="N40" s="28"/>
      <c r="O40" s="27"/>
    </row>
    <row r="41" spans="1:15" ht="16.95" customHeight="1" x14ac:dyDescent="0.3">
      <c r="A41" s="26"/>
      <c r="B41" s="26"/>
      <c r="C41" s="26"/>
      <c r="D41" s="26"/>
      <c r="E41" s="26"/>
      <c r="F41" s="26"/>
      <c r="G41" s="104"/>
      <c r="H41" s="105"/>
      <c r="I41" s="27"/>
      <c r="J41" s="27"/>
      <c r="K41" s="27"/>
      <c r="L41" s="27"/>
      <c r="M41" s="27"/>
      <c r="N41" s="28"/>
      <c r="O41" s="27"/>
    </row>
    <row r="42" spans="1:15" ht="13.95" customHeight="1" x14ac:dyDescent="0.3">
      <c r="A42" s="107" t="s">
        <v>23</v>
      </c>
      <c r="B42" s="107"/>
      <c r="C42" s="107"/>
      <c r="D42" s="107"/>
      <c r="E42" s="107"/>
      <c r="F42" s="107"/>
      <c r="G42" s="107"/>
      <c r="H42" s="107"/>
      <c r="I42" s="107"/>
      <c r="J42" s="107"/>
      <c r="K42" s="29"/>
      <c r="L42" s="29"/>
      <c r="M42" s="29"/>
      <c r="N42" s="30"/>
      <c r="O42" s="31"/>
    </row>
    <row r="43" spans="1:15" ht="15.6" customHeight="1" x14ac:dyDescent="0.3">
      <c r="A43" s="39" t="s">
        <v>17</v>
      </c>
      <c r="B43" s="33"/>
      <c r="C43" s="34"/>
      <c r="D43" s="34"/>
      <c r="E43" s="35"/>
      <c r="F43" s="36"/>
      <c r="G43" s="37"/>
      <c r="H43" s="38"/>
      <c r="I43" s="31"/>
      <c r="J43" s="31"/>
      <c r="K43" s="31"/>
      <c r="L43" s="31"/>
      <c r="M43" s="31"/>
      <c r="N43" s="30"/>
    </row>
    <row r="44" spans="1:15" x14ac:dyDescent="0.3">
      <c r="A44" s="32"/>
      <c r="B44" s="33"/>
      <c r="C44" s="34"/>
      <c r="D44" s="34"/>
      <c r="E44" s="40"/>
      <c r="F44" s="36">
        <f>SUM(24-D44)</f>
        <v>24</v>
      </c>
      <c r="G44" s="37">
        <f>SUM(C44+E44)</f>
        <v>0</v>
      </c>
      <c r="H44" s="38">
        <f>SUM(C44/24*D44+G44/24*F44)</f>
        <v>0</v>
      </c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1"/>
      <c r="N48" s="30"/>
    </row>
    <row r="49" spans="1:15" ht="13.2" customHeight="1" x14ac:dyDescent="0.3">
      <c r="A49" s="41"/>
      <c r="B49" s="42"/>
      <c r="C49" s="42"/>
      <c r="D49" s="42"/>
      <c r="E49" s="42"/>
      <c r="F49" s="42"/>
      <c r="G49" s="43"/>
      <c r="H49" s="31"/>
      <c r="I49" s="31"/>
      <c r="J49" s="31"/>
      <c r="K49" s="31"/>
      <c r="L49" s="31"/>
      <c r="M49" s="31"/>
      <c r="N49" s="30"/>
      <c r="O49" s="31"/>
    </row>
    <row r="50" spans="1:15" ht="15" thickBot="1" x14ac:dyDescent="0.35">
      <c r="A50" s="44" t="s">
        <v>18</v>
      </c>
      <c r="B50" s="44"/>
      <c r="C50" s="44"/>
      <c r="D50" s="44"/>
      <c r="E50" s="45"/>
      <c r="F50" s="46"/>
      <c r="G50" s="43"/>
      <c r="H50" s="31"/>
      <c r="I50" s="31"/>
      <c r="J50" s="31"/>
      <c r="K50" s="31"/>
      <c r="L50" s="31"/>
      <c r="M50" s="31"/>
      <c r="N50" s="30"/>
      <c r="O50" s="31"/>
    </row>
    <row r="51" spans="1:15" ht="25.8" x14ac:dyDescent="0.3">
      <c r="A51" s="47" t="s">
        <v>19</v>
      </c>
      <c r="B51" s="48" t="s">
        <v>13</v>
      </c>
      <c r="C51" s="49" t="s">
        <v>14</v>
      </c>
      <c r="D51" s="49" t="s">
        <v>15</v>
      </c>
      <c r="E51" s="50" t="s">
        <v>16</v>
      </c>
      <c r="F51" s="51" t="s">
        <v>20</v>
      </c>
      <c r="G51" s="52"/>
      <c r="H51" s="53"/>
      <c r="I51" s="54"/>
      <c r="J51" s="54"/>
    </row>
    <row r="52" spans="1:15" ht="15.6" x14ac:dyDescent="0.3">
      <c r="A52" s="55"/>
      <c r="B52" s="56"/>
      <c r="C52" s="57"/>
      <c r="D52" s="58"/>
      <c r="E52" s="59"/>
      <c r="F52" s="60">
        <f>SUM(C52/24*D52)</f>
        <v>0</v>
      </c>
      <c r="G52" s="61"/>
      <c r="H52" s="62"/>
      <c r="I52" s="63"/>
      <c r="J52" s="63"/>
    </row>
    <row r="53" spans="1:15" x14ac:dyDescent="0.3">
      <c r="A53" s="64"/>
      <c r="B53" s="65"/>
      <c r="C53" s="66"/>
      <c r="D53" s="58"/>
      <c r="E53" s="67"/>
      <c r="F53" s="68">
        <f>SUM(C53/24*D53)</f>
        <v>0</v>
      </c>
      <c r="G53" s="61"/>
      <c r="H53" s="62"/>
    </row>
    <row r="54" spans="1:15" x14ac:dyDescent="0.3">
      <c r="A54" s="64"/>
      <c r="B54" s="65"/>
      <c r="C54" s="66"/>
      <c r="D54" s="58"/>
      <c r="E54" s="69"/>
      <c r="F54" s="68">
        <f>SUM(C54/24*D54)</f>
        <v>0</v>
      </c>
      <c r="G54" s="61"/>
      <c r="H54" s="62"/>
    </row>
    <row r="55" spans="1:15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5" ht="15" thickBot="1" x14ac:dyDescent="0.35">
      <c r="A56" s="70"/>
      <c r="B56" s="71"/>
      <c r="C56" s="72"/>
      <c r="D56" s="73"/>
      <c r="E56" s="72"/>
      <c r="F56" s="74">
        <f>SUM(C56/24*D56)</f>
        <v>0</v>
      </c>
      <c r="G56" s="61"/>
      <c r="H56" s="62"/>
      <c r="I56" s="75"/>
      <c r="J56" s="75"/>
    </row>
    <row r="57" spans="1:15" s="81" customFormat="1" ht="30" customHeight="1" x14ac:dyDescent="0.3">
      <c r="A57" s="108" t="s">
        <v>21</v>
      </c>
      <c r="B57" s="109"/>
      <c r="C57" s="110"/>
      <c r="D57" s="76">
        <f>SUM(D52:D56)</f>
        <v>0</v>
      </c>
      <c r="E57" s="77" t="s">
        <v>22</v>
      </c>
      <c r="F57" s="78">
        <f>SUM(F52:F56)</f>
        <v>0</v>
      </c>
      <c r="G57" s="79"/>
      <c r="H57" s="80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44256</v>
      </c>
      <c r="B3" s="92">
        <v>0</v>
      </c>
      <c r="C3" s="92">
        <v>15</v>
      </c>
      <c r="D3" s="92">
        <v>0</v>
      </c>
      <c r="E3" s="92">
        <v>0</v>
      </c>
      <c r="F3" s="92">
        <v>0</v>
      </c>
      <c r="G3" s="92">
        <v>0</v>
      </c>
      <c r="H3" s="93">
        <v>4033.95</v>
      </c>
      <c r="I3" s="96"/>
    </row>
    <row r="4" spans="1:9" x14ac:dyDescent="0.3">
      <c r="A4" s="12">
        <f>A3+1</f>
        <v>44257</v>
      </c>
      <c r="B4" s="92">
        <v>0</v>
      </c>
      <c r="C4" s="92">
        <v>15</v>
      </c>
      <c r="D4" s="92">
        <v>0</v>
      </c>
      <c r="E4" s="92">
        <v>0</v>
      </c>
      <c r="F4" s="92">
        <v>0</v>
      </c>
      <c r="G4" s="92">
        <v>0</v>
      </c>
      <c r="H4" s="93">
        <v>4033.95</v>
      </c>
      <c r="I4" s="96"/>
    </row>
    <row r="5" spans="1:9" x14ac:dyDescent="0.3">
      <c r="A5" s="12">
        <f t="shared" ref="A5:A33" si="0">A4+1</f>
        <v>44258</v>
      </c>
      <c r="B5" s="92">
        <v>0</v>
      </c>
      <c r="C5" s="92">
        <v>15</v>
      </c>
      <c r="D5" s="92">
        <v>0</v>
      </c>
      <c r="E5" s="92">
        <v>0</v>
      </c>
      <c r="F5" s="92">
        <v>0</v>
      </c>
      <c r="G5" s="92">
        <v>0</v>
      </c>
      <c r="H5" s="93">
        <v>4033.95</v>
      </c>
      <c r="I5" s="96"/>
    </row>
    <row r="6" spans="1:9" x14ac:dyDescent="0.3">
      <c r="A6" s="12">
        <f t="shared" si="0"/>
        <v>44259</v>
      </c>
      <c r="B6" s="92">
        <v>0</v>
      </c>
      <c r="C6" s="92">
        <v>15</v>
      </c>
      <c r="D6" s="92">
        <v>0</v>
      </c>
      <c r="E6" s="92">
        <v>0</v>
      </c>
      <c r="F6" s="92">
        <v>0</v>
      </c>
      <c r="G6" s="92">
        <v>0</v>
      </c>
      <c r="H6" s="93">
        <v>4033.95</v>
      </c>
      <c r="I6" s="96"/>
    </row>
    <row r="7" spans="1:9" x14ac:dyDescent="0.3">
      <c r="A7" s="12">
        <f t="shared" si="0"/>
        <v>44260</v>
      </c>
      <c r="B7" s="92">
        <v>31</v>
      </c>
      <c r="C7" s="92">
        <v>15</v>
      </c>
      <c r="D7" s="92">
        <v>0</v>
      </c>
      <c r="E7" s="92">
        <v>0</v>
      </c>
      <c r="F7" s="92">
        <v>0</v>
      </c>
      <c r="G7" s="92">
        <v>0</v>
      </c>
      <c r="H7" s="93">
        <v>4033.95</v>
      </c>
      <c r="I7" s="96" t="s">
        <v>52</v>
      </c>
    </row>
    <row r="8" spans="1:9" x14ac:dyDescent="0.3">
      <c r="A8" s="12">
        <f t="shared" si="0"/>
        <v>44261</v>
      </c>
      <c r="B8" s="92">
        <v>43</v>
      </c>
      <c r="C8" s="92">
        <v>55</v>
      </c>
      <c r="D8" s="92">
        <v>0</v>
      </c>
      <c r="E8" s="92">
        <v>0.05</v>
      </c>
      <c r="F8" s="92">
        <v>0.1</v>
      </c>
      <c r="G8" s="92">
        <v>0</v>
      </c>
      <c r="H8" s="93">
        <v>4033.95</v>
      </c>
      <c r="I8" s="96" t="s">
        <v>53</v>
      </c>
    </row>
    <row r="9" spans="1:9" x14ac:dyDescent="0.3">
      <c r="A9" s="101">
        <v>44262</v>
      </c>
      <c r="B9" s="92">
        <v>30</v>
      </c>
      <c r="C9" s="92">
        <v>55</v>
      </c>
      <c r="D9" s="92">
        <v>0</v>
      </c>
      <c r="E9" s="92">
        <v>0</v>
      </c>
      <c r="F9" s="92">
        <v>0</v>
      </c>
      <c r="G9" s="92">
        <v>0</v>
      </c>
      <c r="H9" s="93">
        <v>4033.95</v>
      </c>
      <c r="I9" s="96"/>
    </row>
    <row r="10" spans="1:9" x14ac:dyDescent="0.3">
      <c r="A10" s="101">
        <v>44263</v>
      </c>
      <c r="B10" s="92">
        <v>30</v>
      </c>
      <c r="C10" s="92">
        <v>42</v>
      </c>
      <c r="D10" s="92">
        <v>0</v>
      </c>
      <c r="E10" s="92">
        <v>0</v>
      </c>
      <c r="F10" s="92">
        <v>0</v>
      </c>
      <c r="G10" s="92">
        <v>0</v>
      </c>
      <c r="H10" s="93">
        <v>4033.96</v>
      </c>
      <c r="I10" s="96"/>
    </row>
    <row r="11" spans="1:9" x14ac:dyDescent="0.3">
      <c r="A11" s="101">
        <v>44264</v>
      </c>
      <c r="B11" s="92">
        <v>30</v>
      </c>
      <c r="C11" s="92">
        <v>40</v>
      </c>
      <c r="D11" s="92">
        <v>0</v>
      </c>
      <c r="E11" s="92">
        <v>0</v>
      </c>
      <c r="F11" s="92">
        <v>0</v>
      </c>
      <c r="G11" s="92">
        <v>0</v>
      </c>
      <c r="H11" s="93">
        <v>4033.96</v>
      </c>
      <c r="I11" s="96"/>
    </row>
    <row r="12" spans="1:9" x14ac:dyDescent="0.3">
      <c r="A12" s="101">
        <v>44265</v>
      </c>
      <c r="B12" s="92">
        <v>30</v>
      </c>
      <c r="C12" s="92">
        <v>45</v>
      </c>
      <c r="D12" s="92">
        <v>0</v>
      </c>
      <c r="E12" s="92">
        <v>0.05</v>
      </c>
      <c r="F12" s="92">
        <v>0</v>
      </c>
      <c r="G12" s="92">
        <v>0</v>
      </c>
      <c r="H12" s="93">
        <v>4033.99</v>
      </c>
      <c r="I12" s="96"/>
    </row>
    <row r="13" spans="1:9" x14ac:dyDescent="0.3">
      <c r="A13" s="101">
        <v>44266</v>
      </c>
      <c r="B13" s="92">
        <v>30</v>
      </c>
      <c r="C13" s="92">
        <v>50</v>
      </c>
      <c r="D13" s="92">
        <v>0</v>
      </c>
      <c r="E13" s="92" t="s">
        <v>35</v>
      </c>
      <c r="F13" s="92">
        <v>0</v>
      </c>
      <c r="G13" s="92">
        <v>0</v>
      </c>
      <c r="H13" s="93">
        <v>4034.02</v>
      </c>
      <c r="I13" s="91"/>
    </row>
    <row r="14" spans="1:9" x14ac:dyDescent="0.3">
      <c r="A14" s="101">
        <v>44267</v>
      </c>
      <c r="B14" s="92">
        <v>30</v>
      </c>
      <c r="C14" s="92">
        <v>48</v>
      </c>
      <c r="D14" s="92">
        <v>0</v>
      </c>
      <c r="E14" s="92">
        <v>0</v>
      </c>
      <c r="F14" s="92">
        <v>0</v>
      </c>
      <c r="G14" s="92">
        <v>0</v>
      </c>
      <c r="H14" s="93">
        <v>4034.04</v>
      </c>
      <c r="I14" s="91"/>
    </row>
    <row r="15" spans="1:9" x14ac:dyDescent="0.3">
      <c r="A15" s="101">
        <v>44268</v>
      </c>
      <c r="B15" s="92">
        <v>30</v>
      </c>
      <c r="C15" s="92">
        <v>45</v>
      </c>
      <c r="D15" s="92">
        <v>0</v>
      </c>
      <c r="E15" s="92">
        <v>0</v>
      </c>
      <c r="F15" s="92">
        <v>0</v>
      </c>
      <c r="G15" s="92">
        <v>0</v>
      </c>
      <c r="H15" s="93">
        <v>4034.06</v>
      </c>
      <c r="I15" s="91"/>
    </row>
    <row r="16" spans="1:9" x14ac:dyDescent="0.3">
      <c r="A16" s="101">
        <v>44269</v>
      </c>
      <c r="B16" s="92">
        <v>30</v>
      </c>
      <c r="C16" s="92">
        <v>45</v>
      </c>
      <c r="D16" s="92">
        <v>0</v>
      </c>
      <c r="E16" s="92">
        <v>0</v>
      </c>
      <c r="F16" s="92">
        <v>0</v>
      </c>
      <c r="G16" s="92">
        <v>0</v>
      </c>
      <c r="H16" s="93">
        <v>4034.08</v>
      </c>
      <c r="I16" s="96"/>
    </row>
    <row r="17" spans="1:9" x14ac:dyDescent="0.3">
      <c r="A17" s="12">
        <f t="shared" si="0"/>
        <v>44270</v>
      </c>
      <c r="B17" s="92">
        <v>30</v>
      </c>
      <c r="C17" s="92">
        <v>45</v>
      </c>
      <c r="D17" s="92">
        <v>0</v>
      </c>
      <c r="E17" s="92">
        <v>0.22</v>
      </c>
      <c r="F17" s="92">
        <v>3</v>
      </c>
      <c r="G17" s="92">
        <v>0</v>
      </c>
      <c r="H17" s="93">
        <v>4034.08</v>
      </c>
      <c r="I17" s="96"/>
    </row>
    <row r="18" spans="1:9" x14ac:dyDescent="0.3">
      <c r="A18" s="12">
        <f t="shared" si="0"/>
        <v>44271</v>
      </c>
      <c r="B18" s="92">
        <v>30</v>
      </c>
      <c r="C18" s="92">
        <v>45</v>
      </c>
      <c r="D18" s="92">
        <v>0</v>
      </c>
      <c r="E18" s="92">
        <v>0</v>
      </c>
      <c r="F18" s="92">
        <v>0</v>
      </c>
      <c r="G18" s="92">
        <v>0</v>
      </c>
      <c r="H18" s="93">
        <v>4034.08</v>
      </c>
      <c r="I18" s="96"/>
    </row>
    <row r="19" spans="1:9" x14ac:dyDescent="0.3">
      <c r="A19" s="12">
        <f t="shared" si="0"/>
        <v>44272</v>
      </c>
      <c r="B19" s="92">
        <v>35</v>
      </c>
      <c r="C19" s="92">
        <v>45</v>
      </c>
      <c r="D19" s="92">
        <v>0</v>
      </c>
      <c r="E19" s="92">
        <v>0</v>
      </c>
      <c r="F19" s="92">
        <v>0</v>
      </c>
      <c r="G19" s="92">
        <v>0</v>
      </c>
      <c r="H19" s="93">
        <v>4034.08</v>
      </c>
      <c r="I19" s="96" t="s">
        <v>54</v>
      </c>
    </row>
    <row r="20" spans="1:9" x14ac:dyDescent="0.3">
      <c r="A20" s="12">
        <f t="shared" si="0"/>
        <v>44273</v>
      </c>
      <c r="B20" s="92">
        <v>40</v>
      </c>
      <c r="C20" s="92">
        <v>45</v>
      </c>
      <c r="D20" s="92">
        <v>0</v>
      </c>
      <c r="E20" s="92">
        <v>0</v>
      </c>
      <c r="F20" s="92">
        <v>0</v>
      </c>
      <c r="G20" s="92">
        <v>0</v>
      </c>
      <c r="H20" s="93">
        <v>4034.08</v>
      </c>
      <c r="I20" s="96"/>
    </row>
    <row r="21" spans="1:9" x14ac:dyDescent="0.3">
      <c r="A21" s="12">
        <f t="shared" si="0"/>
        <v>44274</v>
      </c>
      <c r="B21" s="92">
        <v>40</v>
      </c>
      <c r="C21" s="92">
        <v>48</v>
      </c>
      <c r="D21" s="92">
        <v>0</v>
      </c>
      <c r="E21" s="92">
        <v>0.02</v>
      </c>
      <c r="F21" s="92">
        <v>0</v>
      </c>
      <c r="G21" s="92">
        <v>0</v>
      </c>
      <c r="H21" s="93">
        <v>4034.08</v>
      </c>
      <c r="I21" s="96"/>
    </row>
    <row r="22" spans="1:9" x14ac:dyDescent="0.3">
      <c r="A22" s="12">
        <f t="shared" si="0"/>
        <v>44275</v>
      </c>
      <c r="B22" s="92">
        <v>40</v>
      </c>
      <c r="C22" s="92">
        <v>55</v>
      </c>
      <c r="D22" s="92">
        <v>0</v>
      </c>
      <c r="E22" s="92">
        <v>0</v>
      </c>
      <c r="F22" s="92">
        <v>0</v>
      </c>
      <c r="G22" s="92">
        <v>0</v>
      </c>
      <c r="H22" s="93">
        <v>4034.08</v>
      </c>
      <c r="I22" s="96"/>
    </row>
    <row r="23" spans="1:9" x14ac:dyDescent="0.3">
      <c r="A23" s="12">
        <f t="shared" si="0"/>
        <v>44276</v>
      </c>
      <c r="B23" s="92">
        <v>40</v>
      </c>
      <c r="C23" s="92">
        <v>55</v>
      </c>
      <c r="D23" s="92">
        <v>0</v>
      </c>
      <c r="E23" s="92">
        <v>0</v>
      </c>
      <c r="F23" s="92">
        <v>0</v>
      </c>
      <c r="G23" s="92">
        <v>0</v>
      </c>
      <c r="H23" s="93">
        <v>4034.08</v>
      </c>
      <c r="I23" s="96"/>
    </row>
    <row r="24" spans="1:9" x14ac:dyDescent="0.3">
      <c r="A24" s="12">
        <f t="shared" si="0"/>
        <v>44277</v>
      </c>
      <c r="B24" s="92">
        <v>40</v>
      </c>
      <c r="C24" s="92">
        <v>55</v>
      </c>
      <c r="D24" s="92">
        <v>0</v>
      </c>
      <c r="E24" s="92">
        <v>0.03</v>
      </c>
      <c r="F24" s="92">
        <v>0</v>
      </c>
      <c r="G24" s="92">
        <v>0</v>
      </c>
      <c r="H24" s="93">
        <v>4034.08</v>
      </c>
      <c r="I24" s="91"/>
    </row>
    <row r="25" spans="1:9" x14ac:dyDescent="0.3">
      <c r="A25" s="12">
        <f t="shared" si="0"/>
        <v>44278</v>
      </c>
      <c r="B25" s="92">
        <v>40</v>
      </c>
      <c r="C25" s="92">
        <v>55</v>
      </c>
      <c r="D25" s="92">
        <v>0</v>
      </c>
      <c r="E25" s="92" t="s">
        <v>35</v>
      </c>
      <c r="F25" s="92">
        <v>0</v>
      </c>
      <c r="G25" s="92">
        <v>0</v>
      </c>
      <c r="H25" s="93">
        <v>4034.09</v>
      </c>
      <c r="I25" s="91"/>
    </row>
    <row r="26" spans="1:9" x14ac:dyDescent="0.3">
      <c r="A26" s="12">
        <f t="shared" si="0"/>
        <v>44279</v>
      </c>
      <c r="B26" s="92">
        <v>40</v>
      </c>
      <c r="C26" s="92">
        <v>53</v>
      </c>
      <c r="D26" s="92">
        <v>0</v>
      </c>
      <c r="E26" s="92">
        <v>0</v>
      </c>
      <c r="F26" s="92">
        <v>0</v>
      </c>
      <c r="G26" s="92">
        <v>0</v>
      </c>
      <c r="H26" s="93">
        <v>4034.1</v>
      </c>
      <c r="I26" s="91"/>
    </row>
    <row r="27" spans="1:9" x14ac:dyDescent="0.3">
      <c r="A27" s="12">
        <f t="shared" si="0"/>
        <v>44280</v>
      </c>
      <c r="B27" s="92">
        <v>40</v>
      </c>
      <c r="C27" s="92">
        <v>50</v>
      </c>
      <c r="D27" s="92">
        <v>0</v>
      </c>
      <c r="E27" s="92" t="s">
        <v>35</v>
      </c>
      <c r="F27" s="92">
        <v>0</v>
      </c>
      <c r="G27" s="92">
        <v>0</v>
      </c>
      <c r="H27" s="93">
        <v>4034.1</v>
      </c>
    </row>
    <row r="28" spans="1:9" x14ac:dyDescent="0.3">
      <c r="A28" s="12">
        <f t="shared" si="0"/>
        <v>44281</v>
      </c>
      <c r="B28" s="92">
        <v>40</v>
      </c>
      <c r="C28" s="92">
        <v>50</v>
      </c>
      <c r="D28" s="92">
        <v>0</v>
      </c>
      <c r="E28" s="92">
        <v>0</v>
      </c>
      <c r="F28" s="92">
        <v>0</v>
      </c>
      <c r="G28" s="92">
        <v>0</v>
      </c>
      <c r="H28" s="93">
        <v>4034.11</v>
      </c>
    </row>
    <row r="29" spans="1:9" x14ac:dyDescent="0.3">
      <c r="A29" s="12">
        <f t="shared" si="0"/>
        <v>44282</v>
      </c>
      <c r="B29" s="92">
        <v>40</v>
      </c>
      <c r="C29" s="92">
        <v>50</v>
      </c>
      <c r="D29" s="92">
        <v>0</v>
      </c>
      <c r="E29" s="92" t="s">
        <v>35</v>
      </c>
      <c r="F29" s="92">
        <v>0</v>
      </c>
      <c r="G29" s="92">
        <v>0</v>
      </c>
      <c r="H29" s="93">
        <v>4034.12</v>
      </c>
    </row>
    <row r="30" spans="1:9" x14ac:dyDescent="0.3">
      <c r="A30" s="12">
        <f t="shared" si="0"/>
        <v>44283</v>
      </c>
      <c r="B30" s="92">
        <v>40</v>
      </c>
      <c r="C30" s="92">
        <v>45</v>
      </c>
      <c r="D30" s="92">
        <v>0</v>
      </c>
      <c r="E30" s="92">
        <v>0</v>
      </c>
      <c r="F30" s="92">
        <v>0</v>
      </c>
      <c r="G30" s="92">
        <v>0</v>
      </c>
      <c r="H30" s="93">
        <v>4034.12</v>
      </c>
    </row>
    <row r="31" spans="1:9" x14ac:dyDescent="0.3">
      <c r="A31" s="12">
        <f t="shared" si="0"/>
        <v>44284</v>
      </c>
      <c r="B31" s="92">
        <v>40</v>
      </c>
      <c r="C31" s="92">
        <v>40</v>
      </c>
      <c r="D31" s="92">
        <v>0</v>
      </c>
      <c r="E31" s="92">
        <v>0</v>
      </c>
      <c r="F31" s="92">
        <v>0</v>
      </c>
      <c r="G31" s="92">
        <v>0</v>
      </c>
      <c r="H31" s="93">
        <v>4034.1</v>
      </c>
    </row>
    <row r="32" spans="1:9" x14ac:dyDescent="0.3">
      <c r="A32" s="12">
        <f t="shared" si="0"/>
        <v>44285</v>
      </c>
      <c r="B32" s="92">
        <v>40</v>
      </c>
      <c r="C32" s="92">
        <v>40</v>
      </c>
      <c r="D32" s="92">
        <v>0</v>
      </c>
      <c r="E32" s="92">
        <v>0</v>
      </c>
      <c r="F32" s="92">
        <v>0</v>
      </c>
      <c r="G32" s="92">
        <v>0</v>
      </c>
      <c r="H32" s="93">
        <v>4034.1</v>
      </c>
    </row>
    <row r="33" spans="1:15" ht="15" thickBot="1" x14ac:dyDescent="0.35">
      <c r="A33" s="12">
        <f t="shared" si="0"/>
        <v>44286</v>
      </c>
      <c r="B33" s="92">
        <v>40</v>
      </c>
      <c r="C33" s="92">
        <v>40</v>
      </c>
      <c r="D33" s="92">
        <v>0</v>
      </c>
      <c r="E33" s="92">
        <v>0</v>
      </c>
      <c r="F33" s="92">
        <v>0</v>
      </c>
      <c r="G33" s="92">
        <v>0</v>
      </c>
      <c r="H33" s="93">
        <v>4034.1</v>
      </c>
    </row>
    <row r="34" spans="1:15" s="11" customFormat="1" ht="15" thickTop="1" x14ac:dyDescent="0.3">
      <c r="A34" s="15" t="s">
        <v>8</v>
      </c>
      <c r="B34" s="16">
        <f t="shared" ref="B34:G34" si="1">SUM(B3:B33)</f>
        <v>969</v>
      </c>
      <c r="C34" s="16">
        <f t="shared" si="1"/>
        <v>1316</v>
      </c>
      <c r="D34" s="16">
        <f t="shared" si="1"/>
        <v>0</v>
      </c>
      <c r="E34" s="17">
        <f t="shared" si="1"/>
        <v>0.37</v>
      </c>
      <c r="F34" s="17">
        <f t="shared" si="1"/>
        <v>3.1</v>
      </c>
      <c r="G34" s="16">
        <f t="shared" si="1"/>
        <v>0</v>
      </c>
      <c r="H34" s="17"/>
    </row>
    <row r="35" spans="1:15" s="11" customFormat="1" x14ac:dyDescent="0.3">
      <c r="A35" s="18" t="s">
        <v>9</v>
      </c>
      <c r="B35" s="19">
        <f>SUM(B34+'Feb 2021'!B33)</f>
        <v>5830</v>
      </c>
      <c r="C35" s="19">
        <f>SUM(C34+'Feb 2021'!C33)</f>
        <v>3275</v>
      </c>
      <c r="D35" s="19">
        <f>SUM(D34+'Feb 2021'!D33)</f>
        <v>6093</v>
      </c>
      <c r="E35" s="20">
        <f>SUM(E34+'Feb 2021'!E33)</f>
        <v>3.14</v>
      </c>
      <c r="F35" s="20">
        <f>SUM(F34+'Feb 2021'!F33)</f>
        <v>10.4</v>
      </c>
      <c r="G35" s="19">
        <f>SUM(G34+'Feb 2021'!G33)</f>
        <v>0</v>
      </c>
      <c r="H35" s="20"/>
    </row>
    <row r="37" spans="1:15" x14ac:dyDescent="0.3">
      <c r="A37" t="s">
        <v>10</v>
      </c>
      <c r="B37" s="22">
        <f>SUM(B3:B33)*1.9835</f>
        <v>1922.0115000000001</v>
      </c>
      <c r="C37" s="22">
        <f>SUM(C3:C33)*1.9835</f>
        <v>2610.2860000000001</v>
      </c>
      <c r="D37" s="22">
        <f>SUM(D3:D33)*1.9835</f>
        <v>0</v>
      </c>
      <c r="E37" s="22"/>
      <c r="F37" s="22"/>
      <c r="G37" s="22"/>
      <c r="I37" s="21"/>
    </row>
    <row r="39" spans="1:15" x14ac:dyDescent="0.3">
      <c r="A39" t="s">
        <v>24</v>
      </c>
      <c r="B39" s="22">
        <f>SUM(B37+'Feb 2021'!B37)</f>
        <v>11563.805</v>
      </c>
      <c r="C39" s="22">
        <f>SUM(C37+'Feb 2021'!C37)</f>
        <v>6495.9624999999996</v>
      </c>
      <c r="D39" s="22">
        <f>SUM(D37+'Feb 2021'!D37)</f>
        <v>12085.4655</v>
      </c>
      <c r="E39" s="22"/>
      <c r="F39" s="22"/>
      <c r="G39" s="22"/>
      <c r="I39" s="21"/>
    </row>
    <row r="40" spans="1:15" x14ac:dyDescent="0.3">
      <c r="B40" s="22"/>
      <c r="C40" s="22"/>
      <c r="D40" s="23"/>
      <c r="E40" s="22"/>
      <c r="F40" s="22"/>
      <c r="G40" s="22"/>
      <c r="I40" s="21"/>
    </row>
    <row r="41" spans="1:15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  <c r="K41" s="27"/>
      <c r="L41" s="27"/>
      <c r="M41" s="27"/>
      <c r="N41" s="28"/>
      <c r="O41" s="27"/>
    </row>
    <row r="42" spans="1:15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7"/>
      <c r="N42" s="28"/>
      <c r="O42" s="27"/>
    </row>
    <row r="43" spans="1:15" ht="13.95" customHeight="1" x14ac:dyDescent="0.3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29"/>
      <c r="L43" s="29"/>
      <c r="M43" s="29"/>
      <c r="N43" s="30"/>
      <c r="O43" s="31"/>
    </row>
    <row r="44" spans="1:15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1"/>
      <c r="N48" s="30"/>
    </row>
    <row r="49" spans="1:15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1"/>
      <c r="N49" s="30"/>
    </row>
    <row r="50" spans="1:15" ht="13.2" customHeight="1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1"/>
      <c r="N50" s="30"/>
      <c r="O50" s="31"/>
    </row>
    <row r="51" spans="1:15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1"/>
      <c r="N51" s="30"/>
      <c r="O51" s="31"/>
    </row>
    <row r="52" spans="1:15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  <c r="J52" s="54"/>
    </row>
    <row r="53" spans="1:15" ht="15.6" x14ac:dyDescent="0.3">
      <c r="A53" s="55"/>
      <c r="B53" s="56"/>
      <c r="C53" s="57"/>
      <c r="D53" s="58"/>
      <c r="E53" s="59"/>
      <c r="F53" s="60">
        <f>SUM(C53/24*D53)</f>
        <v>0</v>
      </c>
      <c r="G53" s="61"/>
      <c r="H53" s="62"/>
      <c r="I53" s="63"/>
      <c r="J53" s="63"/>
    </row>
    <row r="54" spans="1:15" x14ac:dyDescent="0.3">
      <c r="A54" s="64"/>
      <c r="B54" s="65"/>
      <c r="C54" s="66"/>
      <c r="D54" s="58"/>
      <c r="E54" s="67"/>
      <c r="F54" s="68">
        <f>SUM(C54/24*D54)</f>
        <v>0</v>
      </c>
      <c r="G54" s="61"/>
      <c r="H54" s="62"/>
    </row>
    <row r="55" spans="1:15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5" x14ac:dyDescent="0.3">
      <c r="A56" s="64"/>
      <c r="B56" s="65"/>
      <c r="C56" s="66"/>
      <c r="D56" s="58"/>
      <c r="E56" s="69"/>
      <c r="F56" s="68">
        <f>SUM(C56/24*D56)</f>
        <v>0</v>
      </c>
      <c r="G56" s="61"/>
      <c r="H56" s="62"/>
    </row>
    <row r="57" spans="1:15" ht="15" thickBot="1" x14ac:dyDescent="0.35">
      <c r="A57" s="70"/>
      <c r="B57" s="71"/>
      <c r="C57" s="72"/>
      <c r="D57" s="73"/>
      <c r="E57" s="72"/>
      <c r="F57" s="74">
        <f>SUM(C57/24*D57)</f>
        <v>0</v>
      </c>
      <c r="G57" s="61"/>
      <c r="H57" s="62"/>
      <c r="I57" s="75"/>
      <c r="J57" s="75"/>
    </row>
    <row r="58" spans="1:15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44228</v>
      </c>
      <c r="B3" s="92">
        <v>0</v>
      </c>
      <c r="C3" s="92">
        <v>15</v>
      </c>
      <c r="D3" s="92">
        <v>0</v>
      </c>
      <c r="E3" s="92">
        <v>0</v>
      </c>
      <c r="F3" s="92">
        <v>0</v>
      </c>
      <c r="G3" s="92">
        <v>0</v>
      </c>
      <c r="H3" s="93">
        <v>4033.78</v>
      </c>
    </row>
    <row r="4" spans="1:9" x14ac:dyDescent="0.3">
      <c r="A4" s="12">
        <f>A3+1</f>
        <v>44229</v>
      </c>
      <c r="B4" s="92">
        <v>0</v>
      </c>
      <c r="C4" s="92">
        <v>15</v>
      </c>
      <c r="D4" s="92">
        <v>0</v>
      </c>
      <c r="E4" s="92">
        <v>0.01</v>
      </c>
      <c r="F4" s="92">
        <v>0</v>
      </c>
      <c r="G4" s="92">
        <v>0</v>
      </c>
      <c r="H4" s="93">
        <v>4033.78</v>
      </c>
    </row>
    <row r="5" spans="1:9" x14ac:dyDescent="0.3">
      <c r="A5" s="12">
        <f t="shared" ref="A5:A30" si="0">A4+1</f>
        <v>44230</v>
      </c>
      <c r="B5" s="92">
        <v>0</v>
      </c>
      <c r="C5" s="92">
        <v>15</v>
      </c>
      <c r="D5" s="92">
        <v>0</v>
      </c>
      <c r="E5" s="92">
        <v>0.03</v>
      </c>
      <c r="F5" s="92">
        <v>0</v>
      </c>
      <c r="G5" s="92">
        <v>0</v>
      </c>
      <c r="H5" s="93">
        <v>4033.78</v>
      </c>
    </row>
    <row r="6" spans="1:9" x14ac:dyDescent="0.3">
      <c r="A6" s="12">
        <f t="shared" si="0"/>
        <v>44231</v>
      </c>
      <c r="B6" s="92">
        <v>0</v>
      </c>
      <c r="C6" s="92">
        <v>15</v>
      </c>
      <c r="D6" s="92">
        <v>0</v>
      </c>
      <c r="E6" s="92">
        <v>0.01</v>
      </c>
      <c r="F6" s="92">
        <v>0</v>
      </c>
      <c r="G6" s="92">
        <v>0</v>
      </c>
      <c r="H6" s="93">
        <v>4033.78</v>
      </c>
    </row>
    <row r="7" spans="1:9" x14ac:dyDescent="0.3">
      <c r="A7" s="12">
        <f t="shared" si="0"/>
        <v>44232</v>
      </c>
      <c r="B7" s="92">
        <v>0</v>
      </c>
      <c r="C7" s="92">
        <v>15</v>
      </c>
      <c r="D7" s="92">
        <v>0</v>
      </c>
      <c r="E7" s="92">
        <v>0</v>
      </c>
      <c r="F7" s="92">
        <v>0</v>
      </c>
      <c r="G7" s="92">
        <v>0</v>
      </c>
      <c r="H7" s="93">
        <v>4033.78</v>
      </c>
    </row>
    <row r="8" spans="1:9" x14ac:dyDescent="0.3">
      <c r="A8" s="12">
        <f t="shared" si="0"/>
        <v>44233</v>
      </c>
      <c r="B8" s="92">
        <v>0</v>
      </c>
      <c r="C8" s="92">
        <v>15</v>
      </c>
      <c r="D8" s="92">
        <v>0</v>
      </c>
      <c r="E8" s="92">
        <v>0</v>
      </c>
      <c r="F8" s="92">
        <v>0</v>
      </c>
      <c r="G8" s="92">
        <v>0</v>
      </c>
      <c r="H8" s="93">
        <v>4033.78</v>
      </c>
    </row>
    <row r="9" spans="1:9" x14ac:dyDescent="0.3">
      <c r="A9" s="12">
        <f t="shared" si="0"/>
        <v>44234</v>
      </c>
      <c r="B9" s="92">
        <v>0</v>
      </c>
      <c r="C9" s="92">
        <v>15</v>
      </c>
      <c r="D9" s="92">
        <v>0</v>
      </c>
      <c r="E9" s="92">
        <v>0</v>
      </c>
      <c r="F9" s="92">
        <v>0</v>
      </c>
      <c r="G9" s="92">
        <v>0</v>
      </c>
      <c r="H9" s="93">
        <v>4033.78</v>
      </c>
    </row>
    <row r="10" spans="1:9" x14ac:dyDescent="0.3">
      <c r="A10" s="12">
        <f t="shared" si="0"/>
        <v>44235</v>
      </c>
      <c r="B10" s="92">
        <v>0</v>
      </c>
      <c r="C10" s="92">
        <v>15</v>
      </c>
      <c r="D10" s="92">
        <v>0</v>
      </c>
      <c r="E10" s="92" t="s">
        <v>35</v>
      </c>
      <c r="F10" s="92">
        <v>0</v>
      </c>
      <c r="G10" s="92">
        <v>0</v>
      </c>
      <c r="H10" s="93">
        <v>4033.78</v>
      </c>
    </row>
    <row r="11" spans="1:9" x14ac:dyDescent="0.3">
      <c r="A11" s="12">
        <f t="shared" si="0"/>
        <v>44236</v>
      </c>
      <c r="B11" s="92">
        <v>0</v>
      </c>
      <c r="C11" s="92">
        <v>15</v>
      </c>
      <c r="D11" s="92">
        <v>0</v>
      </c>
      <c r="E11" s="92">
        <v>0</v>
      </c>
      <c r="F11" s="92">
        <v>0</v>
      </c>
      <c r="G11" s="92">
        <v>0</v>
      </c>
      <c r="H11" s="93">
        <v>4033.78</v>
      </c>
    </row>
    <row r="12" spans="1:9" x14ac:dyDescent="0.3">
      <c r="A12" s="12">
        <f t="shared" si="0"/>
        <v>44237</v>
      </c>
      <c r="B12" s="92">
        <v>0</v>
      </c>
      <c r="C12" s="92">
        <v>15</v>
      </c>
      <c r="D12" s="92">
        <v>0</v>
      </c>
      <c r="E12" s="92">
        <v>0</v>
      </c>
      <c r="F12" s="92">
        <v>0</v>
      </c>
      <c r="G12" s="92">
        <v>0</v>
      </c>
      <c r="H12" s="93">
        <v>4033.78</v>
      </c>
    </row>
    <row r="13" spans="1:9" x14ac:dyDescent="0.3">
      <c r="A13" s="12">
        <f t="shared" si="0"/>
        <v>44238</v>
      </c>
      <c r="B13" s="92">
        <v>0</v>
      </c>
      <c r="C13" s="92">
        <v>15</v>
      </c>
      <c r="D13" s="92">
        <v>0</v>
      </c>
      <c r="E13" s="92">
        <v>0.05</v>
      </c>
      <c r="F13" s="92">
        <v>0</v>
      </c>
      <c r="G13" s="92">
        <v>0</v>
      </c>
      <c r="H13" s="93">
        <v>4033.78</v>
      </c>
    </row>
    <row r="14" spans="1:9" x14ac:dyDescent="0.3">
      <c r="A14" s="12">
        <f t="shared" si="0"/>
        <v>44239</v>
      </c>
      <c r="B14" s="92">
        <v>0</v>
      </c>
      <c r="C14" s="92">
        <v>15</v>
      </c>
      <c r="D14" s="92">
        <v>0</v>
      </c>
      <c r="E14" s="92">
        <v>0.01</v>
      </c>
      <c r="F14" s="92">
        <v>0</v>
      </c>
      <c r="G14" s="92">
        <v>0</v>
      </c>
      <c r="H14" s="93">
        <v>4033.78</v>
      </c>
    </row>
    <row r="15" spans="1:9" x14ac:dyDescent="0.3">
      <c r="A15" s="12">
        <f t="shared" si="0"/>
        <v>44240</v>
      </c>
      <c r="B15" s="92">
        <v>0</v>
      </c>
      <c r="C15" s="92">
        <v>15</v>
      </c>
      <c r="D15" s="92">
        <v>0</v>
      </c>
      <c r="E15" s="92">
        <v>0.17</v>
      </c>
      <c r="F15" s="92">
        <v>0</v>
      </c>
      <c r="G15" s="92">
        <v>0</v>
      </c>
      <c r="H15" s="93">
        <v>4033.8</v>
      </c>
    </row>
    <row r="16" spans="1:9" x14ac:dyDescent="0.3">
      <c r="A16" s="12">
        <f t="shared" si="0"/>
        <v>44241</v>
      </c>
      <c r="B16" s="92">
        <v>0</v>
      </c>
      <c r="C16" s="92">
        <v>15</v>
      </c>
      <c r="D16" s="92">
        <v>0</v>
      </c>
      <c r="E16" s="92">
        <v>0.03</v>
      </c>
      <c r="F16" s="92">
        <v>0.1</v>
      </c>
      <c r="G16" s="92">
        <v>0</v>
      </c>
      <c r="H16" s="93">
        <v>4033.8</v>
      </c>
    </row>
    <row r="17" spans="1:9" x14ac:dyDescent="0.3">
      <c r="A17" s="12">
        <f t="shared" si="0"/>
        <v>44242</v>
      </c>
      <c r="B17" s="92">
        <v>0</v>
      </c>
      <c r="C17" s="92">
        <v>15</v>
      </c>
      <c r="D17" s="92">
        <v>0</v>
      </c>
      <c r="E17" s="92">
        <v>0.25</v>
      </c>
      <c r="F17" s="92">
        <v>0.5</v>
      </c>
      <c r="G17" s="92">
        <v>0</v>
      </c>
      <c r="H17" s="93">
        <v>4033.8</v>
      </c>
    </row>
    <row r="18" spans="1:9" x14ac:dyDescent="0.3">
      <c r="A18" s="12">
        <f t="shared" si="0"/>
        <v>44243</v>
      </c>
      <c r="B18" s="92">
        <v>0</v>
      </c>
      <c r="C18" s="92">
        <v>15</v>
      </c>
      <c r="D18" s="92">
        <v>0</v>
      </c>
      <c r="E18" s="92" t="s">
        <v>35</v>
      </c>
      <c r="F18" s="92">
        <v>0</v>
      </c>
      <c r="G18" s="92">
        <v>0</v>
      </c>
      <c r="H18" s="93">
        <v>4033.82</v>
      </c>
    </row>
    <row r="19" spans="1:9" x14ac:dyDescent="0.3">
      <c r="A19" s="12">
        <f t="shared" si="0"/>
        <v>44244</v>
      </c>
      <c r="B19" s="92">
        <v>0</v>
      </c>
      <c r="C19" s="92">
        <v>15</v>
      </c>
      <c r="D19" s="92">
        <v>0</v>
      </c>
      <c r="E19" s="92">
        <v>0</v>
      </c>
      <c r="F19" s="92">
        <v>0</v>
      </c>
      <c r="G19" s="92">
        <v>0</v>
      </c>
      <c r="H19" s="93">
        <v>4033.82</v>
      </c>
    </row>
    <row r="20" spans="1:9" x14ac:dyDescent="0.3">
      <c r="A20" s="12">
        <f t="shared" si="0"/>
        <v>44245</v>
      </c>
      <c r="B20" s="92">
        <v>0</v>
      </c>
      <c r="C20" s="92">
        <v>15</v>
      </c>
      <c r="D20" s="92">
        <v>0</v>
      </c>
      <c r="E20" s="92">
        <v>0.05</v>
      </c>
      <c r="F20" s="92">
        <v>2</v>
      </c>
      <c r="G20" s="92">
        <v>0</v>
      </c>
      <c r="H20" s="93">
        <v>4033.84</v>
      </c>
    </row>
    <row r="21" spans="1:9" x14ac:dyDescent="0.3">
      <c r="A21" s="12">
        <f t="shared" si="0"/>
        <v>44246</v>
      </c>
      <c r="B21" s="92">
        <v>0</v>
      </c>
      <c r="C21" s="92">
        <v>19</v>
      </c>
      <c r="D21" s="92">
        <v>0</v>
      </c>
      <c r="E21" s="92">
        <v>0.14000000000000001</v>
      </c>
      <c r="F21" s="92">
        <v>0</v>
      </c>
      <c r="G21" s="92">
        <v>0</v>
      </c>
      <c r="H21" s="93">
        <v>4033.84</v>
      </c>
    </row>
    <row r="22" spans="1:9" x14ac:dyDescent="0.3">
      <c r="A22" s="12">
        <f t="shared" si="0"/>
        <v>44247</v>
      </c>
      <c r="B22" s="92">
        <v>0</v>
      </c>
      <c r="C22" s="92">
        <v>25</v>
      </c>
      <c r="D22" s="92">
        <v>0</v>
      </c>
      <c r="E22" s="92">
        <v>0.01</v>
      </c>
      <c r="F22" s="92">
        <v>0</v>
      </c>
      <c r="G22" s="92">
        <v>0</v>
      </c>
      <c r="H22" s="93">
        <v>4033.86</v>
      </c>
    </row>
    <row r="23" spans="1:9" x14ac:dyDescent="0.3">
      <c r="A23" s="12">
        <f t="shared" si="0"/>
        <v>44248</v>
      </c>
      <c r="B23" s="92">
        <v>0</v>
      </c>
      <c r="C23" s="92">
        <v>19</v>
      </c>
      <c r="D23" s="92">
        <v>0</v>
      </c>
      <c r="E23" s="92">
        <v>0.01</v>
      </c>
      <c r="F23" s="92">
        <v>0</v>
      </c>
      <c r="G23" s="92">
        <v>0</v>
      </c>
      <c r="H23" s="93">
        <v>4033.88</v>
      </c>
    </row>
    <row r="24" spans="1:9" x14ac:dyDescent="0.3">
      <c r="A24" s="12">
        <f t="shared" si="0"/>
        <v>44249</v>
      </c>
      <c r="B24" s="92">
        <v>0</v>
      </c>
      <c r="C24" s="92">
        <v>15</v>
      </c>
      <c r="D24" s="92">
        <v>0</v>
      </c>
      <c r="E24" s="92" t="s">
        <v>35</v>
      </c>
      <c r="F24" s="92">
        <v>0</v>
      </c>
      <c r="G24" s="92">
        <v>0</v>
      </c>
      <c r="H24" s="93">
        <v>4033.9</v>
      </c>
    </row>
    <row r="25" spans="1:9" x14ac:dyDescent="0.3">
      <c r="A25" s="12">
        <f t="shared" si="0"/>
        <v>44250</v>
      </c>
      <c r="B25" s="92">
        <v>0</v>
      </c>
      <c r="C25" s="92">
        <v>15</v>
      </c>
      <c r="D25" s="92">
        <v>0</v>
      </c>
      <c r="E25" s="92">
        <v>0</v>
      </c>
      <c r="F25" s="92">
        <v>0</v>
      </c>
      <c r="G25" s="92">
        <v>0</v>
      </c>
      <c r="H25" s="93">
        <v>4033.9</v>
      </c>
    </row>
    <row r="26" spans="1:9" x14ac:dyDescent="0.3">
      <c r="A26" s="12">
        <f t="shared" si="0"/>
        <v>44251</v>
      </c>
      <c r="B26" s="92">
        <v>0</v>
      </c>
      <c r="C26" s="92">
        <v>15</v>
      </c>
      <c r="D26" s="92">
        <v>0</v>
      </c>
      <c r="E26" s="92">
        <v>0</v>
      </c>
      <c r="F26" s="92">
        <v>0</v>
      </c>
      <c r="G26" s="92">
        <v>0</v>
      </c>
      <c r="H26" s="93">
        <v>4033.94</v>
      </c>
    </row>
    <row r="27" spans="1:9" x14ac:dyDescent="0.3">
      <c r="A27" s="12">
        <f t="shared" si="0"/>
        <v>44252</v>
      </c>
      <c r="B27" s="92">
        <v>0</v>
      </c>
      <c r="C27" s="92">
        <v>15</v>
      </c>
      <c r="D27" s="92">
        <v>0</v>
      </c>
      <c r="E27" s="92">
        <v>0</v>
      </c>
      <c r="F27" s="92">
        <v>0</v>
      </c>
      <c r="G27" s="92">
        <v>0</v>
      </c>
      <c r="H27" s="93">
        <v>4033.94</v>
      </c>
    </row>
    <row r="28" spans="1:9" x14ac:dyDescent="0.3">
      <c r="A28" s="12">
        <f t="shared" si="0"/>
        <v>44253</v>
      </c>
      <c r="B28" s="92">
        <v>0</v>
      </c>
      <c r="C28" s="92">
        <v>15</v>
      </c>
      <c r="D28" s="92">
        <v>0</v>
      </c>
      <c r="E28" s="92">
        <v>0</v>
      </c>
      <c r="F28" s="92">
        <v>0</v>
      </c>
      <c r="G28" s="92">
        <v>0</v>
      </c>
      <c r="H28" s="93">
        <v>4033.94</v>
      </c>
    </row>
    <row r="29" spans="1:9" x14ac:dyDescent="0.3">
      <c r="A29" s="12">
        <f t="shared" si="0"/>
        <v>44254</v>
      </c>
      <c r="B29" s="92">
        <v>0</v>
      </c>
      <c r="C29" s="92">
        <v>15</v>
      </c>
      <c r="D29" s="92">
        <v>0</v>
      </c>
      <c r="E29" s="92">
        <v>0</v>
      </c>
      <c r="F29" s="92">
        <v>0</v>
      </c>
      <c r="G29" s="92">
        <v>0</v>
      </c>
      <c r="H29" s="93">
        <v>4033.95</v>
      </c>
    </row>
    <row r="30" spans="1:9" x14ac:dyDescent="0.3">
      <c r="A30" s="12">
        <f t="shared" si="0"/>
        <v>44255</v>
      </c>
      <c r="B30" s="92">
        <v>0</v>
      </c>
      <c r="C30" s="92">
        <v>15</v>
      </c>
      <c r="D30" s="92">
        <v>0</v>
      </c>
      <c r="E30" s="92">
        <v>0</v>
      </c>
      <c r="F30" s="92">
        <v>0</v>
      </c>
      <c r="G30" s="92">
        <v>0</v>
      </c>
      <c r="H30" s="93">
        <v>4033.95</v>
      </c>
    </row>
    <row r="31" spans="1:9" ht="15" thickBot="1" x14ac:dyDescent="0.35">
      <c r="A31" s="12"/>
      <c r="B31" s="13"/>
      <c r="C31" s="13"/>
      <c r="D31" s="13"/>
      <c r="E31" s="14"/>
      <c r="F31" s="14"/>
      <c r="G31" s="13"/>
      <c r="H31" s="24"/>
    </row>
    <row r="32" spans="1:9" s="11" customFormat="1" ht="15" thickTop="1" x14ac:dyDescent="0.3">
      <c r="A32" s="15" t="s">
        <v>8</v>
      </c>
      <c r="B32" s="16">
        <f t="shared" ref="B32:G32" si="1">SUM(B3:B31)</f>
        <v>0</v>
      </c>
      <c r="C32" s="16">
        <f t="shared" si="1"/>
        <v>438</v>
      </c>
      <c r="D32" s="16">
        <f t="shared" si="1"/>
        <v>0</v>
      </c>
      <c r="E32" s="17">
        <f t="shared" si="1"/>
        <v>0.77000000000000013</v>
      </c>
      <c r="F32" s="17">
        <f t="shared" si="1"/>
        <v>2.6</v>
      </c>
      <c r="G32" s="16">
        <f t="shared" si="1"/>
        <v>0</v>
      </c>
      <c r="H32" s="17"/>
      <c r="I32"/>
    </row>
    <row r="33" spans="1:15" s="11" customFormat="1" x14ac:dyDescent="0.3">
      <c r="A33" s="18" t="s">
        <v>9</v>
      </c>
      <c r="B33" s="19">
        <f>SUM(B32+'Jan 2021'!B35)</f>
        <v>4861</v>
      </c>
      <c r="C33" s="19">
        <f>SUM(C32+'Jan 2021'!C35)</f>
        <v>1959</v>
      </c>
      <c r="D33" s="19">
        <f>SUM(D32+'Jan 2021'!D35)</f>
        <v>6093</v>
      </c>
      <c r="E33" s="20">
        <f>SUM(E32+'Jan 2021'!E35)</f>
        <v>2.77</v>
      </c>
      <c r="F33" s="20">
        <f>SUM(F32+'Jan 2021'!F35)</f>
        <v>7.3000000000000007</v>
      </c>
      <c r="G33" s="19">
        <f>SUM(G32+'Jan 2021'!G35)</f>
        <v>0</v>
      </c>
      <c r="H33" s="20"/>
      <c r="I33"/>
    </row>
    <row r="35" spans="1:15" x14ac:dyDescent="0.3">
      <c r="A35" t="s">
        <v>10</v>
      </c>
      <c r="B35" s="22">
        <f>SUM(B3:B31)*1.9835</f>
        <v>0</v>
      </c>
      <c r="C35" s="22">
        <f>SUM(C3:C31)*1.9835</f>
        <v>868.77300000000002</v>
      </c>
      <c r="D35" s="22">
        <f>SUM(D3:D31)*1.9835</f>
        <v>0</v>
      </c>
      <c r="E35" s="22"/>
      <c r="F35" s="22"/>
      <c r="G35" s="22"/>
      <c r="I35" s="21"/>
    </row>
    <row r="37" spans="1:15" x14ac:dyDescent="0.3">
      <c r="A37" t="s">
        <v>24</v>
      </c>
      <c r="B37" s="22">
        <f>SUM(B35+'Jan 2021'!B39)</f>
        <v>9641.7934999999998</v>
      </c>
      <c r="C37" s="22">
        <f>SUM(C35+'Jan 2021'!C39)</f>
        <v>3885.6765</v>
      </c>
      <c r="D37" s="22">
        <f>SUM(D35+'Jan 2021'!D39)</f>
        <v>12085.4655</v>
      </c>
      <c r="E37" s="22"/>
      <c r="F37" s="22"/>
      <c r="G37" s="22"/>
      <c r="I37" s="21"/>
    </row>
    <row r="38" spans="1:15" x14ac:dyDescent="0.3">
      <c r="B38" s="22"/>
      <c r="C38" s="22"/>
      <c r="D38" s="23"/>
      <c r="E38" s="22"/>
      <c r="F38" s="22"/>
      <c r="G38" s="22"/>
      <c r="I38" s="21"/>
    </row>
    <row r="39" spans="1:15" ht="17.399999999999999" customHeight="1" x14ac:dyDescent="0.3">
      <c r="A39" s="102"/>
      <c r="B39" s="102"/>
      <c r="C39" s="102"/>
      <c r="D39" s="102"/>
      <c r="E39" s="102"/>
      <c r="F39" s="103"/>
      <c r="G39" s="104" t="s">
        <v>12</v>
      </c>
      <c r="H39" s="105"/>
      <c r="I39" s="27"/>
      <c r="J39" s="27"/>
      <c r="K39" s="27"/>
      <c r="L39" s="27"/>
      <c r="M39" s="27"/>
      <c r="N39" s="28"/>
      <c r="O39" s="27"/>
    </row>
    <row r="40" spans="1:15" ht="16.95" customHeight="1" x14ac:dyDescent="0.3">
      <c r="A40" s="26"/>
      <c r="B40" s="26"/>
      <c r="C40" s="26"/>
      <c r="D40" s="26"/>
      <c r="E40" s="26"/>
      <c r="F40" s="26"/>
      <c r="G40" s="104"/>
      <c r="H40" s="105"/>
      <c r="I40" s="27"/>
      <c r="J40" s="27"/>
      <c r="K40" s="27"/>
      <c r="L40" s="27"/>
      <c r="M40" s="27"/>
      <c r="N40" s="28"/>
      <c r="O40" s="27"/>
    </row>
    <row r="41" spans="1:15" ht="13.95" customHeight="1" x14ac:dyDescent="0.3">
      <c r="A41" s="107" t="s">
        <v>23</v>
      </c>
      <c r="B41" s="107"/>
      <c r="C41" s="107"/>
      <c r="D41" s="107"/>
      <c r="E41" s="107"/>
      <c r="F41" s="107"/>
      <c r="G41" s="107"/>
      <c r="H41" s="107"/>
      <c r="I41" s="107"/>
      <c r="J41" s="107"/>
      <c r="K41" s="29"/>
      <c r="L41" s="29"/>
      <c r="M41" s="29"/>
      <c r="N41" s="30"/>
      <c r="O41" s="31"/>
    </row>
    <row r="42" spans="1:15" ht="15.6" customHeight="1" x14ac:dyDescent="0.3">
      <c r="A42" s="39" t="s">
        <v>17</v>
      </c>
      <c r="B42" s="33"/>
      <c r="C42" s="34"/>
      <c r="D42" s="34"/>
      <c r="E42" s="35"/>
      <c r="F42" s="36"/>
      <c r="G42" s="37"/>
      <c r="H42" s="38"/>
      <c r="I42" s="31"/>
      <c r="J42" s="31"/>
      <c r="K42" s="31"/>
      <c r="L42" s="31"/>
      <c r="M42" s="31"/>
      <c r="N42" s="30"/>
    </row>
    <row r="43" spans="1:15" x14ac:dyDescent="0.3">
      <c r="A43" s="32"/>
      <c r="B43" s="33"/>
      <c r="C43" s="34"/>
      <c r="D43" s="34"/>
      <c r="E43" s="40"/>
      <c r="F43" s="36">
        <f>SUM(24-D43)</f>
        <v>24</v>
      </c>
      <c r="G43" s="37">
        <f>SUM(C43+E43)</f>
        <v>0</v>
      </c>
      <c r="H43" s="38">
        <f>SUM(C43/24*D43+G43/24*F43)</f>
        <v>0</v>
      </c>
      <c r="I43" s="31"/>
      <c r="J43" s="31"/>
      <c r="K43" s="31"/>
      <c r="L43" s="31"/>
      <c r="M43" s="31"/>
      <c r="N43" s="30"/>
    </row>
    <row r="44" spans="1:15" x14ac:dyDescent="0.3">
      <c r="A44" s="32"/>
      <c r="B44" s="33"/>
      <c r="C44" s="34"/>
      <c r="D44" s="34"/>
      <c r="E44" s="40"/>
      <c r="F44" s="36">
        <f>SUM(24-D44)</f>
        <v>24</v>
      </c>
      <c r="G44" s="37">
        <f>SUM(C44+E44)</f>
        <v>0</v>
      </c>
      <c r="H44" s="38">
        <f>SUM(C44/24*D44+G44/24*F44)</f>
        <v>0</v>
      </c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ht="13.2" customHeight="1" x14ac:dyDescent="0.3">
      <c r="A48" s="41"/>
      <c r="B48" s="42"/>
      <c r="C48" s="42"/>
      <c r="D48" s="42"/>
      <c r="E48" s="42"/>
      <c r="F48" s="42"/>
      <c r="G48" s="43"/>
      <c r="H48" s="31"/>
      <c r="I48" s="31"/>
      <c r="J48" s="31"/>
      <c r="K48" s="31"/>
      <c r="L48" s="31"/>
      <c r="M48" s="31"/>
      <c r="N48" s="30"/>
      <c r="O48" s="31"/>
    </row>
    <row r="49" spans="1:15" ht="15" thickBot="1" x14ac:dyDescent="0.35">
      <c r="A49" s="44" t="s">
        <v>18</v>
      </c>
      <c r="B49" s="44"/>
      <c r="C49" s="44"/>
      <c r="D49" s="44"/>
      <c r="E49" s="45"/>
      <c r="F49" s="46"/>
      <c r="G49" s="43"/>
      <c r="H49" s="31"/>
      <c r="I49" s="31"/>
      <c r="J49" s="31"/>
      <c r="K49" s="31"/>
      <c r="L49" s="31"/>
      <c r="M49" s="31"/>
      <c r="N49" s="30"/>
      <c r="O49" s="31"/>
    </row>
    <row r="50" spans="1:15" ht="25.8" x14ac:dyDescent="0.3">
      <c r="A50" s="47" t="s">
        <v>19</v>
      </c>
      <c r="B50" s="48" t="s">
        <v>13</v>
      </c>
      <c r="C50" s="49" t="s">
        <v>14</v>
      </c>
      <c r="D50" s="49" t="s">
        <v>15</v>
      </c>
      <c r="E50" s="50" t="s">
        <v>16</v>
      </c>
      <c r="F50" s="51" t="s">
        <v>20</v>
      </c>
      <c r="G50" s="52"/>
      <c r="H50" s="53"/>
      <c r="I50" s="54"/>
      <c r="J50" s="54"/>
    </row>
    <row r="51" spans="1:15" ht="15.6" x14ac:dyDescent="0.3">
      <c r="A51" s="55"/>
      <c r="B51" s="56"/>
      <c r="C51" s="57"/>
      <c r="D51" s="58"/>
      <c r="E51" s="59"/>
      <c r="F51" s="60">
        <f>SUM(C51/24*D51)</f>
        <v>0</v>
      </c>
      <c r="G51" s="61"/>
      <c r="H51" s="62"/>
      <c r="I51" s="63"/>
      <c r="J51" s="63"/>
    </row>
    <row r="52" spans="1:15" x14ac:dyDescent="0.3">
      <c r="A52" s="64"/>
      <c r="B52" s="65"/>
      <c r="C52" s="66"/>
      <c r="D52" s="58"/>
      <c r="E52" s="67"/>
      <c r="F52" s="68">
        <f>SUM(C52/24*D52)</f>
        <v>0</v>
      </c>
      <c r="G52" s="61"/>
      <c r="H52" s="62"/>
    </row>
    <row r="53" spans="1:15" x14ac:dyDescent="0.3">
      <c r="A53" s="64"/>
      <c r="B53" s="65"/>
      <c r="C53" s="66"/>
      <c r="D53" s="58"/>
      <c r="E53" s="69"/>
      <c r="F53" s="68">
        <f>SUM(C53/24*D53)</f>
        <v>0</v>
      </c>
      <c r="G53" s="61"/>
      <c r="H53" s="62"/>
    </row>
    <row r="54" spans="1:15" x14ac:dyDescent="0.3">
      <c r="A54" s="64"/>
      <c r="B54" s="65"/>
      <c r="C54" s="66"/>
      <c r="D54" s="58"/>
      <c r="E54" s="69"/>
      <c r="F54" s="68">
        <f>SUM(C54/24*D54)</f>
        <v>0</v>
      </c>
      <c r="G54" s="61"/>
      <c r="H54" s="62"/>
    </row>
    <row r="55" spans="1:15" ht="15" thickBot="1" x14ac:dyDescent="0.35">
      <c r="A55" s="70"/>
      <c r="B55" s="71"/>
      <c r="C55" s="72"/>
      <c r="D55" s="73"/>
      <c r="E55" s="72"/>
      <c r="F55" s="74">
        <f>SUM(C55/24*D55)</f>
        <v>0</v>
      </c>
      <c r="G55" s="61"/>
      <c r="H55" s="62"/>
      <c r="I55" s="75"/>
      <c r="J55" s="75"/>
    </row>
    <row r="56" spans="1:15" s="81" customFormat="1" ht="30" customHeight="1" x14ac:dyDescent="0.3">
      <c r="A56" s="108" t="s">
        <v>21</v>
      </c>
      <c r="B56" s="109"/>
      <c r="C56" s="110"/>
      <c r="D56" s="76">
        <f>SUM(D51:D55)</f>
        <v>0</v>
      </c>
      <c r="E56" s="77" t="s">
        <v>22</v>
      </c>
      <c r="F56" s="78">
        <f>SUM(F51:F55)</f>
        <v>0</v>
      </c>
      <c r="G56" s="79"/>
      <c r="H56" s="80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44197</v>
      </c>
      <c r="B3" s="92">
        <v>0</v>
      </c>
      <c r="C3" s="92">
        <v>15</v>
      </c>
      <c r="D3" s="92">
        <v>0</v>
      </c>
      <c r="E3" s="92">
        <v>0.02</v>
      </c>
      <c r="F3" s="92">
        <v>0</v>
      </c>
      <c r="G3" s="92">
        <v>0</v>
      </c>
      <c r="H3" s="93">
        <v>4033.7</v>
      </c>
    </row>
    <row r="4" spans="1:9" x14ac:dyDescent="0.3">
      <c r="A4" s="12">
        <f>A3+1</f>
        <v>44198</v>
      </c>
      <c r="B4" s="92">
        <v>0</v>
      </c>
      <c r="C4" s="92">
        <v>15</v>
      </c>
      <c r="D4" s="92">
        <v>0</v>
      </c>
      <c r="E4" s="92">
        <v>0.03</v>
      </c>
      <c r="F4" s="92">
        <v>0</v>
      </c>
      <c r="G4" s="92">
        <v>0</v>
      </c>
      <c r="H4" s="93">
        <v>4033.7</v>
      </c>
    </row>
    <row r="5" spans="1:9" x14ac:dyDescent="0.3">
      <c r="A5" s="12">
        <f t="shared" ref="A5:A33" si="0">A4+1</f>
        <v>44199</v>
      </c>
      <c r="B5" s="92">
        <v>0</v>
      </c>
      <c r="C5" s="92">
        <v>15</v>
      </c>
      <c r="D5" s="92">
        <v>0</v>
      </c>
      <c r="E5" s="92">
        <v>0</v>
      </c>
      <c r="F5" s="92">
        <v>0</v>
      </c>
      <c r="G5" s="92">
        <v>0</v>
      </c>
      <c r="H5" s="93">
        <v>4033.7</v>
      </c>
    </row>
    <row r="6" spans="1:9" x14ac:dyDescent="0.3">
      <c r="A6" s="12">
        <f t="shared" si="0"/>
        <v>44200</v>
      </c>
      <c r="B6" s="92">
        <v>0</v>
      </c>
      <c r="C6" s="92">
        <v>15</v>
      </c>
      <c r="D6" s="92">
        <v>0</v>
      </c>
      <c r="E6" s="92">
        <v>0.04</v>
      </c>
      <c r="F6" s="92">
        <v>0</v>
      </c>
      <c r="G6" s="92">
        <v>0</v>
      </c>
      <c r="H6" s="93">
        <v>4033.7</v>
      </c>
    </row>
    <row r="7" spans="1:9" x14ac:dyDescent="0.3">
      <c r="A7" s="12">
        <f t="shared" si="0"/>
        <v>44201</v>
      </c>
      <c r="B7" s="92">
        <v>0</v>
      </c>
      <c r="C7" s="92">
        <v>15</v>
      </c>
      <c r="D7" s="92">
        <v>0</v>
      </c>
      <c r="E7" s="92" t="s">
        <v>35</v>
      </c>
      <c r="F7" s="92">
        <v>0</v>
      </c>
      <c r="G7" s="92">
        <v>0</v>
      </c>
      <c r="H7" s="93">
        <v>4033.72</v>
      </c>
    </row>
    <row r="8" spans="1:9" x14ac:dyDescent="0.3">
      <c r="A8" s="12">
        <f t="shared" si="0"/>
        <v>44202</v>
      </c>
      <c r="B8" s="92">
        <v>0</v>
      </c>
      <c r="C8" s="92">
        <v>15</v>
      </c>
      <c r="D8" s="92">
        <v>0</v>
      </c>
      <c r="E8" s="92" t="s">
        <v>35</v>
      </c>
      <c r="F8" s="92">
        <v>0</v>
      </c>
      <c r="G8" s="92">
        <v>0</v>
      </c>
      <c r="H8" s="93">
        <v>4033.72</v>
      </c>
    </row>
    <row r="9" spans="1:9" x14ac:dyDescent="0.3">
      <c r="A9" s="12">
        <f t="shared" si="0"/>
        <v>44203</v>
      </c>
      <c r="B9" s="92">
        <v>0</v>
      </c>
      <c r="C9" s="92">
        <v>24</v>
      </c>
      <c r="D9" s="92">
        <v>0</v>
      </c>
      <c r="E9" s="92">
        <v>0.01</v>
      </c>
      <c r="F9" s="92">
        <v>0</v>
      </c>
      <c r="G9" s="92">
        <v>0</v>
      </c>
      <c r="H9" s="93">
        <v>4033.72</v>
      </c>
    </row>
    <row r="10" spans="1:9" x14ac:dyDescent="0.3">
      <c r="A10" s="12">
        <f t="shared" si="0"/>
        <v>44204</v>
      </c>
      <c r="B10" s="92">
        <v>0</v>
      </c>
      <c r="C10" s="92">
        <v>30</v>
      </c>
      <c r="D10" s="92">
        <v>0</v>
      </c>
      <c r="E10" s="92">
        <v>0.12</v>
      </c>
      <c r="F10" s="92">
        <v>0</v>
      </c>
      <c r="G10" s="92">
        <v>0</v>
      </c>
      <c r="H10" s="93">
        <v>4033.74</v>
      </c>
    </row>
    <row r="11" spans="1:9" x14ac:dyDescent="0.3">
      <c r="A11" s="12">
        <f t="shared" si="0"/>
        <v>44205</v>
      </c>
      <c r="B11" s="92">
        <v>0</v>
      </c>
      <c r="C11" s="92">
        <v>30</v>
      </c>
      <c r="D11" s="92">
        <v>0</v>
      </c>
      <c r="E11" s="92" t="s">
        <v>35</v>
      </c>
      <c r="F11" s="92">
        <v>0</v>
      </c>
      <c r="G11" s="92">
        <v>0</v>
      </c>
      <c r="H11" s="93">
        <v>4033.74</v>
      </c>
    </row>
    <row r="12" spans="1:9" x14ac:dyDescent="0.3">
      <c r="A12" s="12">
        <f t="shared" si="0"/>
        <v>44206</v>
      </c>
      <c r="B12" s="92">
        <v>0</v>
      </c>
      <c r="C12" s="92">
        <v>27</v>
      </c>
      <c r="D12" s="92">
        <v>0</v>
      </c>
      <c r="E12" s="92">
        <v>0</v>
      </c>
      <c r="F12" s="92">
        <v>0</v>
      </c>
      <c r="G12" s="92">
        <v>0</v>
      </c>
      <c r="H12" s="93">
        <v>4033.76</v>
      </c>
    </row>
    <row r="13" spans="1:9" x14ac:dyDescent="0.3">
      <c r="A13" s="12">
        <f t="shared" si="0"/>
        <v>44207</v>
      </c>
      <c r="B13" s="92">
        <v>0</v>
      </c>
      <c r="C13" s="92">
        <v>12</v>
      </c>
      <c r="D13" s="92">
        <v>0</v>
      </c>
      <c r="E13" s="92" t="s">
        <v>35</v>
      </c>
      <c r="F13" s="92">
        <v>0</v>
      </c>
      <c r="G13" s="92">
        <v>0</v>
      </c>
      <c r="H13" s="93">
        <v>4033.76</v>
      </c>
    </row>
    <row r="14" spans="1:9" x14ac:dyDescent="0.3">
      <c r="A14" s="12">
        <f t="shared" si="0"/>
        <v>44208</v>
      </c>
      <c r="B14" s="92">
        <v>0</v>
      </c>
      <c r="C14" s="92">
        <v>12</v>
      </c>
      <c r="D14" s="92">
        <v>0</v>
      </c>
      <c r="E14" s="92">
        <v>0</v>
      </c>
      <c r="F14" s="92">
        <v>0</v>
      </c>
      <c r="G14" s="92">
        <v>0</v>
      </c>
      <c r="H14" s="93">
        <v>4033.76</v>
      </c>
    </row>
    <row r="15" spans="1:9" x14ac:dyDescent="0.3">
      <c r="A15" s="12">
        <f t="shared" si="0"/>
        <v>44209</v>
      </c>
      <c r="B15" s="92">
        <v>0</v>
      </c>
      <c r="C15" s="92">
        <v>12</v>
      </c>
      <c r="D15" s="92">
        <v>0</v>
      </c>
      <c r="E15" s="92">
        <v>0.05</v>
      </c>
      <c r="F15" s="92">
        <v>0</v>
      </c>
      <c r="G15" s="92">
        <v>0</v>
      </c>
      <c r="H15" s="93">
        <v>4033.76</v>
      </c>
    </row>
    <row r="16" spans="1:9" x14ac:dyDescent="0.3">
      <c r="A16" s="12">
        <f t="shared" si="0"/>
        <v>44210</v>
      </c>
      <c r="B16" s="92">
        <v>0</v>
      </c>
      <c r="C16" s="92">
        <v>12</v>
      </c>
      <c r="D16" s="92">
        <v>0</v>
      </c>
      <c r="E16" s="92" t="s">
        <v>35</v>
      </c>
      <c r="F16" s="92">
        <v>0</v>
      </c>
      <c r="G16" s="92">
        <v>0</v>
      </c>
      <c r="H16" s="93">
        <v>4033.78</v>
      </c>
    </row>
    <row r="17" spans="1:8" x14ac:dyDescent="0.3">
      <c r="A17" s="12">
        <f t="shared" si="0"/>
        <v>44211</v>
      </c>
      <c r="B17" s="92">
        <v>0</v>
      </c>
      <c r="C17" s="92">
        <v>12</v>
      </c>
      <c r="D17" s="92">
        <v>0</v>
      </c>
      <c r="E17" s="92">
        <v>0.01</v>
      </c>
      <c r="F17" s="92">
        <v>0</v>
      </c>
      <c r="G17" s="92">
        <v>0</v>
      </c>
      <c r="H17" s="93">
        <v>4033.78</v>
      </c>
    </row>
    <row r="18" spans="1:8" x14ac:dyDescent="0.3">
      <c r="A18" s="12">
        <f t="shared" si="0"/>
        <v>44212</v>
      </c>
      <c r="B18" s="92">
        <v>0</v>
      </c>
      <c r="C18" s="92">
        <v>12</v>
      </c>
      <c r="D18" s="92">
        <v>0</v>
      </c>
      <c r="E18" s="92">
        <v>0.02</v>
      </c>
      <c r="F18" s="92">
        <v>0</v>
      </c>
      <c r="G18" s="92">
        <v>0</v>
      </c>
      <c r="H18" s="93">
        <v>4033.78</v>
      </c>
    </row>
    <row r="19" spans="1:8" x14ac:dyDescent="0.3">
      <c r="A19" s="12">
        <f t="shared" si="0"/>
        <v>44213</v>
      </c>
      <c r="B19" s="92">
        <v>0</v>
      </c>
      <c r="C19" s="92">
        <v>12</v>
      </c>
      <c r="D19" s="92">
        <v>0</v>
      </c>
      <c r="E19" s="92">
        <v>0.01</v>
      </c>
      <c r="F19" s="92">
        <v>0</v>
      </c>
      <c r="G19" s="92">
        <v>0</v>
      </c>
      <c r="H19" s="93">
        <v>4033.8</v>
      </c>
    </row>
    <row r="20" spans="1:8" x14ac:dyDescent="0.3">
      <c r="A20" s="12">
        <f t="shared" si="0"/>
        <v>44214</v>
      </c>
      <c r="B20" s="92">
        <v>0</v>
      </c>
      <c r="C20" s="92">
        <v>12</v>
      </c>
      <c r="D20" s="92">
        <v>0</v>
      </c>
      <c r="E20" s="92">
        <v>0</v>
      </c>
      <c r="F20" s="92">
        <v>0</v>
      </c>
      <c r="G20" s="92">
        <v>0</v>
      </c>
      <c r="H20" s="93">
        <v>4033.8</v>
      </c>
    </row>
    <row r="21" spans="1:8" x14ac:dyDescent="0.3">
      <c r="A21" s="12">
        <f t="shared" si="0"/>
        <v>44215</v>
      </c>
      <c r="B21" s="92">
        <v>0</v>
      </c>
      <c r="C21" s="92">
        <v>12</v>
      </c>
      <c r="D21" s="92">
        <v>0</v>
      </c>
      <c r="E21" s="92">
        <v>0.02</v>
      </c>
      <c r="F21" s="92" t="s">
        <v>35</v>
      </c>
      <c r="G21" s="92">
        <v>0</v>
      </c>
      <c r="H21" s="93">
        <v>4033.8</v>
      </c>
    </row>
    <row r="22" spans="1:8" x14ac:dyDescent="0.3">
      <c r="A22" s="12">
        <f t="shared" si="0"/>
        <v>44216</v>
      </c>
      <c r="B22" s="92">
        <v>0</v>
      </c>
      <c r="C22" s="92">
        <v>12</v>
      </c>
      <c r="D22" s="92">
        <v>0</v>
      </c>
      <c r="E22" s="92">
        <v>0</v>
      </c>
      <c r="F22" s="92">
        <v>0</v>
      </c>
      <c r="G22" s="92">
        <v>0</v>
      </c>
      <c r="H22" s="93">
        <v>4033.8</v>
      </c>
    </row>
    <row r="23" spans="1:8" x14ac:dyDescent="0.3">
      <c r="A23" s="12">
        <f t="shared" si="0"/>
        <v>44217</v>
      </c>
      <c r="B23" s="92">
        <v>0</v>
      </c>
      <c r="C23" s="92">
        <v>12</v>
      </c>
      <c r="D23" s="92">
        <v>0</v>
      </c>
      <c r="E23" s="92">
        <v>0</v>
      </c>
      <c r="F23" s="92">
        <v>0</v>
      </c>
      <c r="G23" s="92">
        <v>0</v>
      </c>
      <c r="H23" s="93">
        <v>4033.8</v>
      </c>
    </row>
    <row r="24" spans="1:8" x14ac:dyDescent="0.3">
      <c r="A24" s="12">
        <f t="shared" si="0"/>
        <v>44218</v>
      </c>
      <c r="B24" s="92">
        <v>0</v>
      </c>
      <c r="C24" s="92">
        <v>14</v>
      </c>
      <c r="D24" s="92">
        <v>0</v>
      </c>
      <c r="E24" s="92">
        <v>0</v>
      </c>
      <c r="F24" s="92">
        <v>0</v>
      </c>
      <c r="G24" s="92">
        <v>0</v>
      </c>
      <c r="H24" s="93">
        <v>4033.8</v>
      </c>
    </row>
    <row r="25" spans="1:8" x14ac:dyDescent="0.3">
      <c r="A25" s="12">
        <f t="shared" si="0"/>
        <v>44219</v>
      </c>
      <c r="B25" s="92">
        <v>0</v>
      </c>
      <c r="C25" s="92">
        <v>15</v>
      </c>
      <c r="D25" s="92">
        <v>0</v>
      </c>
      <c r="E25" s="92">
        <v>0</v>
      </c>
      <c r="F25" s="92">
        <v>0</v>
      </c>
      <c r="G25" s="92">
        <v>0</v>
      </c>
      <c r="H25" s="93">
        <v>4033.8</v>
      </c>
    </row>
    <row r="26" spans="1:8" x14ac:dyDescent="0.3">
      <c r="A26" s="12">
        <f t="shared" si="0"/>
        <v>44220</v>
      </c>
      <c r="B26" s="92">
        <v>0</v>
      </c>
      <c r="C26" s="92">
        <v>15</v>
      </c>
      <c r="D26" s="92">
        <v>0</v>
      </c>
      <c r="E26" s="92">
        <v>0</v>
      </c>
      <c r="F26" s="92">
        <v>0</v>
      </c>
      <c r="G26" s="92">
        <v>0</v>
      </c>
      <c r="H26" s="93">
        <v>4033.8</v>
      </c>
    </row>
    <row r="27" spans="1:8" x14ac:dyDescent="0.3">
      <c r="A27" s="12">
        <f t="shared" si="0"/>
        <v>44221</v>
      </c>
      <c r="B27" s="92">
        <v>0</v>
      </c>
      <c r="C27" s="92">
        <v>15</v>
      </c>
      <c r="D27" s="92">
        <v>0</v>
      </c>
      <c r="E27" s="92">
        <v>0</v>
      </c>
      <c r="F27" s="92">
        <v>0</v>
      </c>
      <c r="G27" s="92">
        <v>0</v>
      </c>
      <c r="H27" s="93">
        <v>4033.8</v>
      </c>
    </row>
    <row r="28" spans="1:8" x14ac:dyDescent="0.3">
      <c r="A28" s="12">
        <f t="shared" si="0"/>
        <v>44222</v>
      </c>
      <c r="B28" s="92">
        <v>0</v>
      </c>
      <c r="C28" s="92">
        <v>15</v>
      </c>
      <c r="D28" s="92">
        <v>0</v>
      </c>
      <c r="E28" s="92">
        <v>0</v>
      </c>
      <c r="F28" s="92">
        <v>0</v>
      </c>
      <c r="G28" s="92">
        <v>0</v>
      </c>
      <c r="H28" s="93">
        <v>4033.78</v>
      </c>
    </row>
    <row r="29" spans="1:8" x14ac:dyDescent="0.3">
      <c r="A29" s="12">
        <f t="shared" si="0"/>
        <v>44223</v>
      </c>
      <c r="B29" s="92">
        <v>0</v>
      </c>
      <c r="C29" s="92">
        <v>15</v>
      </c>
      <c r="D29" s="92">
        <v>0</v>
      </c>
      <c r="E29" s="92">
        <v>0</v>
      </c>
      <c r="F29" s="92">
        <v>0</v>
      </c>
      <c r="G29" s="92">
        <v>0</v>
      </c>
      <c r="H29" s="93">
        <v>4033.78</v>
      </c>
    </row>
    <row r="30" spans="1:8" x14ac:dyDescent="0.3">
      <c r="A30" s="12">
        <f t="shared" si="0"/>
        <v>44224</v>
      </c>
      <c r="B30" s="92">
        <v>0</v>
      </c>
      <c r="C30" s="92">
        <v>15</v>
      </c>
      <c r="D30" s="92">
        <v>0</v>
      </c>
      <c r="E30" s="92">
        <v>0.04</v>
      </c>
      <c r="F30" s="92">
        <v>0</v>
      </c>
      <c r="G30" s="92">
        <v>0</v>
      </c>
      <c r="H30" s="93">
        <v>4033.78</v>
      </c>
    </row>
    <row r="31" spans="1:8" x14ac:dyDescent="0.3">
      <c r="A31" s="12">
        <f t="shared" si="0"/>
        <v>44225</v>
      </c>
      <c r="B31" s="92">
        <v>0</v>
      </c>
      <c r="C31" s="92">
        <v>15</v>
      </c>
      <c r="D31" s="92">
        <v>0</v>
      </c>
      <c r="E31" s="92">
        <v>0.01</v>
      </c>
      <c r="F31" s="92">
        <v>0</v>
      </c>
      <c r="G31" s="92">
        <v>0</v>
      </c>
      <c r="H31" s="93">
        <v>4033.78</v>
      </c>
    </row>
    <row r="32" spans="1:8" x14ac:dyDescent="0.3">
      <c r="A32" s="12">
        <f t="shared" si="0"/>
        <v>44226</v>
      </c>
      <c r="B32" s="92">
        <v>0</v>
      </c>
      <c r="C32" s="92">
        <v>15</v>
      </c>
      <c r="D32" s="92">
        <v>0</v>
      </c>
      <c r="E32" s="92">
        <v>0</v>
      </c>
      <c r="F32" s="92">
        <v>0</v>
      </c>
      <c r="G32" s="92">
        <v>0</v>
      </c>
      <c r="H32" s="93">
        <v>4033.78</v>
      </c>
    </row>
    <row r="33" spans="1:15" ht="15" thickBot="1" x14ac:dyDescent="0.35">
      <c r="A33" s="12">
        <f t="shared" si="0"/>
        <v>44227</v>
      </c>
      <c r="B33" s="92">
        <v>0</v>
      </c>
      <c r="C33" s="92">
        <v>15</v>
      </c>
      <c r="D33" s="92">
        <v>0</v>
      </c>
      <c r="E33" s="92">
        <v>0</v>
      </c>
      <c r="F33" s="92">
        <v>0</v>
      </c>
      <c r="G33" s="92">
        <v>0</v>
      </c>
      <c r="H33" s="93">
        <v>4033.78</v>
      </c>
    </row>
    <row r="34" spans="1:15" s="11" customFormat="1" ht="15" thickTop="1" x14ac:dyDescent="0.3">
      <c r="A34" s="15" t="s">
        <v>8</v>
      </c>
      <c r="B34" s="16">
        <f t="shared" ref="B34:G34" si="1">SUM(B3:B33)</f>
        <v>0</v>
      </c>
      <c r="C34" s="16">
        <f t="shared" si="1"/>
        <v>482</v>
      </c>
      <c r="D34" s="16">
        <f t="shared" si="1"/>
        <v>0</v>
      </c>
      <c r="E34" s="17">
        <f t="shared" si="1"/>
        <v>0.38</v>
      </c>
      <c r="F34" s="17">
        <f t="shared" si="1"/>
        <v>0</v>
      </c>
      <c r="G34" s="16">
        <f t="shared" si="1"/>
        <v>0</v>
      </c>
      <c r="H34" s="17"/>
    </row>
    <row r="35" spans="1:15" s="11" customFormat="1" x14ac:dyDescent="0.3">
      <c r="A35" s="18" t="s">
        <v>9</v>
      </c>
      <c r="B35" s="19">
        <f>SUM(B34+'Dec 2020'!B35)</f>
        <v>4861</v>
      </c>
      <c r="C35" s="19">
        <f>SUM(C34+'Dec 2020'!C35)</f>
        <v>1521</v>
      </c>
      <c r="D35" s="19">
        <f>SUM(D34+'Dec 2020'!D35)</f>
        <v>6093</v>
      </c>
      <c r="E35" s="20">
        <f>SUM(E34+'Dec 2020'!E35)</f>
        <v>2</v>
      </c>
      <c r="F35" s="20">
        <f>SUM(F34+'Dec 2020'!F35)</f>
        <v>4.7</v>
      </c>
      <c r="G35" s="19">
        <f>SUM(G34+'Dec 2020'!G35)</f>
        <v>0</v>
      </c>
      <c r="H35" s="20"/>
    </row>
    <row r="37" spans="1:15" x14ac:dyDescent="0.3">
      <c r="A37" t="s">
        <v>10</v>
      </c>
      <c r="B37" s="22">
        <f>SUM(B3:B33)*1.9835</f>
        <v>0</v>
      </c>
      <c r="C37" s="22">
        <f>SUM(C3:C33)*1.9835</f>
        <v>956.04700000000003</v>
      </c>
      <c r="D37" s="22">
        <f>SUM(D3:D33)*1.9835</f>
        <v>0</v>
      </c>
      <c r="E37" s="22"/>
      <c r="F37" s="22"/>
      <c r="G37" s="22"/>
      <c r="I37" s="21"/>
    </row>
    <row r="39" spans="1:15" x14ac:dyDescent="0.3">
      <c r="A39" t="s">
        <v>24</v>
      </c>
      <c r="B39" s="22">
        <f>SUM(B37+'Dec 2020'!B39)</f>
        <v>9641.7934999999998</v>
      </c>
      <c r="C39" s="22">
        <f>SUM(C37+'Dec 2020'!C39)</f>
        <v>3016.9034999999999</v>
      </c>
      <c r="D39" s="22">
        <f>SUM(D37+'Dec 2020'!D39)</f>
        <v>12085.4655</v>
      </c>
      <c r="E39" s="22"/>
      <c r="F39" s="22"/>
      <c r="G39" s="22"/>
      <c r="I39" s="21"/>
    </row>
    <row r="40" spans="1:15" x14ac:dyDescent="0.3">
      <c r="B40" s="22"/>
      <c r="C40" s="22"/>
      <c r="D40" s="23"/>
      <c r="E40" s="22"/>
      <c r="F40" s="22"/>
      <c r="G40" s="22"/>
      <c r="I40" s="21"/>
    </row>
    <row r="41" spans="1:15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  <c r="K41" s="27"/>
      <c r="L41" s="27"/>
      <c r="M41" s="27"/>
      <c r="N41" s="28"/>
      <c r="O41" s="27"/>
    </row>
    <row r="42" spans="1:15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7"/>
      <c r="N42" s="28"/>
      <c r="O42" s="27"/>
    </row>
    <row r="43" spans="1:15" ht="13.95" customHeight="1" x14ac:dyDescent="0.3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29"/>
      <c r="L43" s="29"/>
      <c r="M43" s="29"/>
      <c r="N43" s="30"/>
      <c r="O43" s="31"/>
    </row>
    <row r="44" spans="1:15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1"/>
      <c r="N48" s="30"/>
    </row>
    <row r="49" spans="1:15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1"/>
      <c r="N49" s="30"/>
    </row>
    <row r="50" spans="1:15" ht="13.2" customHeight="1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1"/>
      <c r="N50" s="30"/>
      <c r="O50" s="31"/>
    </row>
    <row r="51" spans="1:15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1"/>
      <c r="N51" s="30"/>
      <c r="O51" s="31"/>
    </row>
    <row r="52" spans="1:15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  <c r="J52" s="54"/>
    </row>
    <row r="53" spans="1:15" ht="15.6" x14ac:dyDescent="0.3">
      <c r="A53" s="55"/>
      <c r="B53" s="56"/>
      <c r="C53" s="57"/>
      <c r="D53" s="58"/>
      <c r="E53" s="59">
        <v>-100</v>
      </c>
      <c r="F53" s="60">
        <f>SUM(C53/24*D53)</f>
        <v>0</v>
      </c>
      <c r="G53" s="61"/>
      <c r="H53" s="62"/>
      <c r="I53" s="63"/>
      <c r="J53" s="63"/>
    </row>
    <row r="54" spans="1:15" x14ac:dyDescent="0.3">
      <c r="A54" s="64"/>
      <c r="B54" s="65"/>
      <c r="C54" s="66"/>
      <c r="D54" s="58"/>
      <c r="E54" s="67">
        <v>-50</v>
      </c>
      <c r="F54" s="68">
        <f>SUM(C54/24*D54)</f>
        <v>0</v>
      </c>
      <c r="G54" s="61"/>
      <c r="H54" s="62"/>
    </row>
    <row r="55" spans="1:15" x14ac:dyDescent="0.3">
      <c r="A55" s="64"/>
      <c r="B55" s="65"/>
      <c r="C55" s="66"/>
      <c r="D55" s="58"/>
      <c r="E55" s="69"/>
      <c r="F55" s="68">
        <f>SUM(C55/24*D55)</f>
        <v>0</v>
      </c>
      <c r="G55" s="61"/>
      <c r="H55" s="62"/>
    </row>
    <row r="56" spans="1:15" x14ac:dyDescent="0.3">
      <c r="A56" s="64"/>
      <c r="B56" s="65"/>
      <c r="C56" s="66"/>
      <c r="D56" s="58"/>
      <c r="E56" s="69"/>
      <c r="F56" s="68">
        <f>SUM(C56/24*D56)</f>
        <v>0</v>
      </c>
      <c r="G56" s="61"/>
      <c r="H56" s="62"/>
    </row>
    <row r="57" spans="1:15" ht="15" thickBot="1" x14ac:dyDescent="0.35">
      <c r="A57" s="70"/>
      <c r="B57" s="71"/>
      <c r="C57" s="72"/>
      <c r="D57" s="73"/>
      <c r="E57" s="72"/>
      <c r="F57" s="74">
        <f>SUM(C57/24*D57)</f>
        <v>0</v>
      </c>
      <c r="G57" s="61"/>
      <c r="H57" s="62"/>
      <c r="I57" s="75"/>
      <c r="J57" s="75"/>
    </row>
    <row r="58" spans="1:15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8"/>
  <sheetViews>
    <sheetView topLeftCell="A9" zoomScale="80" zoomScaleNormal="80" workbookViewId="0">
      <selection activeCell="G3" sqref="G3:G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4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2"/>
    </row>
    <row r="3" spans="1:9" x14ac:dyDescent="0.3">
      <c r="A3" s="12">
        <v>44166</v>
      </c>
      <c r="B3" s="92">
        <v>0</v>
      </c>
      <c r="C3" s="92">
        <v>0</v>
      </c>
      <c r="D3" s="92">
        <v>8</v>
      </c>
      <c r="E3" s="92">
        <v>0</v>
      </c>
      <c r="F3" s="92">
        <v>0</v>
      </c>
      <c r="G3" s="92">
        <v>0</v>
      </c>
      <c r="H3" s="93">
        <v>4033.6</v>
      </c>
    </row>
    <row r="4" spans="1:9" x14ac:dyDescent="0.3">
      <c r="A4" s="12">
        <f>A3+1</f>
        <v>44167</v>
      </c>
      <c r="B4" s="92">
        <v>0</v>
      </c>
      <c r="C4" s="92">
        <v>0</v>
      </c>
      <c r="D4" s="92">
        <v>0</v>
      </c>
      <c r="E4" s="92">
        <v>0</v>
      </c>
      <c r="F4" s="92">
        <v>0</v>
      </c>
      <c r="G4" s="92">
        <v>0</v>
      </c>
      <c r="H4" s="93">
        <v>4033.58</v>
      </c>
    </row>
    <row r="5" spans="1:9" x14ac:dyDescent="0.3">
      <c r="A5" s="12">
        <f t="shared" ref="A5:A33" si="0">A4+1</f>
        <v>44168</v>
      </c>
      <c r="B5" s="92">
        <v>0</v>
      </c>
      <c r="C5" s="92">
        <v>0</v>
      </c>
      <c r="D5" s="92">
        <v>0</v>
      </c>
      <c r="E5" s="92">
        <v>0</v>
      </c>
      <c r="F5" s="92">
        <v>0</v>
      </c>
      <c r="G5" s="92">
        <v>0</v>
      </c>
      <c r="H5" s="93">
        <v>4033.58</v>
      </c>
    </row>
    <row r="6" spans="1:9" x14ac:dyDescent="0.3">
      <c r="A6" s="12">
        <f t="shared" si="0"/>
        <v>44169</v>
      </c>
      <c r="B6" s="92">
        <v>0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3">
        <v>4033.54</v>
      </c>
    </row>
    <row r="7" spans="1:9" x14ac:dyDescent="0.3">
      <c r="A7" s="12">
        <f t="shared" si="0"/>
        <v>44170</v>
      </c>
      <c r="B7" s="92">
        <v>0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3">
        <v>4033.54</v>
      </c>
    </row>
    <row r="8" spans="1:9" x14ac:dyDescent="0.3">
      <c r="A8" s="12">
        <f t="shared" si="0"/>
        <v>44171</v>
      </c>
      <c r="B8" s="92">
        <v>0</v>
      </c>
      <c r="C8" s="92">
        <v>0</v>
      </c>
      <c r="D8" s="92">
        <v>0</v>
      </c>
      <c r="E8" s="92">
        <v>0.06</v>
      </c>
      <c r="F8" s="92">
        <v>0</v>
      </c>
      <c r="G8" s="92">
        <v>0</v>
      </c>
      <c r="H8" s="93">
        <v>4033.52</v>
      </c>
    </row>
    <row r="9" spans="1:9" x14ac:dyDescent="0.3">
      <c r="A9" s="12">
        <f t="shared" si="0"/>
        <v>44172</v>
      </c>
      <c r="B9" s="92">
        <v>0</v>
      </c>
      <c r="C9" s="92">
        <v>0</v>
      </c>
      <c r="D9" s="92">
        <v>0</v>
      </c>
      <c r="E9" s="92">
        <v>0.01</v>
      </c>
      <c r="F9" s="92">
        <v>0</v>
      </c>
      <c r="G9" s="92">
        <v>0</v>
      </c>
      <c r="H9" s="93">
        <v>4033.52</v>
      </c>
    </row>
    <row r="10" spans="1:9" x14ac:dyDescent="0.3">
      <c r="A10" s="12">
        <f t="shared" si="0"/>
        <v>44173</v>
      </c>
      <c r="B10" s="92">
        <v>0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3">
        <v>4033.5</v>
      </c>
    </row>
    <row r="11" spans="1:9" x14ac:dyDescent="0.3">
      <c r="A11" s="12">
        <f t="shared" si="0"/>
        <v>44174</v>
      </c>
      <c r="B11" s="92">
        <v>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3">
        <v>4033.5</v>
      </c>
    </row>
    <row r="12" spans="1:9" x14ac:dyDescent="0.3">
      <c r="A12" s="12">
        <f t="shared" si="0"/>
        <v>44175</v>
      </c>
      <c r="B12" s="92">
        <v>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3">
        <v>4033.5</v>
      </c>
    </row>
    <row r="13" spans="1:9" x14ac:dyDescent="0.3">
      <c r="A13" s="12">
        <f t="shared" si="0"/>
        <v>44176</v>
      </c>
      <c r="B13" s="92">
        <v>0</v>
      </c>
      <c r="C13" s="92">
        <v>5</v>
      </c>
      <c r="D13" s="92">
        <v>0</v>
      </c>
      <c r="E13" s="92">
        <v>0</v>
      </c>
      <c r="F13" s="92">
        <v>0</v>
      </c>
      <c r="G13" s="92">
        <v>0</v>
      </c>
      <c r="H13" s="93">
        <v>4033.54</v>
      </c>
    </row>
    <row r="14" spans="1:9" x14ac:dyDescent="0.3">
      <c r="A14" s="12">
        <f t="shared" si="0"/>
        <v>44177</v>
      </c>
      <c r="B14" s="92">
        <v>0</v>
      </c>
      <c r="C14" s="92">
        <v>10</v>
      </c>
      <c r="D14" s="92">
        <v>0</v>
      </c>
      <c r="E14" s="92">
        <v>0.11</v>
      </c>
      <c r="F14" s="92">
        <v>1.5</v>
      </c>
      <c r="G14" s="92">
        <v>0</v>
      </c>
      <c r="H14" s="93">
        <v>4033.56</v>
      </c>
    </row>
    <row r="15" spans="1:9" x14ac:dyDescent="0.3">
      <c r="A15" s="12">
        <f t="shared" si="0"/>
        <v>44178</v>
      </c>
      <c r="B15" s="92">
        <v>0</v>
      </c>
      <c r="C15" s="92">
        <v>10</v>
      </c>
      <c r="D15" s="92">
        <v>0</v>
      </c>
      <c r="E15" s="92">
        <v>0.01</v>
      </c>
      <c r="F15" s="92">
        <v>0</v>
      </c>
      <c r="G15" s="92">
        <v>0</v>
      </c>
      <c r="H15" s="93">
        <v>4033.58</v>
      </c>
    </row>
    <row r="16" spans="1:9" x14ac:dyDescent="0.3">
      <c r="A16" s="12">
        <f t="shared" si="0"/>
        <v>44179</v>
      </c>
      <c r="B16" s="92">
        <v>0</v>
      </c>
      <c r="C16" s="92">
        <v>10</v>
      </c>
      <c r="D16" s="92">
        <v>0</v>
      </c>
      <c r="E16" s="92">
        <v>0.1</v>
      </c>
      <c r="F16" s="92">
        <v>0</v>
      </c>
      <c r="G16" s="92">
        <v>0</v>
      </c>
      <c r="H16" s="93">
        <v>4033.6</v>
      </c>
    </row>
    <row r="17" spans="1:9" x14ac:dyDescent="0.3">
      <c r="A17" s="12">
        <f t="shared" si="0"/>
        <v>44180</v>
      </c>
      <c r="B17" s="92">
        <v>0</v>
      </c>
      <c r="C17" s="92">
        <v>16</v>
      </c>
      <c r="D17" s="92">
        <v>0</v>
      </c>
      <c r="E17" s="92">
        <v>0.09</v>
      </c>
      <c r="F17" s="92">
        <v>0</v>
      </c>
      <c r="G17" s="92">
        <v>0</v>
      </c>
      <c r="H17" s="93">
        <v>4033.6</v>
      </c>
      <c r="I17" s="96" t="s">
        <v>50</v>
      </c>
    </row>
    <row r="18" spans="1:9" x14ac:dyDescent="0.3">
      <c r="A18" s="12">
        <f t="shared" si="0"/>
        <v>44181</v>
      </c>
      <c r="B18" s="92">
        <v>0</v>
      </c>
      <c r="C18" s="92">
        <v>20</v>
      </c>
      <c r="D18" s="92">
        <v>0</v>
      </c>
      <c r="E18" s="92">
        <v>0</v>
      </c>
      <c r="F18" s="92">
        <v>0</v>
      </c>
      <c r="G18" s="92">
        <v>0</v>
      </c>
      <c r="H18" s="93">
        <v>4033.62</v>
      </c>
      <c r="I18" s="96" t="s">
        <v>51</v>
      </c>
    </row>
    <row r="19" spans="1:9" x14ac:dyDescent="0.3">
      <c r="A19" s="12">
        <f t="shared" si="0"/>
        <v>44182</v>
      </c>
      <c r="B19" s="92">
        <v>0</v>
      </c>
      <c r="C19" s="92">
        <v>20</v>
      </c>
      <c r="D19" s="92">
        <v>0</v>
      </c>
      <c r="E19" s="92">
        <v>0.11</v>
      </c>
      <c r="F19" s="92">
        <v>0</v>
      </c>
      <c r="G19" s="92">
        <v>0</v>
      </c>
      <c r="H19" s="93">
        <v>4033.64</v>
      </c>
      <c r="I19" s="96" t="s">
        <v>51</v>
      </c>
    </row>
    <row r="20" spans="1:9" x14ac:dyDescent="0.3">
      <c r="A20" s="12">
        <f t="shared" si="0"/>
        <v>44183</v>
      </c>
      <c r="B20" s="92">
        <v>0</v>
      </c>
      <c r="C20" s="92">
        <v>17</v>
      </c>
      <c r="D20" s="92">
        <v>0</v>
      </c>
      <c r="E20" s="92">
        <v>0</v>
      </c>
      <c r="F20" s="92">
        <v>0</v>
      </c>
      <c r="G20" s="92">
        <v>0</v>
      </c>
      <c r="H20" s="93">
        <v>4033.65</v>
      </c>
      <c r="I20" s="96" t="s">
        <v>51</v>
      </c>
    </row>
    <row r="21" spans="1:9" x14ac:dyDescent="0.3">
      <c r="A21" s="12">
        <f t="shared" si="0"/>
        <v>44184</v>
      </c>
      <c r="B21" s="92">
        <v>0</v>
      </c>
      <c r="C21" s="92">
        <v>15</v>
      </c>
      <c r="D21" s="92">
        <v>0</v>
      </c>
      <c r="E21" s="92">
        <v>0</v>
      </c>
      <c r="F21" s="92">
        <v>0</v>
      </c>
      <c r="G21" s="92">
        <v>0</v>
      </c>
      <c r="H21" s="93">
        <v>4033.66</v>
      </c>
      <c r="I21" s="96" t="s">
        <v>51</v>
      </c>
    </row>
    <row r="22" spans="1:9" x14ac:dyDescent="0.3">
      <c r="A22" s="12">
        <f t="shared" si="0"/>
        <v>44185</v>
      </c>
      <c r="B22" s="92">
        <v>0</v>
      </c>
      <c r="C22" s="92">
        <v>15</v>
      </c>
      <c r="D22" s="92">
        <v>0</v>
      </c>
      <c r="E22" s="92">
        <v>0</v>
      </c>
      <c r="F22" s="92">
        <v>0</v>
      </c>
      <c r="G22" s="92">
        <v>0</v>
      </c>
      <c r="H22" s="93">
        <v>4033.66</v>
      </c>
      <c r="I22" s="96" t="s">
        <v>51</v>
      </c>
    </row>
    <row r="23" spans="1:9" x14ac:dyDescent="0.3">
      <c r="A23" s="12">
        <f t="shared" si="0"/>
        <v>44186</v>
      </c>
      <c r="B23" s="92">
        <v>0</v>
      </c>
      <c r="C23" s="92">
        <v>15</v>
      </c>
      <c r="D23" s="92">
        <v>0</v>
      </c>
      <c r="E23" s="92">
        <v>0</v>
      </c>
      <c r="F23" s="92">
        <v>0</v>
      </c>
      <c r="G23" s="92">
        <v>0</v>
      </c>
      <c r="H23" s="93">
        <v>4033.66</v>
      </c>
      <c r="I23" s="96"/>
    </row>
    <row r="24" spans="1:9" x14ac:dyDescent="0.3">
      <c r="A24" s="12">
        <f t="shared" si="0"/>
        <v>44187</v>
      </c>
      <c r="B24" s="92">
        <v>0</v>
      </c>
      <c r="C24" s="92">
        <v>15</v>
      </c>
      <c r="D24" s="92">
        <v>0</v>
      </c>
      <c r="E24" s="92" t="s">
        <v>35</v>
      </c>
      <c r="F24" s="92">
        <v>0</v>
      </c>
      <c r="G24" s="92">
        <v>0</v>
      </c>
      <c r="H24" s="93">
        <v>4033.67</v>
      </c>
      <c r="I24" s="96"/>
    </row>
    <row r="25" spans="1:9" x14ac:dyDescent="0.3">
      <c r="A25" s="12">
        <f t="shared" si="0"/>
        <v>44188</v>
      </c>
      <c r="B25" s="92">
        <v>0</v>
      </c>
      <c r="C25" s="92">
        <v>15</v>
      </c>
      <c r="D25" s="92">
        <v>0</v>
      </c>
      <c r="E25" s="92" t="s">
        <v>35</v>
      </c>
      <c r="F25" s="92">
        <v>0</v>
      </c>
      <c r="G25" s="92">
        <v>0</v>
      </c>
      <c r="H25" s="93">
        <v>4033.67</v>
      </c>
      <c r="I25" s="96"/>
    </row>
    <row r="26" spans="1:9" x14ac:dyDescent="0.3">
      <c r="A26" s="12">
        <f t="shared" si="0"/>
        <v>44189</v>
      </c>
      <c r="B26" s="92">
        <v>0</v>
      </c>
      <c r="C26" s="92">
        <v>15</v>
      </c>
      <c r="D26" s="92">
        <v>0</v>
      </c>
      <c r="E26" s="92">
        <v>0</v>
      </c>
      <c r="F26" s="92">
        <v>0</v>
      </c>
      <c r="G26" s="92">
        <v>0</v>
      </c>
      <c r="H26" s="93">
        <v>4033.68</v>
      </c>
      <c r="I26" s="96"/>
    </row>
    <row r="27" spans="1:9" x14ac:dyDescent="0.3">
      <c r="A27" s="12">
        <f t="shared" si="0"/>
        <v>44190</v>
      </c>
      <c r="B27" s="92">
        <v>0</v>
      </c>
      <c r="C27" s="92">
        <v>14</v>
      </c>
      <c r="D27" s="92">
        <v>0</v>
      </c>
      <c r="E27" s="92">
        <v>0</v>
      </c>
      <c r="F27" s="92">
        <v>0</v>
      </c>
      <c r="G27" s="92">
        <v>0</v>
      </c>
      <c r="H27" s="93">
        <v>4033.68</v>
      </c>
      <c r="I27" s="96"/>
    </row>
    <row r="28" spans="1:9" x14ac:dyDescent="0.3">
      <c r="A28" s="12">
        <f t="shared" si="0"/>
        <v>44191</v>
      </c>
      <c r="B28" s="92">
        <v>0</v>
      </c>
      <c r="C28" s="92">
        <v>10</v>
      </c>
      <c r="D28" s="92">
        <v>0</v>
      </c>
      <c r="E28" s="92">
        <v>0</v>
      </c>
      <c r="F28" s="92">
        <v>0</v>
      </c>
      <c r="G28" s="92">
        <v>0</v>
      </c>
      <c r="H28" s="93">
        <v>4033.68</v>
      </c>
      <c r="I28" s="96"/>
    </row>
    <row r="29" spans="1:9" x14ac:dyDescent="0.3">
      <c r="A29" s="12">
        <f t="shared" si="0"/>
        <v>44192</v>
      </c>
      <c r="B29" s="92">
        <v>0</v>
      </c>
      <c r="C29" s="92">
        <v>10</v>
      </c>
      <c r="D29" s="92">
        <v>0</v>
      </c>
      <c r="E29" s="92" t="s">
        <v>35</v>
      </c>
      <c r="F29" s="92">
        <v>0</v>
      </c>
      <c r="G29" s="92">
        <v>0</v>
      </c>
      <c r="H29" s="93">
        <v>4033.7</v>
      </c>
      <c r="I29" s="96"/>
    </row>
    <row r="30" spans="1:9" x14ac:dyDescent="0.3">
      <c r="A30" s="12">
        <f t="shared" si="0"/>
        <v>44193</v>
      </c>
      <c r="B30" s="92">
        <v>0</v>
      </c>
      <c r="C30" s="92">
        <v>10</v>
      </c>
      <c r="D30" s="92">
        <v>0</v>
      </c>
      <c r="E30" s="92">
        <v>0</v>
      </c>
      <c r="F30" s="92">
        <v>0</v>
      </c>
      <c r="G30" s="92">
        <v>0</v>
      </c>
      <c r="H30" s="93">
        <v>4033.7</v>
      </c>
    </row>
    <row r="31" spans="1:9" x14ac:dyDescent="0.3">
      <c r="A31" s="12">
        <f t="shared" si="0"/>
        <v>44194</v>
      </c>
      <c r="B31" s="92">
        <v>0</v>
      </c>
      <c r="C31" s="92">
        <v>10</v>
      </c>
      <c r="D31" s="92">
        <v>0</v>
      </c>
      <c r="E31" s="92">
        <v>0</v>
      </c>
      <c r="F31" s="92">
        <v>0</v>
      </c>
      <c r="G31" s="92">
        <v>0</v>
      </c>
      <c r="H31" s="93">
        <v>4033.7</v>
      </c>
    </row>
    <row r="32" spans="1:9" x14ac:dyDescent="0.3">
      <c r="A32" s="12">
        <f t="shared" si="0"/>
        <v>44195</v>
      </c>
      <c r="B32" s="92">
        <v>0</v>
      </c>
      <c r="C32" s="92">
        <v>10</v>
      </c>
      <c r="D32" s="92">
        <v>0</v>
      </c>
      <c r="E32" s="92">
        <v>0</v>
      </c>
      <c r="F32" s="92">
        <v>0</v>
      </c>
      <c r="G32" s="92">
        <v>0</v>
      </c>
      <c r="H32" s="93">
        <v>4033.7</v>
      </c>
    </row>
    <row r="33" spans="1:15" ht="15" thickBot="1" x14ac:dyDescent="0.35">
      <c r="A33" s="12">
        <f t="shared" si="0"/>
        <v>44196</v>
      </c>
      <c r="B33" s="100">
        <v>0</v>
      </c>
      <c r="C33" s="92">
        <v>10</v>
      </c>
      <c r="D33" s="92">
        <v>0</v>
      </c>
      <c r="E33" s="100">
        <v>0.2</v>
      </c>
      <c r="F33" s="92">
        <v>3</v>
      </c>
      <c r="G33" s="92">
        <v>0</v>
      </c>
      <c r="H33" s="93">
        <v>4033.7</v>
      </c>
    </row>
    <row r="34" spans="1:15" s="11" customFormat="1" ht="15" thickTop="1" x14ac:dyDescent="0.3">
      <c r="A34" s="15" t="s">
        <v>8</v>
      </c>
      <c r="B34" s="16">
        <f t="shared" ref="B34:G34" si="1">SUM(B3:B33)</f>
        <v>0</v>
      </c>
      <c r="C34" s="16">
        <f t="shared" si="1"/>
        <v>272</v>
      </c>
      <c r="D34" s="16">
        <f t="shared" si="1"/>
        <v>8</v>
      </c>
      <c r="E34" s="17">
        <f t="shared" si="1"/>
        <v>0.69</v>
      </c>
      <c r="F34" s="17">
        <f t="shared" si="1"/>
        <v>4.5</v>
      </c>
      <c r="G34" s="16">
        <f t="shared" si="1"/>
        <v>0</v>
      </c>
      <c r="H34" s="17"/>
    </row>
    <row r="35" spans="1:15" s="11" customFormat="1" x14ac:dyDescent="0.3">
      <c r="A35" s="18" t="s">
        <v>9</v>
      </c>
      <c r="B35" s="19">
        <f>SUM(B34+'Nov 2020'!B34)</f>
        <v>4861</v>
      </c>
      <c r="C35" s="19">
        <f>SUM(C34+'Nov 2020'!C34)</f>
        <v>1039</v>
      </c>
      <c r="D35" s="19">
        <f>SUM(D34+'Nov 2020'!D34)</f>
        <v>6093</v>
      </c>
      <c r="E35" s="20">
        <f>SUM(E34+'Nov 2020'!E34)</f>
        <v>1.62</v>
      </c>
      <c r="F35" s="20">
        <f>SUM(F34+'Nov 2020'!F34)</f>
        <v>4.7</v>
      </c>
      <c r="G35" s="19">
        <f>SUM(G34+'Nov 2020'!G34)</f>
        <v>0</v>
      </c>
      <c r="H35" s="20"/>
    </row>
    <row r="37" spans="1:15" x14ac:dyDescent="0.3">
      <c r="A37" t="s">
        <v>10</v>
      </c>
      <c r="B37" s="22">
        <f>SUM(B3:B33)*1.9835</f>
        <v>0</v>
      </c>
      <c r="C37" s="22">
        <f>SUM(C3:C33)*1.9835</f>
        <v>539.51200000000006</v>
      </c>
      <c r="D37" s="22">
        <f>SUM(D3:D33)*1.9835</f>
        <v>15.868</v>
      </c>
      <c r="E37" s="22"/>
      <c r="F37" s="22"/>
      <c r="G37" s="22"/>
      <c r="I37" s="21"/>
    </row>
    <row r="39" spans="1:15" x14ac:dyDescent="0.3">
      <c r="A39" t="s">
        <v>24</v>
      </c>
      <c r="B39" s="22">
        <f>SUM('Nov 2020'!B38+B37)</f>
        <v>9641.7934999999998</v>
      </c>
      <c r="C39" s="22">
        <f>SUM('Nov 2020'!C38+C37)</f>
        <v>2060.8564999999999</v>
      </c>
      <c r="D39" s="22">
        <f>SUM('Nov 2020'!D38+D37)</f>
        <v>12085.4655</v>
      </c>
      <c r="E39" s="22"/>
      <c r="F39" s="22"/>
      <c r="G39" s="22"/>
      <c r="I39" s="21"/>
    </row>
    <row r="40" spans="1:15" x14ac:dyDescent="0.3">
      <c r="B40" s="22"/>
      <c r="C40" s="22"/>
      <c r="D40" s="23"/>
      <c r="E40" s="22"/>
      <c r="F40" s="22"/>
      <c r="G40" s="22"/>
      <c r="I40" s="21"/>
    </row>
    <row r="41" spans="1:15" ht="17.399999999999999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  <c r="K41" s="27"/>
      <c r="L41" s="27"/>
      <c r="M41" s="27"/>
      <c r="N41" s="28"/>
      <c r="O41" s="27"/>
    </row>
    <row r="42" spans="1:15" ht="16.95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7"/>
      <c r="N42" s="28"/>
      <c r="O42" s="27"/>
    </row>
    <row r="43" spans="1:15" ht="13.95" customHeight="1" x14ac:dyDescent="0.3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29"/>
      <c r="L43" s="29"/>
      <c r="M43" s="29"/>
      <c r="N43" s="30"/>
      <c r="O43" s="31"/>
    </row>
    <row r="44" spans="1:15" ht="15.6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1"/>
      <c r="N48" s="30"/>
    </row>
    <row r="49" spans="1:15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1"/>
      <c r="N49" s="30"/>
    </row>
    <row r="50" spans="1:15" ht="13.2" customHeight="1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1"/>
      <c r="N50" s="30"/>
      <c r="O50" s="31"/>
    </row>
    <row r="51" spans="1:15" ht="15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1"/>
      <c r="N51" s="30"/>
      <c r="O51" s="31"/>
    </row>
    <row r="52" spans="1:15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  <c r="J52" s="54"/>
    </row>
    <row r="53" spans="1:15" ht="15.6" x14ac:dyDescent="0.3">
      <c r="A53" s="55"/>
      <c r="B53" s="56"/>
      <c r="C53" s="57"/>
      <c r="D53" s="58"/>
      <c r="E53" s="59"/>
      <c r="F53" s="60"/>
      <c r="G53" s="61"/>
      <c r="H53" s="62"/>
      <c r="I53" s="63"/>
      <c r="J53" s="63"/>
    </row>
    <row r="54" spans="1:15" x14ac:dyDescent="0.3">
      <c r="A54" s="64"/>
      <c r="B54" s="65"/>
      <c r="C54" s="66"/>
      <c r="D54" s="58"/>
      <c r="E54" s="67"/>
      <c r="F54" s="68"/>
      <c r="G54" s="61"/>
      <c r="H54" s="62"/>
    </row>
    <row r="55" spans="1:15" x14ac:dyDescent="0.3">
      <c r="A55" s="64"/>
      <c r="B55" s="65"/>
      <c r="C55" s="66"/>
      <c r="D55" s="58"/>
      <c r="E55" s="69"/>
      <c r="F55" s="68"/>
      <c r="G55" s="61"/>
      <c r="H55" s="62"/>
    </row>
    <row r="56" spans="1:15" x14ac:dyDescent="0.3">
      <c r="A56" s="64"/>
      <c r="B56" s="65"/>
      <c r="C56" s="66"/>
      <c r="D56" s="58"/>
      <c r="E56" s="69"/>
      <c r="F56" s="68"/>
      <c r="G56" s="61"/>
      <c r="H56" s="62"/>
    </row>
    <row r="57" spans="1:15" ht="15" thickBot="1" x14ac:dyDescent="0.35">
      <c r="A57" s="70"/>
      <c r="B57" s="71"/>
      <c r="C57" s="72"/>
      <c r="D57" s="73"/>
      <c r="E57" s="72"/>
      <c r="F57" s="74"/>
      <c r="G57" s="61"/>
      <c r="H57" s="62"/>
      <c r="I57" s="75"/>
      <c r="J57" s="75"/>
    </row>
    <row r="58" spans="1:15" s="81" customFormat="1" ht="30" customHeight="1" x14ac:dyDescent="0.3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57"/>
  <sheetViews>
    <sheetView topLeftCell="A9" zoomScale="80" zoomScaleNormal="80" workbookViewId="0">
      <selection activeCell="G3" sqref="G3:G32"/>
    </sheetView>
  </sheetViews>
  <sheetFormatPr defaultRowHeight="14.4" x14ac:dyDescent="0.3"/>
  <cols>
    <col min="1" max="1" width="13.5546875" style="2" bestFit="1" customWidth="1"/>
    <col min="2" max="4" width="11.6640625" style="6" customWidth="1"/>
    <col min="5" max="6" width="11.6640625" customWidth="1"/>
    <col min="7" max="7" width="11.6640625" style="6" customWidth="1"/>
    <col min="8" max="8" width="11.6640625" customWidth="1"/>
    <col min="9" max="9" width="29" bestFit="1" customWidth="1"/>
  </cols>
  <sheetData>
    <row r="1" spans="1:9" s="1" customFormat="1" ht="28.8" x14ac:dyDescent="0.3">
      <c r="A1" s="84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3">
      <c r="A2" s="83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2"/>
    </row>
    <row r="3" spans="1:9" x14ac:dyDescent="0.3">
      <c r="A3" s="12">
        <v>44136</v>
      </c>
      <c r="B3" s="98">
        <v>125</v>
      </c>
      <c r="C3" s="98">
        <v>0</v>
      </c>
      <c r="D3" s="98">
        <v>130</v>
      </c>
      <c r="E3" s="98">
        <v>0</v>
      </c>
      <c r="F3" s="98">
        <v>0</v>
      </c>
      <c r="G3" s="98">
        <v>0</v>
      </c>
      <c r="H3" s="98">
        <v>4033.88</v>
      </c>
      <c r="I3" s="91"/>
    </row>
    <row r="4" spans="1:9" x14ac:dyDescent="0.3">
      <c r="A4" s="12">
        <f>A3+1</f>
        <v>44137</v>
      </c>
      <c r="B4" s="98">
        <v>125</v>
      </c>
      <c r="C4" s="98">
        <v>0</v>
      </c>
      <c r="D4" s="98">
        <v>139</v>
      </c>
      <c r="E4" s="98">
        <v>0</v>
      </c>
      <c r="F4" s="98">
        <v>0</v>
      </c>
      <c r="G4" s="98">
        <v>0</v>
      </c>
      <c r="H4" s="98">
        <v>4033.84</v>
      </c>
      <c r="I4" s="91"/>
    </row>
    <row r="5" spans="1:9" x14ac:dyDescent="0.3">
      <c r="A5" s="12">
        <f t="shared" ref="A5:A32" si="0">A4+1</f>
        <v>44138</v>
      </c>
      <c r="B5" s="98">
        <v>125</v>
      </c>
      <c r="C5" s="98">
        <v>0</v>
      </c>
      <c r="D5" s="98">
        <v>145</v>
      </c>
      <c r="E5" s="98">
        <v>0</v>
      </c>
      <c r="F5" s="98">
        <v>0</v>
      </c>
      <c r="G5" s="98">
        <v>0</v>
      </c>
      <c r="H5" s="98">
        <v>4033.8</v>
      </c>
      <c r="I5" s="91"/>
    </row>
    <row r="6" spans="1:9" x14ac:dyDescent="0.3">
      <c r="A6" s="12">
        <f t="shared" si="0"/>
        <v>44139</v>
      </c>
      <c r="B6" s="98">
        <v>168</v>
      </c>
      <c r="C6" s="98">
        <v>0</v>
      </c>
      <c r="D6" s="98">
        <v>141</v>
      </c>
      <c r="E6" s="98">
        <v>0</v>
      </c>
      <c r="F6" s="98">
        <v>0</v>
      </c>
      <c r="G6" s="98">
        <v>0</v>
      </c>
      <c r="H6" s="98">
        <v>4033.75</v>
      </c>
      <c r="I6" s="91" t="s">
        <v>44</v>
      </c>
    </row>
    <row r="7" spans="1:9" x14ac:dyDescent="0.3">
      <c r="A7" s="12">
        <f t="shared" si="0"/>
        <v>44140</v>
      </c>
      <c r="B7" s="98">
        <v>127</v>
      </c>
      <c r="C7" s="98">
        <v>0</v>
      </c>
      <c r="D7" s="98">
        <v>109</v>
      </c>
      <c r="E7" s="98">
        <v>0</v>
      </c>
      <c r="F7" s="98">
        <v>0</v>
      </c>
      <c r="G7" s="98">
        <v>0</v>
      </c>
      <c r="H7" s="98">
        <v>4033.73</v>
      </c>
      <c r="I7" s="91" t="s">
        <v>45</v>
      </c>
    </row>
    <row r="8" spans="1:9" x14ac:dyDescent="0.3">
      <c r="A8" s="12">
        <f t="shared" si="0"/>
        <v>44141</v>
      </c>
      <c r="B8" s="98">
        <v>92</v>
      </c>
      <c r="C8" s="98">
        <v>0</v>
      </c>
      <c r="D8" s="98">
        <v>84</v>
      </c>
      <c r="E8" s="98">
        <v>0.06</v>
      </c>
      <c r="F8" s="98">
        <v>0</v>
      </c>
      <c r="G8" s="98">
        <v>0</v>
      </c>
      <c r="H8" s="98">
        <v>4033.7</v>
      </c>
      <c r="I8" s="91" t="s">
        <v>46</v>
      </c>
    </row>
    <row r="9" spans="1:9" x14ac:dyDescent="0.3">
      <c r="A9" s="12">
        <f t="shared" si="0"/>
        <v>44142</v>
      </c>
      <c r="B9" s="98">
        <v>75</v>
      </c>
      <c r="C9" s="98">
        <v>0</v>
      </c>
      <c r="D9" s="98">
        <v>80</v>
      </c>
      <c r="E9" s="98" t="s">
        <v>35</v>
      </c>
      <c r="F9" s="98">
        <v>0</v>
      </c>
      <c r="G9" s="98">
        <v>0</v>
      </c>
      <c r="H9" s="98">
        <v>4033.68</v>
      </c>
      <c r="I9" s="91"/>
    </row>
    <row r="10" spans="1:9" x14ac:dyDescent="0.3">
      <c r="A10" s="12">
        <f t="shared" si="0"/>
        <v>44143</v>
      </c>
      <c r="B10" s="98">
        <v>67</v>
      </c>
      <c r="C10" s="98">
        <v>0</v>
      </c>
      <c r="D10" s="98">
        <v>69</v>
      </c>
      <c r="E10" s="98">
        <v>0.02</v>
      </c>
      <c r="F10" s="98">
        <v>0.2</v>
      </c>
      <c r="G10" s="98">
        <v>0</v>
      </c>
      <c r="H10" s="98">
        <v>4033.68</v>
      </c>
      <c r="I10" s="91" t="s">
        <v>47</v>
      </c>
    </row>
    <row r="11" spans="1:9" x14ac:dyDescent="0.3">
      <c r="A11" s="12">
        <f t="shared" si="0"/>
        <v>44144</v>
      </c>
      <c r="B11" s="98">
        <v>50</v>
      </c>
      <c r="C11" s="98">
        <v>0</v>
      </c>
      <c r="D11" s="98">
        <v>56</v>
      </c>
      <c r="E11" s="98">
        <v>0</v>
      </c>
      <c r="F11" s="98">
        <v>0</v>
      </c>
      <c r="G11" s="98">
        <v>0</v>
      </c>
      <c r="H11" s="98">
        <v>4034.68</v>
      </c>
      <c r="I11" s="91"/>
    </row>
    <row r="12" spans="1:9" x14ac:dyDescent="0.3">
      <c r="A12" s="12">
        <f t="shared" si="0"/>
        <v>44145</v>
      </c>
      <c r="B12" s="98">
        <v>39</v>
      </c>
      <c r="C12" s="98">
        <v>0</v>
      </c>
      <c r="D12" s="98">
        <v>52</v>
      </c>
      <c r="E12" s="98">
        <v>0</v>
      </c>
      <c r="F12" s="98">
        <v>0</v>
      </c>
      <c r="G12" s="98">
        <v>0</v>
      </c>
      <c r="H12" s="98">
        <v>4034.67</v>
      </c>
      <c r="I12" s="91" t="s">
        <v>48</v>
      </c>
    </row>
    <row r="13" spans="1:9" x14ac:dyDescent="0.3">
      <c r="A13" s="12">
        <f t="shared" si="0"/>
        <v>44146</v>
      </c>
      <c r="B13" s="98">
        <v>19</v>
      </c>
      <c r="C13" s="98">
        <v>0</v>
      </c>
      <c r="D13" s="98">
        <v>46</v>
      </c>
      <c r="E13" s="98">
        <v>0</v>
      </c>
      <c r="F13" s="98">
        <v>0</v>
      </c>
      <c r="G13" s="98">
        <v>0</v>
      </c>
      <c r="H13" s="98">
        <v>4034.67</v>
      </c>
      <c r="I13" s="91" t="s">
        <v>49</v>
      </c>
    </row>
    <row r="14" spans="1:9" x14ac:dyDescent="0.3">
      <c r="A14" s="12">
        <f t="shared" si="0"/>
        <v>44147</v>
      </c>
      <c r="B14" s="98">
        <v>0</v>
      </c>
      <c r="C14" s="98">
        <v>0</v>
      </c>
      <c r="D14" s="98">
        <v>41</v>
      </c>
      <c r="E14" s="98">
        <v>0</v>
      </c>
      <c r="F14" s="98">
        <v>0</v>
      </c>
      <c r="G14" s="98">
        <v>0</v>
      </c>
      <c r="H14" s="98">
        <v>4034.66</v>
      </c>
      <c r="I14" s="91"/>
    </row>
    <row r="15" spans="1:9" x14ac:dyDescent="0.3">
      <c r="A15" s="12">
        <f t="shared" si="0"/>
        <v>44148</v>
      </c>
      <c r="B15" s="98">
        <v>0</v>
      </c>
      <c r="C15" s="98">
        <v>0</v>
      </c>
      <c r="D15" s="98">
        <v>42</v>
      </c>
      <c r="E15" s="98">
        <v>0.13</v>
      </c>
      <c r="F15" s="98">
        <v>0</v>
      </c>
      <c r="G15" s="98">
        <v>0</v>
      </c>
      <c r="H15" s="98">
        <v>4034.66</v>
      </c>
      <c r="I15" s="91"/>
    </row>
    <row r="16" spans="1:9" x14ac:dyDescent="0.3">
      <c r="A16" s="12">
        <f t="shared" si="0"/>
        <v>44149</v>
      </c>
      <c r="B16" s="98">
        <v>0</v>
      </c>
      <c r="C16" s="98">
        <v>0</v>
      </c>
      <c r="D16" s="98">
        <v>51</v>
      </c>
      <c r="E16" s="98">
        <v>0.03</v>
      </c>
      <c r="F16" s="98">
        <v>0</v>
      </c>
      <c r="G16" s="98">
        <v>0</v>
      </c>
      <c r="H16" s="98">
        <v>4034.65</v>
      </c>
      <c r="I16" s="91"/>
    </row>
    <row r="17" spans="1:9" x14ac:dyDescent="0.3">
      <c r="A17" s="12">
        <f t="shared" si="0"/>
        <v>44150</v>
      </c>
      <c r="B17" s="98">
        <v>0</v>
      </c>
      <c r="C17" s="98">
        <v>0</v>
      </c>
      <c r="D17" s="98">
        <v>54</v>
      </c>
      <c r="E17" s="98">
        <v>0.31</v>
      </c>
      <c r="F17" s="98">
        <v>0</v>
      </c>
      <c r="G17" s="98">
        <v>0</v>
      </c>
      <c r="H17" s="98">
        <v>4034.65</v>
      </c>
      <c r="I17" s="91"/>
    </row>
    <row r="18" spans="1:9" x14ac:dyDescent="0.3">
      <c r="A18" s="12">
        <f t="shared" si="0"/>
        <v>44151</v>
      </c>
      <c r="B18" s="98">
        <v>0</v>
      </c>
      <c r="C18" s="98">
        <v>0</v>
      </c>
      <c r="D18" s="98">
        <v>54</v>
      </c>
      <c r="E18" s="98">
        <v>0.02</v>
      </c>
      <c r="F18" s="98">
        <v>0</v>
      </c>
      <c r="G18" s="98">
        <v>0</v>
      </c>
      <c r="H18" s="98">
        <v>4034.66</v>
      </c>
      <c r="I18" s="91"/>
    </row>
    <row r="19" spans="1:9" x14ac:dyDescent="0.3">
      <c r="A19" s="12">
        <f t="shared" si="0"/>
        <v>44152</v>
      </c>
      <c r="B19" s="98">
        <v>0</v>
      </c>
      <c r="C19" s="98">
        <v>0</v>
      </c>
      <c r="D19" s="98">
        <v>48</v>
      </c>
      <c r="E19" s="98">
        <v>0.01</v>
      </c>
      <c r="F19" s="98">
        <v>0</v>
      </c>
      <c r="G19" s="98">
        <v>0</v>
      </c>
      <c r="H19" s="98">
        <v>4034.66</v>
      </c>
      <c r="I19" s="91"/>
    </row>
    <row r="20" spans="1:9" x14ac:dyDescent="0.3">
      <c r="A20" s="12">
        <f t="shared" si="0"/>
        <v>44153</v>
      </c>
      <c r="B20" s="98">
        <v>0</v>
      </c>
      <c r="C20" s="98">
        <v>0</v>
      </c>
      <c r="D20" s="98">
        <v>52</v>
      </c>
      <c r="E20" s="98">
        <v>0.21</v>
      </c>
      <c r="F20" s="98">
        <v>0</v>
      </c>
      <c r="G20" s="98">
        <v>0</v>
      </c>
      <c r="H20" s="98">
        <v>4034.66</v>
      </c>
      <c r="I20" s="91"/>
    </row>
    <row r="21" spans="1:9" x14ac:dyDescent="0.3">
      <c r="A21" s="12">
        <f t="shared" si="0"/>
        <v>44154</v>
      </c>
      <c r="B21" s="98">
        <v>0</v>
      </c>
      <c r="C21" s="98">
        <v>0</v>
      </c>
      <c r="D21" s="98">
        <v>53</v>
      </c>
      <c r="E21" s="98">
        <v>0.01</v>
      </c>
      <c r="F21" s="98">
        <v>0</v>
      </c>
      <c r="G21" s="98">
        <v>0</v>
      </c>
      <c r="H21" s="98">
        <v>4034.66</v>
      </c>
      <c r="I21" s="91"/>
    </row>
    <row r="22" spans="1:9" x14ac:dyDescent="0.3">
      <c r="A22" s="12">
        <f t="shared" si="0"/>
        <v>44155</v>
      </c>
      <c r="B22" s="98">
        <v>0</v>
      </c>
      <c r="C22" s="98">
        <v>0</v>
      </c>
      <c r="D22" s="98">
        <v>53</v>
      </c>
      <c r="E22" s="98">
        <v>0</v>
      </c>
      <c r="F22" s="98">
        <v>0</v>
      </c>
      <c r="G22" s="98">
        <v>0</v>
      </c>
      <c r="H22" s="98">
        <v>4034.65</v>
      </c>
      <c r="I22" s="91"/>
    </row>
    <row r="23" spans="1:9" x14ac:dyDescent="0.3">
      <c r="A23" s="12">
        <f t="shared" si="0"/>
        <v>44156</v>
      </c>
      <c r="B23" s="98">
        <v>0</v>
      </c>
      <c r="C23" s="98">
        <v>0</v>
      </c>
      <c r="D23" s="98">
        <v>38</v>
      </c>
      <c r="E23" s="98">
        <v>0.01</v>
      </c>
      <c r="F23" s="98">
        <v>0</v>
      </c>
      <c r="G23" s="98">
        <v>0</v>
      </c>
      <c r="H23" s="98">
        <v>4034.65</v>
      </c>
      <c r="I23" s="91"/>
    </row>
    <row r="24" spans="1:9" x14ac:dyDescent="0.3">
      <c r="A24" s="12">
        <f t="shared" si="0"/>
        <v>44157</v>
      </c>
      <c r="B24" s="98">
        <v>0</v>
      </c>
      <c r="C24" s="98">
        <v>0</v>
      </c>
      <c r="D24" s="98">
        <v>30</v>
      </c>
      <c r="E24" s="98">
        <v>0</v>
      </c>
      <c r="F24" s="98">
        <v>0</v>
      </c>
      <c r="G24" s="98">
        <v>0</v>
      </c>
      <c r="H24" s="98">
        <v>4034.65</v>
      </c>
      <c r="I24" s="91"/>
    </row>
    <row r="25" spans="1:9" x14ac:dyDescent="0.3">
      <c r="A25" s="12">
        <f t="shared" si="0"/>
        <v>44158</v>
      </c>
      <c r="B25" s="98">
        <v>0</v>
      </c>
      <c r="C25" s="98">
        <v>0</v>
      </c>
      <c r="D25" s="98">
        <v>30</v>
      </c>
      <c r="E25" s="98">
        <v>0</v>
      </c>
      <c r="F25" s="98">
        <v>0</v>
      </c>
      <c r="G25" s="98">
        <v>0</v>
      </c>
      <c r="H25" s="98">
        <v>4034.64</v>
      </c>
      <c r="I25" s="91"/>
    </row>
    <row r="26" spans="1:9" x14ac:dyDescent="0.3">
      <c r="A26" s="12">
        <f t="shared" si="0"/>
        <v>44159</v>
      </c>
      <c r="B26" s="98">
        <v>0</v>
      </c>
      <c r="C26" s="98">
        <v>0</v>
      </c>
      <c r="D26" s="98">
        <v>30</v>
      </c>
      <c r="E26" s="98">
        <v>0</v>
      </c>
      <c r="F26" s="98">
        <v>0</v>
      </c>
      <c r="G26" s="98">
        <v>0</v>
      </c>
      <c r="H26" s="98">
        <v>4034.63</v>
      </c>
      <c r="I26" s="91"/>
    </row>
    <row r="27" spans="1:9" x14ac:dyDescent="0.3">
      <c r="A27" s="12">
        <f t="shared" si="0"/>
        <v>44160</v>
      </c>
      <c r="B27" s="98">
        <v>0</v>
      </c>
      <c r="C27" s="98">
        <v>0</v>
      </c>
      <c r="D27" s="98">
        <v>30</v>
      </c>
      <c r="E27" s="98">
        <v>7.0000000000000007E-2</v>
      </c>
      <c r="F27" s="98">
        <v>0</v>
      </c>
      <c r="G27" s="98">
        <v>0</v>
      </c>
      <c r="H27" s="98">
        <v>4034.62</v>
      </c>
      <c r="I27" s="91"/>
    </row>
    <row r="28" spans="1:9" x14ac:dyDescent="0.3">
      <c r="A28" s="12">
        <f t="shared" si="0"/>
        <v>44161</v>
      </c>
      <c r="B28" s="98">
        <v>0</v>
      </c>
      <c r="C28" s="98">
        <v>0</v>
      </c>
      <c r="D28" s="98">
        <v>25</v>
      </c>
      <c r="E28" s="98">
        <v>0</v>
      </c>
      <c r="F28" s="98">
        <v>0</v>
      </c>
      <c r="G28" s="98">
        <v>0</v>
      </c>
      <c r="H28" s="98">
        <v>4034.62</v>
      </c>
      <c r="I28" s="91"/>
    </row>
    <row r="29" spans="1:9" x14ac:dyDescent="0.3">
      <c r="A29" s="12">
        <f t="shared" si="0"/>
        <v>44162</v>
      </c>
      <c r="B29" s="98">
        <v>0</v>
      </c>
      <c r="C29" s="98">
        <v>0</v>
      </c>
      <c r="D29" s="98">
        <v>25</v>
      </c>
      <c r="E29" s="98">
        <v>0</v>
      </c>
      <c r="F29" s="98">
        <v>0</v>
      </c>
      <c r="G29" s="98">
        <v>0</v>
      </c>
      <c r="H29" s="98">
        <v>4034.62</v>
      </c>
      <c r="I29" s="91"/>
    </row>
    <row r="30" spans="1:9" x14ac:dyDescent="0.3">
      <c r="A30" s="12">
        <f t="shared" si="0"/>
        <v>44163</v>
      </c>
      <c r="B30" s="98">
        <v>0</v>
      </c>
      <c r="C30" s="98">
        <v>0</v>
      </c>
      <c r="D30" s="98">
        <v>25</v>
      </c>
      <c r="E30" s="98">
        <v>0</v>
      </c>
      <c r="F30" s="98">
        <v>0</v>
      </c>
      <c r="G30" s="98">
        <v>0</v>
      </c>
      <c r="H30" s="98">
        <v>4034.62</v>
      </c>
      <c r="I30" s="91"/>
    </row>
    <row r="31" spans="1:9" x14ac:dyDescent="0.3">
      <c r="A31" s="12">
        <f t="shared" si="0"/>
        <v>44164</v>
      </c>
      <c r="B31" s="98">
        <v>0</v>
      </c>
      <c r="C31" s="98">
        <v>0</v>
      </c>
      <c r="D31" s="98">
        <v>23</v>
      </c>
      <c r="E31" s="98">
        <v>0</v>
      </c>
      <c r="F31" s="98">
        <v>0</v>
      </c>
      <c r="G31" s="98">
        <v>0</v>
      </c>
      <c r="H31" s="98">
        <v>4033.62</v>
      </c>
      <c r="I31" s="91"/>
    </row>
    <row r="32" spans="1:9" ht="15" thickBot="1" x14ac:dyDescent="0.35">
      <c r="A32" s="12">
        <f t="shared" si="0"/>
        <v>44165</v>
      </c>
      <c r="B32" s="98">
        <v>0</v>
      </c>
      <c r="C32" s="98">
        <v>0</v>
      </c>
      <c r="D32" s="98">
        <v>20</v>
      </c>
      <c r="E32" s="99">
        <v>0</v>
      </c>
      <c r="F32" s="99">
        <v>0</v>
      </c>
      <c r="G32" s="99">
        <v>0</v>
      </c>
      <c r="H32" s="98">
        <v>4033.6</v>
      </c>
      <c r="I32" s="91"/>
    </row>
    <row r="33" spans="1:15" s="11" customFormat="1" ht="15" thickTop="1" x14ac:dyDescent="0.3">
      <c r="A33" s="15" t="s">
        <v>8</v>
      </c>
      <c r="B33" s="16">
        <f t="shared" ref="B33:F33" si="1">SUM(B3:B32)</f>
        <v>1012</v>
      </c>
      <c r="C33" s="16">
        <f t="shared" si="1"/>
        <v>0</v>
      </c>
      <c r="D33" s="16">
        <f t="shared" si="1"/>
        <v>1775</v>
      </c>
      <c r="E33" s="17">
        <f t="shared" si="1"/>
        <v>0.88000000000000012</v>
      </c>
      <c r="F33" s="17">
        <f t="shared" si="1"/>
        <v>0.2</v>
      </c>
      <c r="G33" s="16">
        <f>SUM(G3:G32)</f>
        <v>0</v>
      </c>
      <c r="H33" s="17"/>
      <c r="I33"/>
    </row>
    <row r="34" spans="1:15" s="11" customFormat="1" x14ac:dyDescent="0.3">
      <c r="A34" s="18" t="s">
        <v>9</v>
      </c>
      <c r="B34" s="19">
        <f>SUM(B33+'Oct 2020'!B35)</f>
        <v>4861</v>
      </c>
      <c r="C34" s="19">
        <f>SUM(C33+'Oct 2020'!C35)</f>
        <v>767</v>
      </c>
      <c r="D34" s="19">
        <f>SUM(D33+'Oct 2020'!D35)</f>
        <v>6085</v>
      </c>
      <c r="E34" s="20">
        <f>SUM(E33+'Oct 2020'!E35)</f>
        <v>0.93000000000000016</v>
      </c>
      <c r="F34" s="20">
        <f>SUM(F33+'Oct 2020'!F35)</f>
        <v>0.2</v>
      </c>
      <c r="G34" s="19">
        <f>SUM(G33+'Oct 2020'!G35)</f>
        <v>0</v>
      </c>
      <c r="H34" s="20"/>
    </row>
    <row r="35" spans="1:15" x14ac:dyDescent="0.3">
      <c r="I35" s="11"/>
    </row>
    <row r="36" spans="1:15" x14ac:dyDescent="0.3">
      <c r="A36" t="s">
        <v>10</v>
      </c>
      <c r="B36" s="22">
        <f>SUM(B3:B32)*1.9835</f>
        <v>2007.3020000000001</v>
      </c>
      <c r="C36" s="22">
        <f>SUM(C3:C32)*1.9835</f>
        <v>0</v>
      </c>
      <c r="D36" s="22">
        <f>SUM(D3:D32)*1.9835</f>
        <v>3520.7125000000001</v>
      </c>
      <c r="E36" s="22"/>
      <c r="F36" s="22"/>
      <c r="G36" s="22"/>
      <c r="I36" s="21"/>
    </row>
    <row r="37" spans="1:15" x14ac:dyDescent="0.3">
      <c r="A37"/>
      <c r="B37"/>
      <c r="C37"/>
      <c r="D37"/>
      <c r="G37"/>
    </row>
    <row r="38" spans="1:15" x14ac:dyDescent="0.3">
      <c r="A38" t="s">
        <v>24</v>
      </c>
      <c r="B38" s="22">
        <f>SUM('Oct 2020'!B39+B36)</f>
        <v>9641.7934999999998</v>
      </c>
      <c r="C38" s="22">
        <f>SUM('Oct 2020'!C39+C36)</f>
        <v>1521.3444999999999</v>
      </c>
      <c r="D38" s="22">
        <f>SUM('Oct 2020'!D39+D36)</f>
        <v>12069.5975</v>
      </c>
      <c r="E38" s="22"/>
      <c r="F38" s="22"/>
      <c r="G38" s="22"/>
      <c r="I38" s="21"/>
    </row>
    <row r="39" spans="1:15" x14ac:dyDescent="0.3">
      <c r="A39"/>
      <c r="B39" s="22"/>
      <c r="C39" s="22"/>
      <c r="D39" s="23"/>
      <c r="E39" s="22"/>
      <c r="F39" s="22"/>
      <c r="G39" s="22"/>
      <c r="I39" s="21"/>
    </row>
    <row r="40" spans="1:15" ht="17.399999999999999" customHeight="1" x14ac:dyDescent="0.3">
      <c r="A40" s="102"/>
      <c r="B40" s="102"/>
      <c r="C40" s="102"/>
      <c r="D40" s="102"/>
      <c r="E40" s="102"/>
      <c r="F40" s="103"/>
      <c r="G40" s="104" t="s">
        <v>12</v>
      </c>
      <c r="H40" s="105"/>
      <c r="I40" s="27"/>
      <c r="J40" s="27"/>
      <c r="K40" s="27"/>
      <c r="L40" s="27"/>
      <c r="M40" s="27"/>
      <c r="N40" s="28"/>
      <c r="O40" s="27"/>
    </row>
    <row r="41" spans="1:15" ht="16.95" customHeight="1" x14ac:dyDescent="0.3">
      <c r="A41" s="26"/>
      <c r="B41" s="26"/>
      <c r="C41" s="26"/>
      <c r="D41" s="26"/>
      <c r="E41" s="26"/>
      <c r="F41" s="26"/>
      <c r="G41" s="104"/>
      <c r="H41" s="105"/>
      <c r="I41" s="27"/>
      <c r="J41" s="27"/>
      <c r="K41" s="27"/>
      <c r="L41" s="27"/>
      <c r="M41" s="27"/>
      <c r="N41" s="28"/>
      <c r="O41" s="27"/>
    </row>
    <row r="42" spans="1:15" ht="13.95" customHeight="1" x14ac:dyDescent="0.3">
      <c r="A42" s="107" t="s">
        <v>23</v>
      </c>
      <c r="B42" s="107"/>
      <c r="C42" s="107"/>
      <c r="D42" s="107"/>
      <c r="E42" s="107"/>
      <c r="F42" s="107"/>
      <c r="G42" s="107"/>
      <c r="H42" s="107"/>
      <c r="I42" s="107"/>
      <c r="J42" s="107"/>
      <c r="K42" s="29"/>
      <c r="L42" s="29"/>
      <c r="M42" s="29"/>
      <c r="N42" s="30"/>
      <c r="O42" s="31"/>
    </row>
    <row r="43" spans="1:15" ht="15.6" customHeight="1" x14ac:dyDescent="0.3">
      <c r="A43" s="39" t="s">
        <v>17</v>
      </c>
      <c r="B43" s="33"/>
      <c r="C43" s="34"/>
      <c r="D43" s="34"/>
      <c r="E43" s="35"/>
      <c r="F43" s="36"/>
      <c r="G43" s="37"/>
      <c r="H43" s="38"/>
      <c r="I43" s="31"/>
      <c r="J43" s="31"/>
      <c r="K43" s="31"/>
      <c r="L43" s="31"/>
      <c r="M43" s="31"/>
      <c r="N43" s="30"/>
    </row>
    <row r="44" spans="1:15" x14ac:dyDescent="0.3">
      <c r="A44" s="32"/>
      <c r="B44" s="33"/>
      <c r="C44" s="34"/>
      <c r="D44" s="34"/>
      <c r="E44" s="40"/>
      <c r="F44" s="36">
        <f>SUM(24-D44)</f>
        <v>24</v>
      </c>
      <c r="G44" s="37">
        <f>SUM(C44+E44)</f>
        <v>0</v>
      </c>
      <c r="H44" s="38">
        <f>SUM(C44/24*D44+G44/24*F44)</f>
        <v>0</v>
      </c>
      <c r="I44" s="31"/>
      <c r="J44" s="31"/>
      <c r="K44" s="31"/>
      <c r="L44" s="31"/>
      <c r="M44" s="31"/>
      <c r="N44" s="30"/>
    </row>
    <row r="45" spans="1:15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1"/>
      <c r="N45" s="30"/>
    </row>
    <row r="46" spans="1:15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1"/>
      <c r="N46" s="30"/>
    </row>
    <row r="47" spans="1:15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1"/>
      <c r="N47" s="30"/>
    </row>
    <row r="48" spans="1:15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1"/>
      <c r="N48" s="30"/>
    </row>
    <row r="49" spans="1:15" ht="13.2" customHeight="1" x14ac:dyDescent="0.3">
      <c r="A49" s="41"/>
      <c r="B49" s="42"/>
      <c r="C49" s="42"/>
      <c r="D49" s="42"/>
      <c r="E49" s="42"/>
      <c r="F49" s="42"/>
      <c r="G49" s="43"/>
      <c r="H49" s="31"/>
      <c r="I49" s="31"/>
      <c r="J49" s="31"/>
      <c r="K49" s="31"/>
      <c r="L49" s="31"/>
      <c r="M49" s="31"/>
      <c r="N49" s="30"/>
      <c r="O49" s="31"/>
    </row>
    <row r="50" spans="1:15" ht="15" thickBot="1" x14ac:dyDescent="0.35">
      <c r="A50" s="44" t="s">
        <v>18</v>
      </c>
      <c r="B50" s="44"/>
      <c r="C50" s="44"/>
      <c r="D50" s="44"/>
      <c r="E50" s="45"/>
      <c r="F50" s="46"/>
      <c r="G50" s="43"/>
      <c r="H50" s="31"/>
      <c r="I50" s="31"/>
      <c r="J50" s="31"/>
      <c r="K50" s="31"/>
      <c r="L50" s="31"/>
      <c r="M50" s="31"/>
      <c r="N50" s="30"/>
      <c r="O50" s="31"/>
    </row>
    <row r="51" spans="1:15" ht="25.8" x14ac:dyDescent="0.3">
      <c r="A51" s="47" t="s">
        <v>19</v>
      </c>
      <c r="B51" s="48" t="s">
        <v>13</v>
      </c>
      <c r="C51" s="49" t="s">
        <v>14</v>
      </c>
      <c r="D51" s="49" t="s">
        <v>15</v>
      </c>
      <c r="E51" s="50" t="s">
        <v>16</v>
      </c>
      <c r="F51" s="51" t="s">
        <v>20</v>
      </c>
      <c r="G51" s="52"/>
      <c r="H51" s="53"/>
      <c r="I51" s="54"/>
      <c r="J51" s="54"/>
    </row>
    <row r="52" spans="1:15" ht="15.6" x14ac:dyDescent="0.3">
      <c r="A52" s="55"/>
      <c r="B52" s="56"/>
      <c r="C52" s="57"/>
      <c r="D52" s="58"/>
      <c r="E52" s="59"/>
      <c r="F52" s="60"/>
      <c r="G52" s="61"/>
      <c r="H52" s="62"/>
      <c r="I52" s="63"/>
      <c r="J52" s="63"/>
    </row>
    <row r="53" spans="1:15" x14ac:dyDescent="0.3">
      <c r="A53" s="64"/>
      <c r="B53" s="65"/>
      <c r="C53" s="66"/>
      <c r="D53" s="58"/>
      <c r="E53" s="67"/>
      <c r="F53" s="68"/>
      <c r="G53" s="61"/>
      <c r="H53" s="62"/>
    </row>
    <row r="54" spans="1:15" x14ac:dyDescent="0.3">
      <c r="A54" s="64"/>
      <c r="B54" s="65"/>
      <c r="C54" s="66"/>
      <c r="D54" s="58"/>
      <c r="E54" s="69"/>
      <c r="F54" s="68"/>
      <c r="G54" s="61"/>
      <c r="H54" s="62"/>
    </row>
    <row r="55" spans="1:15" x14ac:dyDescent="0.3">
      <c r="A55" s="64"/>
      <c r="B55" s="65"/>
      <c r="C55" s="66"/>
      <c r="D55" s="58"/>
      <c r="E55" s="69"/>
      <c r="F55" s="68"/>
      <c r="G55" s="61"/>
      <c r="H55" s="62"/>
    </row>
    <row r="56" spans="1:15" ht="15" thickBot="1" x14ac:dyDescent="0.35">
      <c r="A56" s="70"/>
      <c r="B56" s="71"/>
      <c r="C56" s="72"/>
      <c r="D56" s="73"/>
      <c r="E56" s="72"/>
      <c r="F56" s="74"/>
      <c r="G56" s="61"/>
      <c r="H56" s="62"/>
      <c r="I56" s="75"/>
      <c r="J56" s="75"/>
    </row>
    <row r="57" spans="1:15" s="81" customFormat="1" ht="30" customHeight="1" x14ac:dyDescent="0.3">
      <c r="A57" s="108" t="s">
        <v>21</v>
      </c>
      <c r="B57" s="109"/>
      <c r="C57" s="110"/>
      <c r="D57" s="76">
        <f>SUM(D52:D56)</f>
        <v>0</v>
      </c>
      <c r="E57" s="77" t="s">
        <v>22</v>
      </c>
      <c r="F57" s="78">
        <f>SUM(F52:F56)</f>
        <v>0</v>
      </c>
      <c r="G57" s="79"/>
      <c r="H57" s="80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59"/>
  <sheetViews>
    <sheetView zoomScale="80" zoomScaleNormal="80"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G3" sqref="G3:G33"/>
    </sheetView>
  </sheetViews>
  <sheetFormatPr defaultRowHeight="14.4" x14ac:dyDescent="0.3"/>
  <cols>
    <col min="1" max="1" width="13.5546875" style="2" bestFit="1" customWidth="1"/>
    <col min="2" max="4" width="11.6640625" style="10" customWidth="1"/>
    <col min="5" max="6" width="11.6640625" style="8" customWidth="1"/>
    <col min="7" max="7" width="11.6640625" style="10" customWidth="1"/>
    <col min="8" max="8" width="11.6640625" style="4" customWidth="1"/>
    <col min="9" max="9" width="27.44140625" customWidth="1"/>
    <col min="12" max="12" width="29.33203125" customWidth="1"/>
  </cols>
  <sheetData>
    <row r="1" spans="1:12" s="1" customFormat="1" ht="28.8" x14ac:dyDescent="0.3">
      <c r="A1" s="84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12" s="1" customFormat="1" x14ac:dyDescent="0.3">
      <c r="A2" s="83"/>
      <c r="B2" s="5" t="s">
        <v>25</v>
      </c>
      <c r="C2" s="5" t="s">
        <v>25</v>
      </c>
      <c r="D2" s="5" t="s">
        <v>25</v>
      </c>
      <c r="E2" s="7"/>
      <c r="F2" s="7"/>
      <c r="G2" s="5" t="s">
        <v>27</v>
      </c>
      <c r="H2" s="3"/>
      <c r="I2" s="82"/>
    </row>
    <row r="3" spans="1:12" ht="15.6" x14ac:dyDescent="0.3">
      <c r="A3" s="90">
        <v>44105</v>
      </c>
      <c r="B3" s="92">
        <v>135</v>
      </c>
      <c r="C3" s="92">
        <v>0</v>
      </c>
      <c r="D3" s="92">
        <v>124</v>
      </c>
      <c r="E3" s="92">
        <v>0</v>
      </c>
      <c r="F3" s="92">
        <v>0</v>
      </c>
      <c r="G3" s="92">
        <v>0</v>
      </c>
      <c r="H3" s="92">
        <v>4034.45</v>
      </c>
      <c r="I3" s="96" t="s">
        <v>28</v>
      </c>
      <c r="J3" s="91" t="s">
        <v>29</v>
      </c>
      <c r="K3" s="97"/>
      <c r="L3" s="97"/>
    </row>
    <row r="4" spans="1:12" ht="15.6" x14ac:dyDescent="0.3">
      <c r="A4" s="90">
        <v>44106</v>
      </c>
      <c r="B4" s="92">
        <v>138</v>
      </c>
      <c r="C4" s="92">
        <v>25</v>
      </c>
      <c r="D4" s="92">
        <v>115</v>
      </c>
      <c r="E4" s="92">
        <v>0</v>
      </c>
      <c r="F4" s="92">
        <v>0</v>
      </c>
      <c r="G4" s="92">
        <v>0</v>
      </c>
      <c r="H4" s="92">
        <v>4034.43</v>
      </c>
      <c r="I4" s="96" t="s">
        <v>30</v>
      </c>
      <c r="J4" s="91" t="s">
        <v>29</v>
      </c>
      <c r="K4" s="97"/>
      <c r="L4" s="97"/>
    </row>
    <row r="5" spans="1:12" ht="15.6" x14ac:dyDescent="0.3">
      <c r="A5" s="90">
        <v>44107</v>
      </c>
      <c r="B5" s="92">
        <v>125</v>
      </c>
      <c r="C5" s="92">
        <v>56</v>
      </c>
      <c r="D5" s="92">
        <v>115</v>
      </c>
      <c r="E5" s="92">
        <v>0</v>
      </c>
      <c r="F5" s="92">
        <v>0</v>
      </c>
      <c r="G5" s="92">
        <v>0</v>
      </c>
      <c r="H5" s="92">
        <v>4034.42</v>
      </c>
      <c r="I5" s="96"/>
      <c r="J5" s="91" t="s">
        <v>29</v>
      </c>
      <c r="K5" s="97"/>
      <c r="L5" s="97"/>
    </row>
    <row r="6" spans="1:12" ht="15.6" x14ac:dyDescent="0.3">
      <c r="A6" s="90">
        <v>44108</v>
      </c>
      <c r="B6" s="92">
        <v>125</v>
      </c>
      <c r="C6" s="92">
        <v>53</v>
      </c>
      <c r="D6" s="92">
        <v>117</v>
      </c>
      <c r="E6" s="92">
        <v>0</v>
      </c>
      <c r="F6" s="92">
        <v>0</v>
      </c>
      <c r="G6" s="92">
        <v>0</v>
      </c>
      <c r="H6" s="92">
        <v>4034.41</v>
      </c>
      <c r="I6" s="96"/>
      <c r="J6" s="91" t="s">
        <v>29</v>
      </c>
      <c r="K6" s="97"/>
      <c r="L6" s="97"/>
    </row>
    <row r="7" spans="1:12" ht="15.6" x14ac:dyDescent="0.3">
      <c r="A7" s="90">
        <v>44109</v>
      </c>
      <c r="B7" s="92">
        <v>125</v>
      </c>
      <c r="C7" s="92">
        <v>70</v>
      </c>
      <c r="D7" s="92">
        <v>134</v>
      </c>
      <c r="E7" s="92">
        <v>0</v>
      </c>
      <c r="F7" s="92">
        <v>0</v>
      </c>
      <c r="G7" s="92">
        <v>0</v>
      </c>
      <c r="H7" s="92">
        <v>4034.4</v>
      </c>
      <c r="I7" s="96"/>
      <c r="J7" s="91" t="s">
        <v>29</v>
      </c>
      <c r="K7" s="97"/>
      <c r="L7" s="97"/>
    </row>
    <row r="8" spans="1:12" ht="15.6" x14ac:dyDescent="0.3">
      <c r="A8" s="90">
        <v>44110</v>
      </c>
      <c r="B8" s="92">
        <v>135</v>
      </c>
      <c r="C8" s="92">
        <v>50</v>
      </c>
      <c r="D8" s="92">
        <v>141</v>
      </c>
      <c r="E8" s="92">
        <v>0</v>
      </c>
      <c r="F8" s="92">
        <v>0</v>
      </c>
      <c r="G8" s="92">
        <v>0</v>
      </c>
      <c r="H8" s="92">
        <v>4034.38</v>
      </c>
      <c r="I8" s="96" t="s">
        <v>28</v>
      </c>
      <c r="J8" s="91" t="s">
        <v>29</v>
      </c>
      <c r="K8" s="97"/>
      <c r="L8" s="97"/>
    </row>
    <row r="9" spans="1:12" ht="15.6" x14ac:dyDescent="0.3">
      <c r="A9" s="90">
        <v>44111</v>
      </c>
      <c r="B9" s="92">
        <v>163</v>
      </c>
      <c r="C9" s="92">
        <v>50</v>
      </c>
      <c r="D9" s="92">
        <v>143</v>
      </c>
      <c r="E9" s="92">
        <v>0</v>
      </c>
      <c r="F9" s="92">
        <v>0</v>
      </c>
      <c r="G9" s="92">
        <v>0</v>
      </c>
      <c r="H9" s="92">
        <v>4034.36</v>
      </c>
      <c r="I9" s="96" t="s">
        <v>31</v>
      </c>
      <c r="J9" s="91" t="s">
        <v>29</v>
      </c>
      <c r="K9" s="97"/>
      <c r="L9" s="97"/>
    </row>
    <row r="10" spans="1:12" ht="15.6" x14ac:dyDescent="0.3">
      <c r="A10" s="90">
        <v>44112</v>
      </c>
      <c r="B10" s="92">
        <v>166</v>
      </c>
      <c r="C10" s="92">
        <v>50</v>
      </c>
      <c r="D10" s="92">
        <v>146</v>
      </c>
      <c r="E10" s="92">
        <v>0</v>
      </c>
      <c r="F10" s="92">
        <v>0</v>
      </c>
      <c r="G10" s="92">
        <v>0</v>
      </c>
      <c r="H10" s="92">
        <v>4034.35</v>
      </c>
      <c r="I10" s="96" t="s">
        <v>32</v>
      </c>
      <c r="J10" s="91" t="s">
        <v>29</v>
      </c>
      <c r="K10" s="97"/>
      <c r="L10" s="97"/>
    </row>
    <row r="11" spans="1:12" ht="15.6" x14ac:dyDescent="0.3">
      <c r="A11" s="90">
        <v>44113</v>
      </c>
      <c r="B11" s="92">
        <v>150</v>
      </c>
      <c r="C11" s="92">
        <v>50</v>
      </c>
      <c r="D11" s="92">
        <v>150</v>
      </c>
      <c r="E11" s="92">
        <v>0</v>
      </c>
      <c r="F11" s="92">
        <v>0</v>
      </c>
      <c r="G11" s="92">
        <v>0</v>
      </c>
      <c r="H11" s="92">
        <v>4034.33</v>
      </c>
      <c r="I11" s="96"/>
      <c r="J11" s="91" t="s">
        <v>29</v>
      </c>
      <c r="K11" s="97"/>
      <c r="L11" s="97"/>
    </row>
    <row r="12" spans="1:12" ht="15.6" x14ac:dyDescent="0.3">
      <c r="A12" s="90">
        <v>44114</v>
      </c>
      <c r="B12" s="92">
        <v>136</v>
      </c>
      <c r="C12" s="92">
        <v>50</v>
      </c>
      <c r="D12" s="92">
        <v>150</v>
      </c>
      <c r="E12" s="92">
        <v>0.05</v>
      </c>
      <c r="F12" s="92">
        <v>0</v>
      </c>
      <c r="G12" s="92">
        <v>0</v>
      </c>
      <c r="H12" s="92">
        <v>4034.32</v>
      </c>
      <c r="I12" s="96" t="s">
        <v>33</v>
      </c>
      <c r="J12" s="91" t="s">
        <v>29</v>
      </c>
      <c r="K12" s="97"/>
      <c r="L12" s="96" t="s">
        <v>34</v>
      </c>
    </row>
    <row r="13" spans="1:12" ht="15.6" x14ac:dyDescent="0.3">
      <c r="A13" s="90">
        <v>44115</v>
      </c>
      <c r="B13" s="92">
        <v>125</v>
      </c>
      <c r="C13" s="92">
        <v>50</v>
      </c>
      <c r="D13" s="92">
        <v>157</v>
      </c>
      <c r="E13" s="92" t="s">
        <v>35</v>
      </c>
      <c r="F13" s="92">
        <v>0</v>
      </c>
      <c r="G13" s="92">
        <v>0</v>
      </c>
      <c r="H13" s="92">
        <v>4034.31</v>
      </c>
      <c r="I13" s="96"/>
      <c r="J13" s="91" t="s">
        <v>29</v>
      </c>
      <c r="K13" s="97"/>
      <c r="L13" s="97"/>
    </row>
    <row r="14" spans="1:12" ht="15.6" x14ac:dyDescent="0.3">
      <c r="A14" s="90">
        <v>44116</v>
      </c>
      <c r="B14" s="92">
        <v>134</v>
      </c>
      <c r="C14" s="92">
        <v>50</v>
      </c>
      <c r="D14" s="92">
        <v>176</v>
      </c>
      <c r="E14" s="92">
        <v>0</v>
      </c>
      <c r="F14" s="92">
        <v>0</v>
      </c>
      <c r="G14" s="92">
        <v>0</v>
      </c>
      <c r="H14" s="92">
        <v>4034.3</v>
      </c>
      <c r="I14" s="96" t="s">
        <v>36</v>
      </c>
      <c r="J14" s="91" t="s">
        <v>29</v>
      </c>
      <c r="K14" s="97"/>
      <c r="L14" s="97"/>
    </row>
    <row r="15" spans="1:12" ht="15.6" x14ac:dyDescent="0.3">
      <c r="A15" s="90">
        <v>44117</v>
      </c>
      <c r="B15" s="92">
        <v>164</v>
      </c>
      <c r="C15" s="92">
        <v>50</v>
      </c>
      <c r="D15" s="92">
        <v>173</v>
      </c>
      <c r="E15" s="92">
        <v>0</v>
      </c>
      <c r="F15" s="92">
        <v>0</v>
      </c>
      <c r="G15" s="92">
        <v>0</v>
      </c>
      <c r="H15" s="92">
        <v>4034.29</v>
      </c>
      <c r="I15" s="96" t="s">
        <v>37</v>
      </c>
      <c r="J15" s="91" t="s">
        <v>29</v>
      </c>
    </row>
    <row r="16" spans="1:12" ht="15.6" x14ac:dyDescent="0.3">
      <c r="A16" s="90">
        <v>44118</v>
      </c>
      <c r="B16" s="92">
        <v>175</v>
      </c>
      <c r="C16" s="92">
        <v>50</v>
      </c>
      <c r="D16" s="92">
        <v>167</v>
      </c>
      <c r="E16" s="92">
        <v>0</v>
      </c>
      <c r="F16" s="92">
        <v>0</v>
      </c>
      <c r="G16" s="92">
        <v>0</v>
      </c>
      <c r="H16" s="92">
        <v>4034.28</v>
      </c>
      <c r="I16" s="96"/>
      <c r="J16" s="91" t="s">
        <v>29</v>
      </c>
    </row>
    <row r="17" spans="1:10" ht="15.6" x14ac:dyDescent="0.3">
      <c r="A17" s="90">
        <v>44119</v>
      </c>
      <c r="B17" s="92">
        <v>150</v>
      </c>
      <c r="C17" s="92">
        <v>50</v>
      </c>
      <c r="D17" s="92">
        <v>150</v>
      </c>
      <c r="E17" s="92">
        <v>0</v>
      </c>
      <c r="F17" s="92">
        <v>0</v>
      </c>
      <c r="G17" s="92">
        <v>0</v>
      </c>
      <c r="H17" s="92">
        <v>4034.26</v>
      </c>
      <c r="I17" s="96" t="s">
        <v>38</v>
      </c>
      <c r="J17" s="91" t="s">
        <v>39</v>
      </c>
    </row>
    <row r="18" spans="1:10" ht="15.6" x14ac:dyDescent="0.3">
      <c r="A18" s="90">
        <v>44120</v>
      </c>
      <c r="B18" s="92">
        <v>125</v>
      </c>
      <c r="C18" s="92">
        <v>38</v>
      </c>
      <c r="D18" s="92">
        <v>148</v>
      </c>
      <c r="E18" s="92">
        <v>0</v>
      </c>
      <c r="F18" s="92">
        <v>0</v>
      </c>
      <c r="G18" s="92">
        <v>0</v>
      </c>
      <c r="H18" s="92">
        <v>4034.24</v>
      </c>
      <c r="I18" s="96"/>
      <c r="J18" s="97"/>
    </row>
    <row r="19" spans="1:10" ht="15.6" x14ac:dyDescent="0.3">
      <c r="A19" s="90">
        <v>44121</v>
      </c>
      <c r="B19" s="92">
        <v>125</v>
      </c>
      <c r="C19" s="92">
        <v>0</v>
      </c>
      <c r="D19" s="92">
        <v>160</v>
      </c>
      <c r="E19" s="92">
        <v>0</v>
      </c>
      <c r="F19" s="92">
        <v>0</v>
      </c>
      <c r="G19" s="92">
        <v>0</v>
      </c>
      <c r="H19" s="92">
        <v>4034.22</v>
      </c>
      <c r="I19" s="96"/>
      <c r="J19" s="97"/>
    </row>
    <row r="20" spans="1:10" ht="15.6" x14ac:dyDescent="0.3">
      <c r="A20" s="90">
        <v>44122</v>
      </c>
      <c r="B20" s="92">
        <v>125</v>
      </c>
      <c r="C20" s="92">
        <v>0</v>
      </c>
      <c r="D20" s="92">
        <v>145</v>
      </c>
      <c r="E20" s="92">
        <v>0</v>
      </c>
      <c r="F20" s="92">
        <v>0</v>
      </c>
      <c r="G20" s="92">
        <v>0</v>
      </c>
      <c r="H20" s="92">
        <v>4034.2</v>
      </c>
      <c r="I20" s="96"/>
      <c r="J20" s="97"/>
    </row>
    <row r="21" spans="1:10" ht="15.6" x14ac:dyDescent="0.3">
      <c r="A21" s="90">
        <v>44123</v>
      </c>
      <c r="B21" s="92">
        <v>114</v>
      </c>
      <c r="C21" s="92">
        <v>0</v>
      </c>
      <c r="D21" s="92">
        <v>130</v>
      </c>
      <c r="E21" s="92">
        <v>0</v>
      </c>
      <c r="F21" s="92">
        <v>0</v>
      </c>
      <c r="G21" s="92">
        <v>0</v>
      </c>
      <c r="H21" s="92">
        <v>4034.18</v>
      </c>
      <c r="I21" s="96" t="s">
        <v>40</v>
      </c>
      <c r="J21" s="97"/>
    </row>
    <row r="22" spans="1:10" ht="15.6" x14ac:dyDescent="0.3">
      <c r="A22" s="90">
        <v>44124</v>
      </c>
      <c r="B22" s="92">
        <v>100</v>
      </c>
      <c r="C22" s="92">
        <v>0</v>
      </c>
      <c r="D22" s="92">
        <v>131</v>
      </c>
      <c r="E22" s="92">
        <v>0</v>
      </c>
      <c r="F22" s="92">
        <v>0</v>
      </c>
      <c r="G22" s="92">
        <v>0</v>
      </c>
      <c r="H22" s="92">
        <v>4034.17</v>
      </c>
      <c r="I22" s="96"/>
    </row>
    <row r="23" spans="1:10" ht="15.6" x14ac:dyDescent="0.3">
      <c r="A23" s="90">
        <v>44125</v>
      </c>
      <c r="B23" s="92">
        <v>91</v>
      </c>
      <c r="C23" s="92">
        <v>10</v>
      </c>
      <c r="D23" s="92">
        <v>144</v>
      </c>
      <c r="E23" s="92">
        <v>0</v>
      </c>
      <c r="F23" s="92">
        <v>0</v>
      </c>
      <c r="G23" s="92">
        <v>0</v>
      </c>
      <c r="H23" s="92">
        <v>4034.16</v>
      </c>
      <c r="I23" s="96" t="s">
        <v>41</v>
      </c>
    </row>
    <row r="24" spans="1:10" ht="15.6" x14ac:dyDescent="0.3">
      <c r="A24" s="90">
        <v>44126</v>
      </c>
      <c r="B24" s="92">
        <v>75</v>
      </c>
      <c r="C24" s="92">
        <v>10</v>
      </c>
      <c r="D24" s="92">
        <v>129</v>
      </c>
      <c r="E24" s="92">
        <v>0</v>
      </c>
      <c r="F24" s="92">
        <v>0</v>
      </c>
      <c r="G24" s="92">
        <v>0</v>
      </c>
      <c r="H24" s="92">
        <v>4034.15</v>
      </c>
      <c r="I24" s="96"/>
    </row>
    <row r="25" spans="1:10" ht="15.6" x14ac:dyDescent="0.3">
      <c r="A25" s="90">
        <v>44127</v>
      </c>
      <c r="B25" s="92">
        <v>75</v>
      </c>
      <c r="C25" s="92">
        <v>5</v>
      </c>
      <c r="D25" s="92">
        <v>127</v>
      </c>
      <c r="E25" s="92">
        <v>0</v>
      </c>
      <c r="F25" s="92">
        <v>0</v>
      </c>
      <c r="G25" s="92">
        <v>0</v>
      </c>
      <c r="H25" s="92">
        <v>4034.14</v>
      </c>
      <c r="I25" s="96"/>
    </row>
    <row r="26" spans="1:10" ht="15.6" x14ac:dyDescent="0.3">
      <c r="A26" s="90">
        <v>44128</v>
      </c>
      <c r="B26" s="92">
        <v>75</v>
      </c>
      <c r="C26" s="92">
        <v>0</v>
      </c>
      <c r="D26" s="92">
        <v>123</v>
      </c>
      <c r="E26" s="92">
        <v>0</v>
      </c>
      <c r="F26" s="92">
        <v>0</v>
      </c>
      <c r="G26" s="92">
        <v>0</v>
      </c>
      <c r="H26" s="92">
        <v>4034.12</v>
      </c>
      <c r="I26" s="96"/>
    </row>
    <row r="27" spans="1:10" ht="15.6" x14ac:dyDescent="0.3">
      <c r="A27" s="90">
        <v>44129</v>
      </c>
      <c r="B27" s="92">
        <v>87</v>
      </c>
      <c r="C27" s="92">
        <v>0</v>
      </c>
      <c r="D27" s="92">
        <v>114</v>
      </c>
      <c r="E27" s="92">
        <v>0</v>
      </c>
      <c r="F27" s="92">
        <v>0</v>
      </c>
      <c r="G27" s="92">
        <v>0</v>
      </c>
      <c r="H27" s="92">
        <v>4034.12</v>
      </c>
      <c r="I27" s="96" t="s">
        <v>42</v>
      </c>
    </row>
    <row r="28" spans="1:10" ht="15.6" x14ac:dyDescent="0.3">
      <c r="A28" s="90">
        <v>44130</v>
      </c>
      <c r="B28" s="92">
        <v>100</v>
      </c>
      <c r="C28" s="92">
        <v>0</v>
      </c>
      <c r="D28" s="92">
        <v>126</v>
      </c>
      <c r="E28" s="92">
        <v>0</v>
      </c>
      <c r="F28" s="92">
        <v>0</v>
      </c>
      <c r="G28" s="92">
        <v>0</v>
      </c>
      <c r="H28" s="92">
        <v>4034.1</v>
      </c>
      <c r="I28" s="96"/>
    </row>
    <row r="29" spans="1:10" ht="15.6" x14ac:dyDescent="0.3">
      <c r="A29" s="90">
        <v>44131</v>
      </c>
      <c r="B29" s="92">
        <v>111</v>
      </c>
      <c r="C29" s="92">
        <v>0</v>
      </c>
      <c r="D29" s="92">
        <v>147</v>
      </c>
      <c r="E29" s="92">
        <v>0</v>
      </c>
      <c r="F29" s="92">
        <v>0</v>
      </c>
      <c r="G29" s="92">
        <v>0</v>
      </c>
      <c r="H29" s="92">
        <v>4034.07</v>
      </c>
      <c r="I29" s="96" t="s">
        <v>43</v>
      </c>
    </row>
    <row r="30" spans="1:10" ht="15.6" x14ac:dyDescent="0.3">
      <c r="A30" s="90">
        <v>44132</v>
      </c>
      <c r="B30" s="92">
        <v>125</v>
      </c>
      <c r="C30" s="92">
        <v>0</v>
      </c>
      <c r="D30" s="92">
        <v>139</v>
      </c>
      <c r="E30" s="92">
        <v>0</v>
      </c>
      <c r="F30" s="92">
        <v>0</v>
      </c>
      <c r="G30" s="92">
        <v>0</v>
      </c>
      <c r="H30" s="92">
        <v>4034.04</v>
      </c>
      <c r="I30" s="96"/>
    </row>
    <row r="31" spans="1:10" ht="15.6" x14ac:dyDescent="0.3">
      <c r="A31" s="90">
        <v>44133</v>
      </c>
      <c r="B31" s="92">
        <v>125</v>
      </c>
      <c r="C31" s="92">
        <v>0</v>
      </c>
      <c r="D31" s="92">
        <v>132</v>
      </c>
      <c r="E31" s="92">
        <v>0</v>
      </c>
      <c r="F31" s="92">
        <v>0</v>
      </c>
      <c r="G31" s="92">
        <v>0</v>
      </c>
      <c r="H31" s="92">
        <v>4034</v>
      </c>
      <c r="I31" s="96"/>
    </row>
    <row r="32" spans="1:10" ht="15.6" x14ac:dyDescent="0.3">
      <c r="A32" s="90">
        <v>44134</v>
      </c>
      <c r="B32" s="92">
        <v>125</v>
      </c>
      <c r="C32" s="92">
        <v>0</v>
      </c>
      <c r="D32" s="92">
        <v>127</v>
      </c>
      <c r="E32" s="92">
        <v>0</v>
      </c>
      <c r="F32" s="92">
        <v>0</v>
      </c>
      <c r="G32" s="92">
        <v>0</v>
      </c>
      <c r="H32" s="92">
        <v>4033.96</v>
      </c>
      <c r="I32" s="96"/>
    </row>
    <row r="33" spans="1:14" ht="16.2" thickBot="1" x14ac:dyDescent="0.35">
      <c r="A33" s="90">
        <v>44135</v>
      </c>
      <c r="B33" s="92">
        <v>125</v>
      </c>
      <c r="C33" s="92">
        <v>0</v>
      </c>
      <c r="D33" s="92">
        <v>130</v>
      </c>
      <c r="E33" s="92">
        <v>0</v>
      </c>
      <c r="F33" s="92">
        <v>0</v>
      </c>
      <c r="G33" s="92">
        <v>0</v>
      </c>
      <c r="H33" s="92">
        <v>4033.92</v>
      </c>
      <c r="I33" s="96"/>
    </row>
    <row r="34" spans="1:14" ht="16.2" thickTop="1" x14ac:dyDescent="0.3">
      <c r="A34" s="86" t="s">
        <v>8</v>
      </c>
      <c r="B34" s="85">
        <f t="shared" ref="B34:F34" si="0">SUM(B3:B33)</f>
        <v>3849</v>
      </c>
      <c r="C34" s="85">
        <f t="shared" si="0"/>
        <v>767</v>
      </c>
      <c r="D34" s="85">
        <f t="shared" si="0"/>
        <v>4310</v>
      </c>
      <c r="E34" s="85">
        <f t="shared" si="0"/>
        <v>0.05</v>
      </c>
      <c r="F34" s="85">
        <f t="shared" si="0"/>
        <v>0</v>
      </c>
      <c r="G34" s="85">
        <f>SUM(G3:G33)</f>
        <v>0</v>
      </c>
      <c r="H34" s="85"/>
      <c r="J34" s="11"/>
    </row>
    <row r="35" spans="1:14" s="11" customFormat="1" ht="15.6" x14ac:dyDescent="0.3">
      <c r="A35" s="87" t="s">
        <v>9</v>
      </c>
      <c r="B35" s="88">
        <f>SUM(B34+'Oct 2020'!B36)</f>
        <v>3849</v>
      </c>
      <c r="C35" s="88">
        <f>SUM(C34+'Oct 2020'!C36)</f>
        <v>767</v>
      </c>
      <c r="D35" s="88">
        <f>SUM(D34+'Oct 2020'!D36)</f>
        <v>4310</v>
      </c>
      <c r="E35" s="89">
        <f>SUM(E34+'Oct 2020'!E36)</f>
        <v>0.05</v>
      </c>
      <c r="F35" s="89">
        <f>SUM(F34+'Oct 2020'!F36)</f>
        <v>0</v>
      </c>
      <c r="G35" s="88">
        <f>SUM(G34+'Oct 2020'!G36)</f>
        <v>0</v>
      </c>
      <c r="H35" s="89"/>
    </row>
    <row r="36" spans="1:14" s="11" customFormat="1" x14ac:dyDescent="0.3">
      <c r="A36" s="2"/>
      <c r="B36" s="6"/>
      <c r="C36" s="6"/>
      <c r="D36" s="6"/>
      <c r="E36"/>
      <c r="F36"/>
      <c r="G36" s="6"/>
      <c r="H36"/>
      <c r="J36"/>
    </row>
    <row r="37" spans="1:14" x14ac:dyDescent="0.3">
      <c r="A37" t="s">
        <v>10</v>
      </c>
      <c r="B37" s="22">
        <f>SUM(B3:B33)*1.9835</f>
        <v>7634.4915000000001</v>
      </c>
      <c r="C37" s="22">
        <f>SUM(C3:C33)*1.9835</f>
        <v>1521.3444999999999</v>
      </c>
      <c r="D37" s="22">
        <f>SUM(D3:D33)*1.9835</f>
        <v>8548.8850000000002</v>
      </c>
      <c r="E37" s="22"/>
      <c r="F37" s="22"/>
      <c r="G37" s="22"/>
      <c r="H37"/>
      <c r="I37" s="21"/>
    </row>
    <row r="38" spans="1:14" x14ac:dyDescent="0.3">
      <c r="A38"/>
      <c r="B38"/>
      <c r="C38"/>
      <c r="D38"/>
      <c r="E38"/>
      <c r="F38"/>
      <c r="G38"/>
      <c r="H38"/>
    </row>
    <row r="39" spans="1:14" x14ac:dyDescent="0.3">
      <c r="A39" t="s">
        <v>24</v>
      </c>
      <c r="B39" s="22">
        <f>SUM('Oct 2020'!B40+B37)</f>
        <v>7634.4915000000001</v>
      </c>
      <c r="C39" s="22">
        <f>SUM('Oct 2020'!C40+C37)</f>
        <v>1521.3444999999999</v>
      </c>
      <c r="D39" s="22">
        <f>SUM('Oct 2020'!D40+D37)</f>
        <v>8548.8850000000002</v>
      </c>
      <c r="E39" s="22"/>
      <c r="F39" s="22"/>
      <c r="G39" s="22"/>
      <c r="H39"/>
      <c r="I39" s="21"/>
    </row>
    <row r="40" spans="1:14" x14ac:dyDescent="0.3">
      <c r="A40"/>
      <c r="B40" s="22"/>
      <c r="C40" s="22"/>
      <c r="D40" s="23"/>
      <c r="E40" s="22"/>
      <c r="F40" s="22"/>
      <c r="G40" s="22"/>
      <c r="H40"/>
      <c r="I40" s="21"/>
    </row>
    <row r="41" spans="1:14" ht="15" customHeight="1" x14ac:dyDescent="0.3">
      <c r="A41" s="102"/>
      <c r="B41" s="102"/>
      <c r="C41" s="102"/>
      <c r="D41" s="102"/>
      <c r="E41" s="102"/>
      <c r="F41" s="103"/>
      <c r="G41" s="104" t="s">
        <v>12</v>
      </c>
      <c r="H41" s="105"/>
      <c r="I41" s="27"/>
      <c r="J41" s="27"/>
    </row>
    <row r="42" spans="1:14" ht="17.399999999999999" customHeight="1" x14ac:dyDescent="0.3">
      <c r="A42" s="26"/>
      <c r="B42" s="26"/>
      <c r="C42" s="26"/>
      <c r="D42" s="26"/>
      <c r="E42" s="26"/>
      <c r="F42" s="26"/>
      <c r="G42" s="104"/>
      <c r="H42" s="105"/>
      <c r="I42" s="27"/>
      <c r="J42" s="27"/>
      <c r="K42" s="27"/>
      <c r="L42" s="27"/>
      <c r="M42" s="28"/>
      <c r="N42" s="27"/>
    </row>
    <row r="43" spans="1:14" ht="16.95" customHeight="1" x14ac:dyDescent="0.3">
      <c r="A43" s="107" t="s">
        <v>23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27"/>
      <c r="L43" s="27"/>
      <c r="M43" s="28"/>
      <c r="N43" s="27"/>
    </row>
    <row r="44" spans="1:14" ht="13.95" customHeight="1" x14ac:dyDescent="0.3">
      <c r="A44" s="39" t="s">
        <v>17</v>
      </c>
      <c r="B44" s="33"/>
      <c r="C44" s="34"/>
      <c r="D44" s="34"/>
      <c r="E44" s="35"/>
      <c r="F44" s="36"/>
      <c r="G44" s="37"/>
      <c r="H44" s="38"/>
      <c r="I44" s="31"/>
      <c r="J44" s="31"/>
      <c r="K44" s="29"/>
      <c r="L44" s="29"/>
      <c r="M44" s="30"/>
      <c r="N44" s="31"/>
    </row>
    <row r="45" spans="1:14" ht="15.6" customHeight="1" x14ac:dyDescent="0.3">
      <c r="A45" s="32"/>
      <c r="B45" s="33"/>
      <c r="C45" s="34"/>
      <c r="D45" s="34"/>
      <c r="E45" s="40"/>
      <c r="F45" s="36">
        <f>SUM(24-D45)</f>
        <v>24</v>
      </c>
      <c r="G45" s="37">
        <f>SUM(C45+E45)</f>
        <v>0</v>
      </c>
      <c r="H45" s="38">
        <f>SUM(C45/24*D45+G45/24*F45)</f>
        <v>0</v>
      </c>
      <c r="I45" s="31"/>
      <c r="J45" s="31"/>
      <c r="K45" s="31"/>
      <c r="L45" s="31"/>
      <c r="M45" s="30"/>
    </row>
    <row r="46" spans="1:14" x14ac:dyDescent="0.3">
      <c r="A46" s="32"/>
      <c r="B46" s="33"/>
      <c r="C46" s="34"/>
      <c r="D46" s="34"/>
      <c r="E46" s="40"/>
      <c r="F46" s="36">
        <f>SUM(24-D46)</f>
        <v>24</v>
      </c>
      <c r="G46" s="37">
        <f>SUM(C46+E46)</f>
        <v>0</v>
      </c>
      <c r="H46" s="38">
        <f>SUM(C46/24*D46+G46/24*F46)</f>
        <v>0</v>
      </c>
      <c r="I46" s="31"/>
      <c r="J46" s="31"/>
      <c r="K46" s="31"/>
      <c r="L46" s="31"/>
      <c r="M46" s="30"/>
    </row>
    <row r="47" spans="1:14" x14ac:dyDescent="0.3">
      <c r="A47" s="32"/>
      <c r="B47" s="33"/>
      <c r="C47" s="34"/>
      <c r="D47" s="34"/>
      <c r="E47" s="40"/>
      <c r="F47" s="36">
        <f>SUM(24-D47)</f>
        <v>24</v>
      </c>
      <c r="G47" s="37">
        <f>SUM(C47+E47)</f>
        <v>0</v>
      </c>
      <c r="H47" s="38">
        <f>SUM(C47/24*D47+G47/24*F47)</f>
        <v>0</v>
      </c>
      <c r="I47" s="31"/>
      <c r="J47" s="31"/>
      <c r="K47" s="31"/>
      <c r="L47" s="31"/>
      <c r="M47" s="30"/>
    </row>
    <row r="48" spans="1:14" x14ac:dyDescent="0.3">
      <c r="A48" s="32"/>
      <c r="B48" s="33"/>
      <c r="C48" s="34"/>
      <c r="D48" s="34"/>
      <c r="E48" s="40"/>
      <c r="F48" s="36">
        <f>SUM(24-D48)</f>
        <v>24</v>
      </c>
      <c r="G48" s="37">
        <f>SUM(C48+E48)</f>
        <v>0</v>
      </c>
      <c r="H48" s="38">
        <f>SUM(C48/24*D48+G48/24*F48)</f>
        <v>0</v>
      </c>
      <c r="I48" s="31"/>
      <c r="J48" s="31"/>
      <c r="K48" s="31"/>
      <c r="L48" s="31"/>
      <c r="M48" s="30"/>
    </row>
    <row r="49" spans="1:14" x14ac:dyDescent="0.3">
      <c r="A49" s="32"/>
      <c r="B49" s="33"/>
      <c r="C49" s="34"/>
      <c r="D49" s="34"/>
      <c r="E49" s="40"/>
      <c r="F49" s="36">
        <f>SUM(24-D49)</f>
        <v>24</v>
      </c>
      <c r="G49" s="37">
        <f>SUM(C49+E49)</f>
        <v>0</v>
      </c>
      <c r="H49" s="38">
        <f>SUM(C49/24*D49+G49/24*F49)</f>
        <v>0</v>
      </c>
      <c r="I49" s="31"/>
      <c r="J49" s="31"/>
      <c r="K49" s="31"/>
      <c r="L49" s="31"/>
      <c r="M49" s="30"/>
    </row>
    <row r="50" spans="1:14" x14ac:dyDescent="0.3">
      <c r="A50" s="41"/>
      <c r="B50" s="42"/>
      <c r="C50" s="42"/>
      <c r="D50" s="42"/>
      <c r="E50" s="42"/>
      <c r="F50" s="42"/>
      <c r="G50" s="43"/>
      <c r="H50" s="31"/>
      <c r="I50" s="31"/>
      <c r="J50" s="31"/>
      <c r="K50" s="31"/>
      <c r="L50" s="31"/>
      <c r="M50" s="30"/>
    </row>
    <row r="51" spans="1:14" ht="13.2" customHeight="1" thickBot="1" x14ac:dyDescent="0.35">
      <c r="A51" s="44" t="s">
        <v>18</v>
      </c>
      <c r="B51" s="44"/>
      <c r="C51" s="44"/>
      <c r="D51" s="44"/>
      <c r="E51" s="45"/>
      <c r="F51" s="46"/>
      <c r="G51" s="43"/>
      <c r="H51" s="31"/>
      <c r="I51" s="31"/>
      <c r="J51" s="31"/>
      <c r="K51" s="31"/>
      <c r="L51" s="31"/>
      <c r="M51" s="30"/>
      <c r="N51" s="31"/>
    </row>
    <row r="52" spans="1:14" ht="25.8" x14ac:dyDescent="0.3">
      <c r="A52" s="47" t="s">
        <v>19</v>
      </c>
      <c r="B52" s="48" t="s">
        <v>13</v>
      </c>
      <c r="C52" s="49" t="s">
        <v>14</v>
      </c>
      <c r="D52" s="49" t="s">
        <v>15</v>
      </c>
      <c r="E52" s="50" t="s">
        <v>16</v>
      </c>
      <c r="F52" s="51" t="s">
        <v>20</v>
      </c>
      <c r="G52" s="52"/>
      <c r="H52" s="53"/>
      <c r="I52" s="54"/>
      <c r="J52" s="54"/>
      <c r="K52" s="31"/>
      <c r="L52" s="31"/>
      <c r="M52" s="30"/>
      <c r="N52" s="31"/>
    </row>
    <row r="53" spans="1:14" ht="15.6" x14ac:dyDescent="0.3">
      <c r="A53" s="55"/>
      <c r="B53" s="56"/>
      <c r="C53" s="57"/>
      <c r="D53" s="58"/>
      <c r="E53" s="59"/>
      <c r="F53" s="60"/>
      <c r="G53" s="61"/>
      <c r="H53" s="62"/>
      <c r="I53" s="63"/>
      <c r="J53" s="63"/>
    </row>
    <row r="54" spans="1:14" x14ac:dyDescent="0.3">
      <c r="A54" s="64"/>
      <c r="B54" s="65"/>
      <c r="C54" s="66"/>
      <c r="D54" s="58"/>
      <c r="E54" s="67"/>
      <c r="F54" s="68"/>
      <c r="G54" s="61"/>
      <c r="H54" s="62"/>
    </row>
    <row r="55" spans="1:14" x14ac:dyDescent="0.3">
      <c r="A55" s="64"/>
      <c r="B55" s="65"/>
      <c r="C55" s="66"/>
      <c r="D55" s="58"/>
      <c r="E55" s="69"/>
      <c r="F55" s="68"/>
      <c r="G55" s="61"/>
      <c r="H55" s="62"/>
    </row>
    <row r="56" spans="1:14" x14ac:dyDescent="0.3">
      <c r="A56" s="64"/>
      <c r="B56" s="65"/>
      <c r="C56" s="66"/>
      <c r="D56" s="58"/>
      <c r="E56" s="69"/>
      <c r="F56" s="68"/>
      <c r="G56" s="61"/>
      <c r="H56" s="62"/>
    </row>
    <row r="57" spans="1:14" ht="15" thickBot="1" x14ac:dyDescent="0.35">
      <c r="A57" s="70"/>
      <c r="B57" s="71"/>
      <c r="C57" s="72"/>
      <c r="D57" s="73"/>
      <c r="E57" s="72"/>
      <c r="F57" s="74"/>
      <c r="G57" s="61"/>
      <c r="H57" s="62"/>
      <c r="I57" s="75"/>
      <c r="J57" s="75"/>
    </row>
    <row r="58" spans="1:14" ht="25.8" thickBot="1" x14ac:dyDescent="0.35">
      <c r="A58" s="108" t="s">
        <v>21</v>
      </c>
      <c r="B58" s="109"/>
      <c r="C58" s="110"/>
      <c r="D58" s="76">
        <f>SUM(D53:D57)</f>
        <v>0</v>
      </c>
      <c r="E58" s="77" t="s">
        <v>22</v>
      </c>
      <c r="F58" s="78">
        <f>SUM(F53:F57)</f>
        <v>0</v>
      </c>
      <c r="G58" s="79"/>
      <c r="H58" s="80"/>
      <c r="I58" s="81"/>
      <c r="J58" s="81"/>
    </row>
    <row r="59" spans="1:14" s="81" customFormat="1" ht="30" customHeight="1" x14ac:dyDescent="0.3">
      <c r="A59" s="108" t="s">
        <v>21</v>
      </c>
      <c r="B59" s="109"/>
      <c r="C59" s="110"/>
      <c r="D59" s="76">
        <f>SUM(D54:D58)</f>
        <v>0</v>
      </c>
      <c r="E59" s="77" t="s">
        <v>22</v>
      </c>
      <c r="F59" s="78">
        <f>SUM(F54:F58)</f>
        <v>0</v>
      </c>
      <c r="G59" s="79"/>
      <c r="H59" s="80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2021</vt:lpstr>
      <vt:lpstr>Aug 2021</vt:lpstr>
      <vt:lpstr>Jul 2021</vt:lpstr>
      <vt:lpstr>Jun 2021</vt:lpstr>
      <vt:lpstr>May 2021</vt:lpstr>
      <vt:lpstr>Apr 2021</vt:lpstr>
      <vt:lpstr>Mar 2021</vt:lpstr>
      <vt:lpstr>Feb 2021</vt:lpstr>
      <vt:lpstr>Jan 2021</vt:lpstr>
      <vt:lpstr>Dec 2020</vt:lpstr>
      <vt:lpstr>Nov 2020</vt:lpstr>
      <vt:lpstr>Oct 2020</vt:lpstr>
      <vt:lpstr>'Apr 2021'!Print_Area</vt:lpstr>
      <vt:lpstr>'Aug 2021'!Print_Area</vt:lpstr>
      <vt:lpstr>'Feb 2021'!Print_Area</vt:lpstr>
      <vt:lpstr>'Jan 2021'!Print_Area</vt:lpstr>
      <vt:lpstr>'Jul 2021'!Print_Area</vt:lpstr>
      <vt:lpstr>'Jun 2021'!Print_Area</vt:lpstr>
      <vt:lpstr>'Mar 2021'!Print_Area</vt:lpstr>
      <vt:lpstr>'Nov 2020'!Print_Area</vt:lpstr>
      <vt:lpstr>'Oct 2020'!Print_Area</vt:lpstr>
      <vt:lpstr>'Sep 2021'!Print_Area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Mcdonald, Baker James</cp:lastModifiedBy>
  <cp:lastPrinted>2012-06-11T14:16:22Z</cp:lastPrinted>
  <dcterms:created xsi:type="dcterms:W3CDTF">2010-05-21T17:05:57Z</dcterms:created>
  <dcterms:modified xsi:type="dcterms:W3CDTF">2021-11-01T16:11:11Z</dcterms:modified>
</cp:coreProperties>
</file>