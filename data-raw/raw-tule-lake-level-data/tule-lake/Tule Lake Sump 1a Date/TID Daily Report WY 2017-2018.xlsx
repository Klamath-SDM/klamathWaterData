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O500\Hydrology\Daily\TID\"/>
    </mc:Choice>
  </mc:AlternateContent>
  <xr:revisionPtr revIDLastSave="0" documentId="10_ncr:100000_{DF56CAF7-8B12-4C1E-BF7A-BDC9472EE46D}" xr6:coauthVersionLast="31" xr6:coauthVersionMax="31" xr10:uidLastSave="{00000000-0000-0000-0000-000000000000}"/>
  <bookViews>
    <workbookView xWindow="13488" yWindow="-12" windowWidth="14928" windowHeight="14160" tabRatio="868" activeTab="4" xr2:uid="{00000000-000D-0000-FFFF-FFFF00000000}"/>
  </bookViews>
  <sheets>
    <sheet name="Sep 2018" sheetId="12" r:id="rId1"/>
    <sheet name="Aug 2018" sheetId="11" r:id="rId2"/>
    <sheet name="Jul 2018" sheetId="10" r:id="rId3"/>
    <sheet name="Jun 2018" sheetId="9" r:id="rId4"/>
    <sheet name="May 2018" sheetId="8" r:id="rId5"/>
    <sheet name="Apr 2018" sheetId="7" r:id="rId6"/>
    <sheet name="Mar 2018" sheetId="6" r:id="rId7"/>
    <sheet name="Feb 2018" sheetId="5" r:id="rId8"/>
    <sheet name="Jan 2018" sheetId="4" r:id="rId9"/>
    <sheet name="Dec 2017" sheetId="3" r:id="rId10"/>
    <sheet name="Nov 2017" sheetId="2" r:id="rId11"/>
    <sheet name="Oct 2017" sheetId="1" r:id="rId12"/>
  </sheets>
  <definedNames>
    <definedName name="_xlnm.Print_Area" localSheetId="5">'Apr 2018'!$A$1:$H$34</definedName>
    <definedName name="_xlnm.Print_Area" localSheetId="1">'Aug 2018'!$A$1:$H$39</definedName>
    <definedName name="_xlnm.Print_Area" localSheetId="7">'Feb 2018'!$A$1:$H$33</definedName>
    <definedName name="_xlnm.Print_Area" localSheetId="8">'Jan 2018'!$A$1:$H$35</definedName>
    <definedName name="_xlnm.Print_Area" localSheetId="2">'Jul 2018'!$A$1:$H$39</definedName>
    <definedName name="_xlnm.Print_Area" localSheetId="3">'Jun 2018'!$A$1:$H$38</definedName>
    <definedName name="_xlnm.Print_Area" localSheetId="6">'Mar 2018'!$A$1:$H$35</definedName>
    <definedName name="_xlnm.Print_Area" localSheetId="10">'Nov 2017'!$A$1:$H$38</definedName>
    <definedName name="_xlnm.Print_Area" localSheetId="11">'Oct 2017'!$A$1:$H$40</definedName>
    <definedName name="_xlnm.Print_Area" localSheetId="0">'Sep 2018'!$A$1:$H$38</definedName>
  </definedNames>
  <calcPr calcId="179017"/>
</workbook>
</file>

<file path=xl/calcChain.xml><?xml version="1.0" encoding="utf-8"?>
<calcChain xmlns="http://schemas.openxmlformats.org/spreadsheetml/2006/main"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B36" i="7" s="1"/>
  <c r="C33" i="7"/>
  <c r="C36" i="7" s="1"/>
  <c r="D33" i="7"/>
  <c r="D36" i="7" s="1"/>
  <c r="E33" i="7"/>
  <c r="F33" i="7"/>
  <c r="G33" i="7"/>
  <c r="F44" i="7"/>
  <c r="G44" i="7"/>
  <c r="F45" i="7"/>
  <c r="G45" i="7"/>
  <c r="H45" i="7" s="1"/>
  <c r="F46" i="7"/>
  <c r="G46" i="7"/>
  <c r="F47" i="7"/>
  <c r="G47" i="7"/>
  <c r="H47" i="7" s="1"/>
  <c r="F48" i="7"/>
  <c r="G48" i="7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G45" i="3"/>
  <c r="F46" i="3"/>
  <c r="G46" i="3"/>
  <c r="H46" i="3" s="1"/>
  <c r="F47" i="3"/>
  <c r="G47" i="3"/>
  <c r="H47" i="3" s="1"/>
  <c r="F48" i="3"/>
  <c r="G48" i="3"/>
  <c r="F49" i="3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F44" i="5"/>
  <c r="G44" i="5"/>
  <c r="F45" i="5"/>
  <c r="G45" i="5"/>
  <c r="F46" i="5"/>
  <c r="G46" i="5"/>
  <c r="H46" i="5" s="1"/>
  <c r="F47" i="5"/>
  <c r="G47" i="5"/>
  <c r="H47" i="5" s="1"/>
  <c r="F51" i="5"/>
  <c r="F56" i="5" s="1"/>
  <c r="F52" i="5"/>
  <c r="F53" i="5"/>
  <c r="F54" i="5"/>
  <c r="F55" i="5"/>
  <c r="D56" i="5"/>
  <c r="B34" i="4"/>
  <c r="C34" i="4"/>
  <c r="D34" i="4"/>
  <c r="E34" i="4"/>
  <c r="F34" i="4"/>
  <c r="G34" i="4"/>
  <c r="B37" i="4"/>
  <c r="C37" i="4"/>
  <c r="D37" i="4"/>
  <c r="F45" i="4"/>
  <c r="H45" i="4" s="1"/>
  <c r="G45" i="4"/>
  <c r="F46" i="4"/>
  <c r="G46" i="4"/>
  <c r="H46" i="4" s="1"/>
  <c r="F47" i="4"/>
  <c r="G47" i="4"/>
  <c r="F48" i="4"/>
  <c r="G48" i="4"/>
  <c r="H48" i="4" s="1"/>
  <c r="F49" i="4"/>
  <c r="H49" i="4" s="1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H45" i="10" s="1"/>
  <c r="F46" i="10"/>
  <c r="G46" i="10"/>
  <c r="F47" i="10"/>
  <c r="G47" i="10"/>
  <c r="H47" i="10" s="1"/>
  <c r="F48" i="10"/>
  <c r="G48" i="10"/>
  <c r="F49" i="10"/>
  <c r="G49" i="10"/>
  <c r="H49" i="10" s="1"/>
  <c r="F53" i="10"/>
  <c r="F54" i="10"/>
  <c r="F55" i="10"/>
  <c r="F56" i="10"/>
  <c r="F57" i="10"/>
  <c r="D58" i="10"/>
  <c r="B33" i="9"/>
  <c r="B36" i="9"/>
  <c r="C36" i="9"/>
  <c r="D36" i="9"/>
  <c r="F44" i="9"/>
  <c r="G44" i="9"/>
  <c r="H44" i="9" s="1"/>
  <c r="F45" i="9"/>
  <c r="G45" i="9"/>
  <c r="H45" i="9" s="1"/>
  <c r="F46" i="9"/>
  <c r="G46" i="9"/>
  <c r="F47" i="9"/>
  <c r="G47" i="9"/>
  <c r="F48" i="9"/>
  <c r="G48" i="9"/>
  <c r="H48" i="9"/>
  <c r="F52" i="9"/>
  <c r="F53" i="9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H45" i="6" s="1"/>
  <c r="F46" i="6"/>
  <c r="G46" i="6"/>
  <c r="F47" i="6"/>
  <c r="G47" i="6"/>
  <c r="F48" i="6"/>
  <c r="G48" i="6"/>
  <c r="H48" i="6"/>
  <c r="F49" i="6"/>
  <c r="G49" i="6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G45" i="8"/>
  <c r="F46" i="8"/>
  <c r="G46" i="8"/>
  <c r="F47" i="8"/>
  <c r="G47" i="8"/>
  <c r="H47" i="8"/>
  <c r="F48" i="8"/>
  <c r="G48" i="8"/>
  <c r="F49" i="8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G45" i="2"/>
  <c r="F46" i="2"/>
  <c r="G46" i="2"/>
  <c r="H46" i="2" s="1"/>
  <c r="F47" i="2"/>
  <c r="G47" i="2"/>
  <c r="H47" i="2"/>
  <c r="F48" i="2"/>
  <c r="G48" i="2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F46" i="1"/>
  <c r="H46" i="1" s="1"/>
  <c r="G46" i="1"/>
  <c r="F47" i="1"/>
  <c r="G47" i="1"/>
  <c r="F48" i="1"/>
  <c r="G48" i="1"/>
  <c r="F49" i="1"/>
  <c r="G49" i="1"/>
  <c r="H49" i="1" s="1"/>
  <c r="D58" i="1"/>
  <c r="D59" i="1" s="1"/>
  <c r="F58" i="1"/>
  <c r="F59" i="1" s="1"/>
  <c r="B36" i="12"/>
  <c r="C36" i="12"/>
  <c r="D36" i="12"/>
  <c r="F44" i="12"/>
  <c r="G44" i="12"/>
  <c r="H44" i="12" s="1"/>
  <c r="F45" i="12"/>
  <c r="G45" i="12"/>
  <c r="F46" i="12"/>
  <c r="G46" i="12"/>
  <c r="H46" i="12" s="1"/>
  <c r="F47" i="12"/>
  <c r="H47" i="12" s="1"/>
  <c r="G47" i="12"/>
  <c r="F48" i="12"/>
  <c r="G48" i="12"/>
  <c r="H48" i="12" s="1"/>
  <c r="F52" i="12"/>
  <c r="F53" i="12"/>
  <c r="F54" i="12"/>
  <c r="F55" i="12"/>
  <c r="F56" i="12"/>
  <c r="D57" i="12"/>
  <c r="H49" i="3" l="1"/>
  <c r="H45" i="3"/>
  <c r="H45" i="12"/>
  <c r="H45" i="8"/>
  <c r="H46" i="6"/>
  <c r="H46" i="9"/>
  <c r="H48" i="3"/>
  <c r="H48" i="10"/>
  <c r="H46" i="7"/>
  <c r="F58" i="10"/>
  <c r="F57" i="7"/>
  <c r="H47" i="1"/>
  <c r="H44" i="2"/>
  <c r="H46" i="8"/>
  <c r="H47" i="6"/>
  <c r="H47" i="9"/>
  <c r="H46" i="10"/>
  <c r="H47" i="4"/>
  <c r="H48" i="7"/>
  <c r="H44" i="7"/>
  <c r="F58" i="8"/>
  <c r="F57" i="12"/>
  <c r="H45" i="1"/>
  <c r="H48" i="2"/>
  <c r="H45" i="2"/>
  <c r="H48" i="8"/>
  <c r="H49" i="6"/>
  <c r="F57" i="9"/>
  <c r="H48" i="1"/>
  <c r="F58" i="4"/>
  <c r="H44" i="5"/>
  <c r="D39" i="3"/>
  <c r="D39" i="4" s="1"/>
  <c r="D37" i="5" s="1"/>
  <c r="D39" i="6" s="1"/>
  <c r="D38" i="7" s="1"/>
  <c r="D39" i="8" s="1"/>
  <c r="D38" i="9" s="1"/>
  <c r="D39" i="10" s="1"/>
  <c r="D39" i="11" s="1"/>
  <c r="D38" i="12" s="1"/>
  <c r="H49" i="8"/>
  <c r="F58" i="6"/>
  <c r="H45" i="5"/>
  <c r="H43" i="5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dfelstul</author>
  </authors>
  <commentList>
    <comment ref="H26" authorId="0" shapeId="0" xr:uid="{241A5BCF-8A1C-4023-AA95-15F12165C079}">
      <text>
        <r>
          <rPr>
            <b/>
            <sz val="9"/>
            <color indexed="81"/>
            <rFont val="Tahoma"/>
            <charset val="1"/>
          </rPr>
          <t>dfelstul:</t>
        </r>
        <r>
          <rPr>
            <sz val="9"/>
            <color indexed="81"/>
            <rFont val="Tahoma"/>
            <charset val="1"/>
          </rPr>
          <t xml:space="preserve">
corrected type 3,035.05 to 4,035.05</t>
        </r>
      </text>
    </comment>
  </commentList>
</comments>
</file>

<file path=xl/sharedStrings.xml><?xml version="1.0" encoding="utf-8"?>
<sst xmlns="http://schemas.openxmlformats.org/spreadsheetml/2006/main" count="497" uniqueCount="140">
  <si>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</si>
  <si>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</si>
  <si>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</si>
  <si>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</si>
  <si>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</si>
  <si>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</si>
  <si>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</si>
  <si>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</si>
  <si>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</si>
  <si>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</si>
  <si>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</si>
  <si>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</si>
  <si>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</si>
  <si>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</si>
  <si>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</si>
  <si>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</si>
  <si>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</si>
  <si>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</si>
  <si>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</si>
  <si>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</si>
  <si>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</si>
  <si>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</si>
  <si>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</si>
  <si>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</si>
  <si>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</si>
  <si>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</si>
  <si>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</si>
  <si>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</si>
  <si>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1 unit D off 2:50 PM:  Restart 10/12 am</t>
  </si>
  <si>
    <t>* 09:00 0/50</t>
  </si>
  <si>
    <t xml:space="preserve">* 2nd Unit D ON 08:30 </t>
  </si>
  <si>
    <t>* 0900 50/75</t>
  </si>
  <si>
    <t>* 0900 75/50 * 1030 50/25</t>
  </si>
  <si>
    <t>* 08:30 25/50</t>
  </si>
  <si>
    <t>* 12:30 50/25</t>
  </si>
  <si>
    <t>* 08:00 25/75</t>
  </si>
  <si>
    <t>* 15:00 75/50</t>
  </si>
  <si>
    <t>* 13:00 50/0</t>
  </si>
  <si>
    <t>* 16:30 0/25</t>
  </si>
  <si>
    <t>* 21:00 25/50</t>
  </si>
  <si>
    <t>* 14:00 50/25</t>
  </si>
  <si>
    <t>* 2nd unit D plant on 08:48</t>
  </si>
  <si>
    <t>D plant 1 unit off 13:15</t>
  </si>
  <si>
    <t>T</t>
  </si>
  <si>
    <t>* 09:00 25/0 * 2nd unit on D plant 08:42 off at 10:56</t>
  </si>
  <si>
    <t>*10:00 AM 0/50</t>
  </si>
  <si>
    <t>*8:30 AM 50/75</t>
  </si>
  <si>
    <t>*11:00 AM 75/50</t>
  </si>
  <si>
    <t>* 8:00 AM 75/100</t>
  </si>
  <si>
    <t>* 11:30 AM 50/75</t>
  </si>
  <si>
    <t>* 8:30 AM 100/125</t>
  </si>
  <si>
    <t>* 9:00 AM 125/175</t>
  </si>
  <si>
    <t>* 14:00 PM 175/150</t>
  </si>
  <si>
    <t>* 08:30 150/175 * 17:00 175/200 * 18:00 200/300 * 00:00 300/150</t>
  </si>
  <si>
    <t>* 1700 150/100 * 2000 100/30</t>
  </si>
  <si>
    <t>* 1700 30/50</t>
  </si>
  <si>
    <t>* 0700 50/150 * 1600 150/100</t>
  </si>
  <si>
    <t>* 1600 100/150</t>
  </si>
  <si>
    <t>* 0930 150/100</t>
  </si>
  <si>
    <t>* 0900 100/50</t>
  </si>
  <si>
    <t>* 17:00 50/100</t>
  </si>
  <si>
    <t>* 11:00 100/150</t>
  </si>
  <si>
    <t>* 1500 150/200</t>
  </si>
  <si>
    <t>* 0800 200/250 *1400 250/200 * 1600 200/150</t>
  </si>
  <si>
    <t>* 1600 150/100</t>
  </si>
  <si>
    <t>* 1630 100/150</t>
  </si>
  <si>
    <t>* 0800 150/100 * 1430 100/150 * 1800 150/200</t>
  </si>
  <si>
    <t>* 1200 200/250 * 1700 250/300</t>
  </si>
  <si>
    <t>* 0900 300/350</t>
  </si>
  <si>
    <t>* 1500 350/400</t>
  </si>
  <si>
    <t>* 1000 400/350 *1500 350/300</t>
  </si>
  <si>
    <t>* 0700 300/350</t>
  </si>
  <si>
    <t>* 0700 350/250 *1600 250/300</t>
  </si>
  <si>
    <t>* 1100 300/350 *1400 350/450</t>
  </si>
  <si>
    <t>* 0930 450/400 * 1700 400/450</t>
  </si>
  <si>
    <t>* 0700 450/350 * 1500 350/450</t>
  </si>
  <si>
    <t>* 1200 450/400 * 1700 400/350</t>
  </si>
  <si>
    <t>* 1800 350/450</t>
  </si>
  <si>
    <t>* 0700 400/450 *0800 450/500</t>
  </si>
  <si>
    <t>* 0800 500/450</t>
  </si>
  <si>
    <t>* 0700 450/400</t>
  </si>
  <si>
    <t>* 1030 450/400 * 1800 400/350</t>
  </si>
  <si>
    <t>* 1630 350/400</t>
  </si>
  <si>
    <t>* 1030 400/450 1500 450/400 1700 400/350</t>
  </si>
  <si>
    <t>* 1700 350/400</t>
  </si>
  <si>
    <t>* 0730 400/450 * 1430 450/400</t>
  </si>
  <si>
    <t>* 0700 400/350</t>
  </si>
  <si>
    <t>* 1800 350/300</t>
  </si>
  <si>
    <t>* 1700 300/250</t>
  </si>
  <si>
    <t>* 1000 250/300</t>
  </si>
  <si>
    <t>* 1000 300/350</t>
  </si>
  <si>
    <t>* 1500 350/300</t>
  </si>
  <si>
    <t>* 1500 300/350</t>
  </si>
  <si>
    <t>* 0700 350/300</t>
  </si>
  <si>
    <t>* 0800 300/400 1500 400/300</t>
  </si>
  <si>
    <t>* 0700 350/300 * 1800 300/250</t>
  </si>
  <si>
    <t>* 0700 250/300 * 1600 300/250</t>
  </si>
  <si>
    <t>* 1800 250/200</t>
  </si>
  <si>
    <t>* 1000 200/250</t>
  </si>
  <si>
    <t>* 1500 250/350</t>
  </si>
  <si>
    <t>* 0900 350/300 1700 300/350</t>
  </si>
  <si>
    <t>* 0800 350/400 1300 400/350</t>
  </si>
  <si>
    <t>* 0800 350/300 1600 300/250</t>
  </si>
  <si>
    <t>* 1200 250/300</t>
  </si>
  <si>
    <t>* 0800 300/250 1800 250/300</t>
  </si>
  <si>
    <t>* 0800 300/250</t>
  </si>
  <si>
    <t>* 0700 250/200</t>
  </si>
  <si>
    <t>* 0700 200/250</t>
  </si>
  <si>
    <t>*1500 200/150</t>
  </si>
  <si>
    <t>* 0700 150/200</t>
  </si>
  <si>
    <t>* 0900 200/150</t>
  </si>
  <si>
    <t>* 1800 200/250</t>
  </si>
  <si>
    <t>* 0800 250/200</t>
  </si>
  <si>
    <t>* 0700 200/300 * 1800 300/250</t>
  </si>
  <si>
    <t>* 1500 250/300</t>
  </si>
  <si>
    <t>* 1300 300/250</t>
  </si>
  <si>
    <t>* 1400 250/200</t>
  </si>
  <si>
    <t>* 1700 200/150</t>
  </si>
  <si>
    <t>*1100 150/200</t>
  </si>
  <si>
    <t>*1430 200/250</t>
  </si>
  <si>
    <t>* 1000 250/200</t>
  </si>
  <si>
    <t>* 0800 200/250</t>
  </si>
  <si>
    <t>* 1600 250/300</t>
  </si>
  <si>
    <t>* 0800 300/250 * 1700 250/200</t>
  </si>
  <si>
    <t>* 1500 200/250</t>
  </si>
  <si>
    <t>* 0700 250/150</t>
  </si>
  <si>
    <t xml:space="preserve">*1500 150/200 </t>
  </si>
  <si>
    <t>0900 200/150  1400 150/100 Started one unit at D plant approx 0700</t>
  </si>
  <si>
    <t xml:space="preserve">*1300 100/50 </t>
  </si>
  <si>
    <t>* 0900 50/100</t>
  </si>
  <si>
    <t>* 1200 100/150</t>
  </si>
  <si>
    <t>* 1030 150/100</t>
  </si>
  <si>
    <t>* 1300 100/50</t>
  </si>
  <si>
    <t>*0800 50/100</t>
  </si>
  <si>
    <t>*1300 100/150</t>
  </si>
  <si>
    <t>* 0800 150/50</t>
  </si>
  <si>
    <t>*1700 50/100</t>
  </si>
  <si>
    <t>*1300 100/50</t>
  </si>
  <si>
    <t>* 0700 50/100</t>
  </si>
  <si>
    <t>* 0800 100/50 * 1600 50/25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</si>
</sst>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34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4" fontId="21" fillId="0" borderId="1" xfId="3" applyNumberFormat="1" applyFont="1" applyFill="1" applyBorder="1" applyAlignment="1">
      <alignment horizontal="right" wrapText="1"/>
    </xf>
    <xf numFmtId="14" fontId="22" fillId="2" borderId="20" xfId="1" applyNumberFormat="1" applyFont="1" applyFill="1" applyBorder="1" applyAlignment="1">
      <alignment horizontal="center" wrapText="1"/>
    </xf>
    <xf numFmtId="3" fontId="22" fillId="2" borderId="1" xfId="1" applyNumberFormat="1" applyFont="1" applyFill="1" applyBorder="1" applyAlignment="1">
      <alignment horizontal="center" wrapText="1"/>
    </xf>
    <xf numFmtId="2" fontId="22" fillId="2" borderId="1" xfId="1" applyNumberFormat="1" applyFont="1" applyFill="1" applyBorder="1" applyAlignment="1">
      <alignment horizontal="center" wrapText="1"/>
    </xf>
    <xf numFmtId="4" fontId="22" fillId="2" borderId="1" xfId="1" applyNumberFormat="1" applyFont="1" applyFill="1" applyBorder="1" applyAlignment="1">
      <alignment horizontal="center" wrapText="1"/>
    </xf>
    <xf numFmtId="14" fontId="22" fillId="2" borderId="19" xfId="1" applyNumberFormat="1" applyFont="1" applyFill="1" applyBorder="1" applyAlignment="1">
      <alignment wrapText="1"/>
    </xf>
    <xf numFmtId="3" fontId="23" fillId="0" borderId="1" xfId="3" applyNumberFormat="1" applyFont="1" applyFill="1" applyBorder="1" applyAlignment="1">
      <alignment horizontal="right" wrapText="1"/>
    </xf>
    <xf numFmtId="2" fontId="23" fillId="0" borderId="1" xfId="3" applyNumberFormat="1" applyFont="1" applyFill="1" applyBorder="1" applyAlignment="1">
      <alignment horizontal="right" wrapText="1"/>
    </xf>
    <xf numFmtId="14" fontId="22" fillId="0" borderId="2" xfId="0" applyNumberFormat="1" applyFont="1" applyBorder="1"/>
    <xf numFmtId="14" fontId="22" fillId="0" borderId="1" xfId="0" applyNumberFormat="1" applyFont="1" applyBorder="1"/>
    <xf numFmtId="3" fontId="22" fillId="0" borderId="1" xfId="0" applyNumberFormat="1" applyFont="1" applyBorder="1"/>
    <xf numFmtId="4" fontId="22" fillId="0" borderId="1" xfId="0" applyNumberFormat="1" applyFont="1" applyBorder="1"/>
    <xf numFmtId="14" fontId="23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4" fillId="0" borderId="0" xfId="0" applyFont="1"/>
    <xf numFmtId="20" fontId="24" fillId="0" borderId="0" xfId="0" applyNumberFormat="1" applyFont="1"/>
    <xf numFmtId="2" fontId="1" fillId="0" borderId="28" xfId="3" applyNumberFormat="1" applyFont="1" applyFill="1" applyBorder="1" applyAlignment="1">
      <alignment horizontal="right" wrapText="1"/>
    </xf>
    <xf numFmtId="1" fontId="1" fillId="0" borderId="28" xfId="3" applyNumberFormat="1" applyFont="1" applyFill="1" applyBorder="1" applyAlignment="1">
      <alignment horizontal="right" wrapText="1"/>
    </xf>
    <xf numFmtId="1" fontId="1" fillId="0" borderId="29" xfId="3" applyNumberFormat="1" applyFont="1" applyFill="1" applyBorder="1" applyAlignment="1">
      <alignment horizontal="right" wrapText="1"/>
    </xf>
    <xf numFmtId="1" fontId="1" fillId="0" borderId="30" xfId="3" applyNumberFormat="1" applyFont="1" applyFill="1" applyBorder="1" applyAlignment="1">
      <alignment horizontal="right" wrapText="1"/>
    </xf>
    <xf numFmtId="0" fontId="25" fillId="0" borderId="0" xfId="0" applyFont="1"/>
    <xf numFmtId="18" fontId="24" fillId="0" borderId="0" xfId="0" applyNumberFormat="1" applyFont="1"/>
    <xf numFmtId="13" fontId="24" fillId="0" borderId="0" xfId="0" applyNumberFormat="1" applyFont="1"/>
    <xf numFmtId="0" fontId="24" fillId="0" borderId="0" xfId="0" applyFont="1"/>
    <xf numFmtId="0" fontId="24" fillId="0" borderId="0" xfId="0" applyFont="1"/>
    <xf numFmtId="13" fontId="24" fillId="0" borderId="0" xfId="0" applyNumberFormat="1" applyFont="1"/>
    <xf numFmtId="0" fontId="24" fillId="0" borderId="0" xfId="0" applyFont="1"/>
    <xf numFmtId="0" fontId="24" fillId="0" borderId="0" xfId="0" applyFont="1"/>
    <xf numFmtId="0" fontId="24" fillId="0" borderId="0" xfId="0" applyFont="1"/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0" fontId="24" fillId="0" borderId="0" xfId="0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6.3320312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42614</v>
      </c>
      <c r="B3" s="25">
        <v>300</v>
      </c>
      <c r="C3" s="25">
        <v>0</v>
      </c>
      <c r="D3" s="25">
        <v>431</v>
      </c>
      <c r="E3" s="26">
        <v>0</v>
      </c>
      <c r="F3" s="26">
        <v>0</v>
      </c>
      <c r="G3" s="25">
        <v>0</v>
      </c>
      <c r="H3" s="27">
        <v>4034.81</v>
      </c>
      <c r="I3" s="107"/>
    </row>
    <row r="4" spans="1:9" x14ac:dyDescent="0.3">
      <c r="A4" s="28">
        <v>42615</v>
      </c>
      <c r="B4" s="25">
        <v>252</v>
      </c>
      <c r="C4" s="25">
        <v>11</v>
      </c>
      <c r="D4" s="25">
        <v>389</v>
      </c>
      <c r="E4" s="26">
        <v>0</v>
      </c>
      <c r="F4" s="26">
        <v>0</v>
      </c>
      <c r="G4" s="25">
        <v>0</v>
      </c>
      <c r="H4" s="27">
        <v>4034.83</v>
      </c>
      <c r="I4" s="107" t="s">
        <v>123</v>
      </c>
    </row>
    <row r="5" spans="1:9" x14ac:dyDescent="0.3">
      <c r="A5" s="28">
        <v>43346</v>
      </c>
      <c r="B5" s="25">
        <v>219</v>
      </c>
      <c r="C5" s="25">
        <v>10</v>
      </c>
      <c r="D5" s="25">
        <v>367</v>
      </c>
      <c r="E5" s="26">
        <v>0</v>
      </c>
      <c r="F5" s="26">
        <v>0</v>
      </c>
      <c r="G5" s="25">
        <v>0</v>
      </c>
      <c r="H5" s="27">
        <v>4034.85</v>
      </c>
      <c r="I5" s="107" t="s">
        <v>124</v>
      </c>
    </row>
    <row r="6" spans="1:9" x14ac:dyDescent="0.3">
      <c r="A6" s="28">
        <v>43347</v>
      </c>
      <c r="B6" s="25">
        <v>179</v>
      </c>
      <c r="C6" s="25">
        <v>18</v>
      </c>
      <c r="D6" s="25">
        <v>328</v>
      </c>
      <c r="E6" s="26">
        <v>0</v>
      </c>
      <c r="F6" s="26">
        <v>0</v>
      </c>
      <c r="G6" s="25">
        <v>0</v>
      </c>
      <c r="H6" s="27">
        <v>4034.88</v>
      </c>
      <c r="I6" s="107" t="s">
        <v>125</v>
      </c>
    </row>
    <row r="7" spans="1:9" x14ac:dyDescent="0.3">
      <c r="A7" s="28">
        <v>43348</v>
      </c>
      <c r="B7" s="25">
        <v>150</v>
      </c>
      <c r="C7" s="25">
        <v>11</v>
      </c>
      <c r="D7" s="25">
        <v>328</v>
      </c>
      <c r="E7" s="26">
        <v>0</v>
      </c>
      <c r="F7" s="26">
        <v>0</v>
      </c>
      <c r="G7" s="25">
        <v>0</v>
      </c>
      <c r="H7" s="27">
        <v>4034.9</v>
      </c>
      <c r="I7" s="107"/>
    </row>
    <row r="8" spans="1:9" x14ac:dyDescent="0.3">
      <c r="A8" s="28">
        <v>43349</v>
      </c>
      <c r="B8" s="25">
        <v>165</v>
      </c>
      <c r="C8" s="25">
        <v>0</v>
      </c>
      <c r="D8" s="25">
        <v>330</v>
      </c>
      <c r="E8" s="26">
        <v>0</v>
      </c>
      <c r="F8" s="26">
        <v>0</v>
      </c>
      <c r="G8" s="25">
        <v>0</v>
      </c>
      <c r="H8" s="27">
        <v>4034.9</v>
      </c>
      <c r="I8" s="116" t="s">
        <v>126</v>
      </c>
    </row>
    <row r="9" spans="1:9" x14ac:dyDescent="0.3">
      <c r="A9" s="28">
        <v>43350</v>
      </c>
      <c r="B9" s="25">
        <v>148</v>
      </c>
      <c r="C9" s="25">
        <v>17</v>
      </c>
      <c r="D9" s="25">
        <v>329</v>
      </c>
      <c r="E9" s="26">
        <v>0</v>
      </c>
      <c r="F9" s="26">
        <v>0</v>
      </c>
      <c r="G9" s="25">
        <v>113</v>
      </c>
      <c r="H9" s="27">
        <v>4034.9</v>
      </c>
      <c r="I9" s="117" t="s">
        <v>127</v>
      </c>
    </row>
    <row r="10" spans="1:9" x14ac:dyDescent="0.3">
      <c r="A10" s="28">
        <v>43351</v>
      </c>
      <c r="B10" s="25">
        <v>100</v>
      </c>
      <c r="C10" s="25">
        <v>25</v>
      </c>
      <c r="D10" s="25">
        <v>290</v>
      </c>
      <c r="E10" s="26">
        <v>0</v>
      </c>
      <c r="F10" s="26">
        <v>0</v>
      </c>
      <c r="G10" s="25">
        <v>160</v>
      </c>
      <c r="H10" s="27">
        <v>4034.88</v>
      </c>
      <c r="I10" s="107"/>
    </row>
    <row r="11" spans="1:9" x14ac:dyDescent="0.3">
      <c r="A11" s="28">
        <v>43352</v>
      </c>
      <c r="B11" s="25">
        <v>77</v>
      </c>
      <c r="C11" s="25">
        <v>16</v>
      </c>
      <c r="D11" s="25">
        <v>229</v>
      </c>
      <c r="E11" s="26">
        <v>0</v>
      </c>
      <c r="F11" s="26">
        <v>0</v>
      </c>
      <c r="G11" s="25">
        <v>160</v>
      </c>
      <c r="H11" s="27">
        <v>4034.88</v>
      </c>
      <c r="I11" s="118" t="s">
        <v>128</v>
      </c>
    </row>
    <row r="12" spans="1:9" x14ac:dyDescent="0.3">
      <c r="A12" s="28">
        <v>43353</v>
      </c>
      <c r="B12" s="25">
        <v>85</v>
      </c>
      <c r="C12" s="25">
        <v>0</v>
      </c>
      <c r="D12" s="25">
        <v>225</v>
      </c>
      <c r="E12" s="122">
        <v>0</v>
      </c>
      <c r="F12" s="122">
        <v>0</v>
      </c>
      <c r="G12" s="25">
        <v>160</v>
      </c>
      <c r="H12" s="123">
        <v>4034.88</v>
      </c>
      <c r="I12" s="119" t="s">
        <v>129</v>
      </c>
    </row>
    <row r="13" spans="1:9" x14ac:dyDescent="0.3">
      <c r="A13" s="28">
        <v>43354</v>
      </c>
      <c r="B13" s="25">
        <v>125</v>
      </c>
      <c r="C13" s="25">
        <v>0</v>
      </c>
      <c r="D13" s="25">
        <v>225</v>
      </c>
      <c r="E13" s="122">
        <v>0</v>
      </c>
      <c r="F13" s="122">
        <v>0</v>
      </c>
      <c r="G13" s="25">
        <v>160</v>
      </c>
      <c r="H13" s="123">
        <v>4034.88</v>
      </c>
      <c r="I13" s="120" t="s">
        <v>130</v>
      </c>
    </row>
    <row r="14" spans="1:9" x14ac:dyDescent="0.3">
      <c r="A14" s="28">
        <v>43355</v>
      </c>
      <c r="B14" s="25">
        <v>122</v>
      </c>
      <c r="C14" s="25">
        <v>0</v>
      </c>
      <c r="D14" s="25">
        <v>222</v>
      </c>
      <c r="E14" s="122">
        <v>0</v>
      </c>
      <c r="F14" s="122">
        <v>0</v>
      </c>
      <c r="G14" s="25">
        <v>160</v>
      </c>
      <c r="H14" s="123">
        <v>4034.88</v>
      </c>
      <c r="I14" s="121" t="s">
        <v>131</v>
      </c>
    </row>
    <row r="15" spans="1:9" x14ac:dyDescent="0.3">
      <c r="A15" s="28">
        <v>43356</v>
      </c>
      <c r="B15" s="25">
        <v>100</v>
      </c>
      <c r="C15" s="25">
        <v>19</v>
      </c>
      <c r="D15" s="25">
        <v>225</v>
      </c>
      <c r="E15" s="122">
        <v>0</v>
      </c>
      <c r="F15" s="122">
        <v>0</v>
      </c>
      <c r="G15" s="25">
        <v>160</v>
      </c>
      <c r="H15" s="123">
        <v>4034.88</v>
      </c>
      <c r="I15" s="107"/>
    </row>
    <row r="16" spans="1:9" x14ac:dyDescent="0.3">
      <c r="A16" s="28">
        <v>43357</v>
      </c>
      <c r="B16" s="25">
        <v>77</v>
      </c>
      <c r="C16" s="25">
        <v>27</v>
      </c>
      <c r="D16" s="25">
        <v>216</v>
      </c>
      <c r="E16" s="122">
        <v>0</v>
      </c>
      <c r="F16" s="122">
        <v>0</v>
      </c>
      <c r="G16" s="25">
        <v>160</v>
      </c>
      <c r="H16" s="123">
        <v>4034.88</v>
      </c>
      <c r="I16" s="124" t="s">
        <v>132</v>
      </c>
    </row>
    <row r="17" spans="1:9" x14ac:dyDescent="0.3">
      <c r="A17" s="28">
        <v>43358</v>
      </c>
      <c r="B17" s="25">
        <v>50</v>
      </c>
      <c r="C17" s="25">
        <v>14</v>
      </c>
      <c r="D17" s="25">
        <v>212</v>
      </c>
      <c r="E17" s="122">
        <v>0</v>
      </c>
      <c r="F17" s="122">
        <v>0</v>
      </c>
      <c r="G17" s="25">
        <v>160</v>
      </c>
      <c r="H17" s="123">
        <v>4034.88</v>
      </c>
      <c r="I17" s="107"/>
    </row>
    <row r="18" spans="1:9" x14ac:dyDescent="0.3">
      <c r="A18" s="28">
        <v>43359</v>
      </c>
      <c r="B18" s="25">
        <v>50</v>
      </c>
      <c r="C18" s="25">
        <v>0</v>
      </c>
      <c r="D18" s="25">
        <v>208</v>
      </c>
      <c r="E18" s="122">
        <v>0</v>
      </c>
      <c r="F18" s="122">
        <v>0</v>
      </c>
      <c r="G18" s="25">
        <v>160</v>
      </c>
      <c r="H18" s="123">
        <v>4034.88</v>
      </c>
      <c r="I18" s="107"/>
    </row>
    <row r="19" spans="1:9" x14ac:dyDescent="0.3">
      <c r="A19" s="28">
        <v>43360</v>
      </c>
      <c r="B19" s="25">
        <v>50</v>
      </c>
      <c r="C19" s="25">
        <v>0</v>
      </c>
      <c r="D19" s="25">
        <v>206</v>
      </c>
      <c r="E19" s="122">
        <v>0</v>
      </c>
      <c r="F19" s="122">
        <v>0</v>
      </c>
      <c r="G19" s="25">
        <v>160</v>
      </c>
      <c r="H19" s="123">
        <v>4034.88</v>
      </c>
      <c r="I19" s="107"/>
    </row>
    <row r="20" spans="1:9" x14ac:dyDescent="0.3">
      <c r="A20" s="28">
        <v>43361</v>
      </c>
      <c r="B20" s="25">
        <v>50</v>
      </c>
      <c r="C20" s="25">
        <v>0</v>
      </c>
      <c r="D20" s="25">
        <v>210</v>
      </c>
      <c r="E20" s="122">
        <v>0</v>
      </c>
      <c r="F20" s="122">
        <v>0</v>
      </c>
      <c r="G20" s="25">
        <v>160</v>
      </c>
      <c r="H20" s="123">
        <v>4034.88</v>
      </c>
      <c r="I20" s="107"/>
    </row>
    <row r="21" spans="1:9" x14ac:dyDescent="0.3">
      <c r="A21" s="28">
        <v>43362</v>
      </c>
      <c r="B21" s="25">
        <v>50</v>
      </c>
      <c r="C21" s="25">
        <v>0</v>
      </c>
      <c r="D21" s="25">
        <v>193</v>
      </c>
      <c r="E21" s="122">
        <v>0</v>
      </c>
      <c r="F21" s="122">
        <v>0</v>
      </c>
      <c r="G21" s="25">
        <v>160</v>
      </c>
      <c r="H21" s="123">
        <v>4034.88</v>
      </c>
      <c r="I21" s="107"/>
    </row>
    <row r="22" spans="1:9" x14ac:dyDescent="0.3">
      <c r="A22" s="28">
        <v>43363</v>
      </c>
      <c r="B22" s="25">
        <v>83</v>
      </c>
      <c r="C22" s="25">
        <v>0</v>
      </c>
      <c r="D22" s="25">
        <v>192</v>
      </c>
      <c r="E22" s="122">
        <v>0</v>
      </c>
      <c r="F22" s="122">
        <v>0</v>
      </c>
      <c r="G22" s="25">
        <v>160</v>
      </c>
      <c r="H22" s="123">
        <v>4034.88</v>
      </c>
      <c r="I22" s="107" t="s">
        <v>133</v>
      </c>
    </row>
    <row r="23" spans="1:9" x14ac:dyDescent="0.3">
      <c r="A23" s="28">
        <v>43364</v>
      </c>
      <c r="B23" s="25">
        <v>123</v>
      </c>
      <c r="C23" s="25">
        <v>0</v>
      </c>
      <c r="D23" s="25">
        <v>194</v>
      </c>
      <c r="E23" s="122">
        <v>0</v>
      </c>
      <c r="F23" s="122">
        <v>0</v>
      </c>
      <c r="G23" s="25">
        <v>160</v>
      </c>
      <c r="H23" s="123">
        <v>4034.88</v>
      </c>
      <c r="I23" s="107" t="s">
        <v>134</v>
      </c>
    </row>
    <row r="24" spans="1:9" x14ac:dyDescent="0.3">
      <c r="A24" s="28">
        <v>43365</v>
      </c>
      <c r="B24" s="25">
        <v>150</v>
      </c>
      <c r="C24" s="25">
        <v>0</v>
      </c>
      <c r="D24" s="25">
        <v>197</v>
      </c>
      <c r="E24" s="122">
        <v>0</v>
      </c>
      <c r="F24" s="122">
        <v>0</v>
      </c>
      <c r="G24" s="25">
        <v>160</v>
      </c>
      <c r="H24" s="123">
        <v>4034.88</v>
      </c>
      <c r="I24" s="107"/>
    </row>
    <row r="25" spans="1:9" x14ac:dyDescent="0.3">
      <c r="A25" s="28">
        <v>43366</v>
      </c>
      <c r="B25" s="25">
        <v>83</v>
      </c>
      <c r="C25" s="25">
        <v>0</v>
      </c>
      <c r="D25" s="25">
        <v>193</v>
      </c>
      <c r="E25" s="122">
        <v>0</v>
      </c>
      <c r="F25" s="122">
        <v>0</v>
      </c>
      <c r="G25" s="25">
        <v>160</v>
      </c>
      <c r="H25" s="123">
        <v>4034.88</v>
      </c>
      <c r="I25" s="107" t="s">
        <v>135</v>
      </c>
    </row>
    <row r="26" spans="1:9" x14ac:dyDescent="0.3">
      <c r="A26" s="28">
        <v>43367</v>
      </c>
      <c r="B26" s="25">
        <v>65</v>
      </c>
      <c r="C26" s="25">
        <v>0</v>
      </c>
      <c r="D26" s="25">
        <v>194</v>
      </c>
      <c r="E26" s="122">
        <v>0</v>
      </c>
      <c r="F26" s="122">
        <v>0</v>
      </c>
      <c r="G26" s="25">
        <v>160</v>
      </c>
      <c r="H26" s="123">
        <v>4034.88</v>
      </c>
      <c r="I26" s="107" t="s">
        <v>136</v>
      </c>
    </row>
    <row r="27" spans="1:9" x14ac:dyDescent="0.3">
      <c r="A27" s="28">
        <v>43368</v>
      </c>
      <c r="B27" s="25">
        <v>100</v>
      </c>
      <c r="C27" s="25">
        <v>0</v>
      </c>
      <c r="D27" s="25">
        <v>180</v>
      </c>
      <c r="E27" s="122">
        <v>0</v>
      </c>
      <c r="F27" s="122">
        <v>0</v>
      </c>
      <c r="G27" s="25">
        <v>160</v>
      </c>
      <c r="H27" s="123">
        <v>4034.88</v>
      </c>
      <c r="I27" s="107"/>
    </row>
    <row r="28" spans="1:9" x14ac:dyDescent="0.3">
      <c r="A28" s="28">
        <v>43369</v>
      </c>
      <c r="B28" s="25">
        <v>77</v>
      </c>
      <c r="C28" s="25">
        <v>0</v>
      </c>
      <c r="D28" s="25">
        <v>184</v>
      </c>
      <c r="E28" s="122">
        <v>0</v>
      </c>
      <c r="F28" s="122">
        <v>0</v>
      </c>
      <c r="G28" s="25">
        <v>160</v>
      </c>
      <c r="H28" s="123">
        <v>4034.88</v>
      </c>
      <c r="I28" s="107" t="s">
        <v>137</v>
      </c>
    </row>
    <row r="29" spans="1:9" x14ac:dyDescent="0.3">
      <c r="A29" s="28">
        <v>43370</v>
      </c>
      <c r="B29" s="13">
        <v>50</v>
      </c>
      <c r="C29" s="13">
        <v>75</v>
      </c>
      <c r="D29" s="13">
        <v>180</v>
      </c>
      <c r="E29" s="122">
        <v>0</v>
      </c>
      <c r="F29" s="122">
        <v>0</v>
      </c>
      <c r="G29" s="13">
        <v>160</v>
      </c>
      <c r="H29" s="123">
        <v>4034.88</v>
      </c>
      <c r="I29" s="107"/>
    </row>
    <row r="30" spans="1:9" x14ac:dyDescent="0.3">
      <c r="A30" s="28">
        <v>43371</v>
      </c>
      <c r="B30" s="13">
        <v>50</v>
      </c>
      <c r="C30" s="13">
        <v>0</v>
      </c>
      <c r="D30" s="13">
        <v>163</v>
      </c>
      <c r="E30" s="122">
        <v>0</v>
      </c>
      <c r="F30" s="122">
        <v>0</v>
      </c>
      <c r="G30" s="13">
        <v>160</v>
      </c>
      <c r="H30" s="123">
        <v>4034.88</v>
      </c>
      <c r="I30" s="107"/>
    </row>
    <row r="31" spans="1:9" x14ac:dyDescent="0.3">
      <c r="A31" s="28">
        <v>43372</v>
      </c>
      <c r="B31" s="105">
        <v>85</v>
      </c>
      <c r="C31" s="13">
        <v>0</v>
      </c>
      <c r="D31" s="13">
        <v>171</v>
      </c>
      <c r="E31" s="122">
        <v>0</v>
      </c>
      <c r="F31" s="122">
        <v>0</v>
      </c>
      <c r="G31" s="13">
        <v>160</v>
      </c>
      <c r="H31" s="123">
        <v>4034.88</v>
      </c>
      <c r="I31" s="107" t="s">
        <v>138</v>
      </c>
    </row>
    <row r="32" spans="1:9" ht="15" thickBot="1" x14ac:dyDescent="0.35">
      <c r="A32" s="28">
        <v>43373</v>
      </c>
      <c r="B32" s="105">
        <v>58</v>
      </c>
      <c r="C32" s="13">
        <v>0</v>
      </c>
      <c r="D32" s="13">
        <v>160</v>
      </c>
      <c r="E32" s="14">
        <v>0.26</v>
      </c>
      <c r="F32" s="122">
        <v>0</v>
      </c>
      <c r="G32" s="13">
        <v>123</v>
      </c>
      <c r="H32" s="123">
        <v>4034.88</v>
      </c>
      <c r="I32" s="107" t="s">
        <v>139</v>
      </c>
    </row>
    <row r="33" spans="1:14" s="11" customFormat="1" ht="15" thickTop="1" x14ac:dyDescent="0.3">
      <c r="A33" s="16" t="s">
        <v>8</v>
      </c>
      <c r="B33" s="17">
        <f t="shared" ref="B33:G33" si="0">SUM(B3:B32)</f>
        <v>3273</v>
      </c>
      <c r="C33" s="17">
        <f t="shared" si="0"/>
        <v>243</v>
      </c>
      <c r="D33" s="17">
        <f t="shared" si="0"/>
        <v>7171</v>
      </c>
      <c r="E33" s="18">
        <f t="shared" si="0"/>
        <v>0.26</v>
      </c>
      <c r="F33" s="18">
        <f t="shared" si="0"/>
        <v>0</v>
      </c>
      <c r="G33" s="17">
        <f t="shared" si="0"/>
        <v>3756</v>
      </c>
      <c r="H33" s="18"/>
    </row>
    <row r="34" spans="1:14" s="11" customFormat="1" x14ac:dyDescent="0.3">
      <c r="A34" s="19" t="s">
        <v>9</v>
      </c>
      <c r="B34" s="20">
        <f>SUM(B33+'Aug 2018'!B35)</f>
        <v>32901</v>
      </c>
      <c r="C34" s="20">
        <f>SUM(C33+'Aug 2018'!C35)</f>
        <v>3552</v>
      </c>
      <c r="D34" s="20">
        <f>SUM(D33+'Aug 2018'!D35)</f>
        <v>51860</v>
      </c>
      <c r="E34" s="21">
        <f>SUM(E33+'Aug 2018'!E35)</f>
        <v>11.93</v>
      </c>
      <c r="F34" s="21">
        <f>SUM(F33+'Aug 2018'!F35)</f>
        <v>14</v>
      </c>
      <c r="G34" s="20">
        <f>SUM(G33+'Aug 2018'!G35)</f>
        <v>16168</v>
      </c>
      <c r="H34" s="21"/>
    </row>
    <row r="36" spans="1:14" x14ac:dyDescent="0.3">
      <c r="A36" t="s">
        <v>10</v>
      </c>
      <c r="B36" s="23">
        <f>SUM(B3:B32)*1.9835</f>
        <v>6491.9955</v>
      </c>
      <c r="C36" s="23">
        <f>SUM(C3:C32)*1.9835</f>
        <v>481.9905</v>
      </c>
      <c r="D36" s="23">
        <f>SUM(D3:D32)*1.9835</f>
        <v>14223.6785</v>
      </c>
      <c r="E36" s="23"/>
      <c r="F36" s="23"/>
      <c r="G36" s="23"/>
    </row>
    <row r="37" spans="1:14" x14ac:dyDescent="0.3">
      <c r="B37" s="23"/>
      <c r="C37" s="23"/>
      <c r="D37" s="24"/>
      <c r="E37" s="23"/>
      <c r="F37" s="23"/>
      <c r="G37" s="23"/>
    </row>
    <row r="38" spans="1:14" x14ac:dyDescent="0.3">
      <c r="A38" t="s">
        <v>24</v>
      </c>
      <c r="B38" s="23">
        <f>SUM(B36+'Aug 2018'!B39)</f>
        <v>65818.480500000005</v>
      </c>
      <c r="C38" s="23">
        <f>SUM(C36+'Aug 2018'!C39)</f>
        <v>7045.3919999999998</v>
      </c>
      <c r="D38" s="23">
        <f>SUM(D36+'Aug 2018'!D39)</f>
        <v>104538.38399999999</v>
      </c>
      <c r="E38" s="23"/>
      <c r="F38" s="23"/>
      <c r="G38" s="23"/>
    </row>
    <row r="40" spans="1:14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29" t="s">
        <v>23</v>
      </c>
      <c r="B42" s="129"/>
      <c r="C42" s="129"/>
      <c r="D42" s="129"/>
      <c r="E42" s="129"/>
      <c r="F42" s="129"/>
      <c r="G42" s="129"/>
      <c r="H42" s="129"/>
      <c r="I42" s="130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3"/>
    </sheetView>
  </sheetViews>
  <sheetFormatPr defaultRowHeight="14.4" outlineLevelRow="2" x14ac:dyDescent="0.3"/>
  <cols>
    <col min="1" max="1" width="13.5546875" bestFit="1" customWidth="1"/>
    <col min="2" max="8" width="11.6640625" customWidth="1"/>
    <col min="9" max="9" width="27.332031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 x14ac:dyDescent="0.3">
      <c r="A3" s="12">
        <v>43313</v>
      </c>
      <c r="B3" s="25">
        <v>300</v>
      </c>
      <c r="C3" s="25">
        <v>0</v>
      </c>
      <c r="D3" s="25">
        <v>440</v>
      </c>
      <c r="E3" s="26">
        <v>0</v>
      </c>
      <c r="F3" s="26">
        <v>0</v>
      </c>
      <c r="G3" s="25">
        <v>0</v>
      </c>
      <c r="H3" s="27">
        <v>4034.8</v>
      </c>
      <c r="I3" s="107"/>
    </row>
    <row r="4" spans="1:9" outlineLevel="2" x14ac:dyDescent="0.3">
      <c r="A4" s="12">
        <v>43314</v>
      </c>
      <c r="B4" s="25">
        <v>267</v>
      </c>
      <c r="C4" s="25">
        <v>0</v>
      </c>
      <c r="D4" s="25">
        <v>413</v>
      </c>
      <c r="E4" s="26">
        <v>0</v>
      </c>
      <c r="F4" s="26">
        <v>0</v>
      </c>
      <c r="G4" s="25">
        <v>0</v>
      </c>
      <c r="H4" s="27">
        <v>4034.79</v>
      </c>
      <c r="I4" s="107" t="s">
        <v>105</v>
      </c>
    </row>
    <row r="5" spans="1:9" outlineLevel="2" x14ac:dyDescent="0.3">
      <c r="A5" s="12">
        <v>43315</v>
      </c>
      <c r="B5" s="25">
        <v>250</v>
      </c>
      <c r="C5" s="25">
        <v>0</v>
      </c>
      <c r="D5" s="25">
        <v>400</v>
      </c>
      <c r="E5" s="26">
        <v>0</v>
      </c>
      <c r="F5" s="26">
        <v>0</v>
      </c>
      <c r="G5" s="25">
        <v>0</v>
      </c>
      <c r="H5" s="27">
        <v>4034.78</v>
      </c>
      <c r="I5" s="107"/>
    </row>
    <row r="6" spans="1:9" outlineLevel="2" x14ac:dyDescent="0.3">
      <c r="A6" s="12">
        <v>43316</v>
      </c>
      <c r="B6" s="25">
        <v>250</v>
      </c>
      <c r="C6" s="25">
        <v>0</v>
      </c>
      <c r="D6" s="25">
        <v>385</v>
      </c>
      <c r="E6" s="26">
        <v>0</v>
      </c>
      <c r="F6" s="26">
        <v>0</v>
      </c>
      <c r="G6" s="25">
        <v>0</v>
      </c>
      <c r="H6" s="27">
        <v>4034.78</v>
      </c>
      <c r="I6" s="107"/>
    </row>
    <row r="7" spans="1:9" outlineLevel="2" x14ac:dyDescent="0.3">
      <c r="A7" s="12">
        <v>43317</v>
      </c>
      <c r="B7" s="25">
        <v>215</v>
      </c>
      <c r="C7" s="25">
        <v>0</v>
      </c>
      <c r="D7" s="25">
        <v>384</v>
      </c>
      <c r="E7" s="26">
        <v>0</v>
      </c>
      <c r="F7" s="26">
        <v>0</v>
      </c>
      <c r="G7" s="25">
        <v>0</v>
      </c>
      <c r="H7" s="27">
        <v>4034.78</v>
      </c>
      <c r="I7" s="107" t="s">
        <v>106</v>
      </c>
    </row>
    <row r="8" spans="1:9" outlineLevel="2" x14ac:dyDescent="0.3">
      <c r="A8" s="12">
        <v>43318</v>
      </c>
      <c r="B8" s="25">
        <v>235</v>
      </c>
      <c r="C8" s="25">
        <v>0</v>
      </c>
      <c r="D8" s="25">
        <v>406</v>
      </c>
      <c r="E8" s="26">
        <v>0</v>
      </c>
      <c r="F8" s="26">
        <v>0</v>
      </c>
      <c r="G8" s="25">
        <v>0</v>
      </c>
      <c r="H8" s="27">
        <v>4034.78</v>
      </c>
      <c r="I8" s="107" t="s">
        <v>107</v>
      </c>
    </row>
    <row r="9" spans="1:9" outlineLevel="2" x14ac:dyDescent="0.3">
      <c r="A9" s="12">
        <v>43319</v>
      </c>
      <c r="B9" s="25">
        <v>215</v>
      </c>
      <c r="C9" s="25">
        <v>0</v>
      </c>
      <c r="D9" s="25">
        <v>376</v>
      </c>
      <c r="E9" s="26">
        <v>0</v>
      </c>
      <c r="F9" s="26">
        <v>0</v>
      </c>
      <c r="G9" s="25">
        <v>0</v>
      </c>
      <c r="H9" s="27">
        <v>4034.78</v>
      </c>
      <c r="I9" s="107" t="s">
        <v>106</v>
      </c>
    </row>
    <row r="10" spans="1:9" outlineLevel="2" x14ac:dyDescent="0.3">
      <c r="A10" s="12">
        <v>43320</v>
      </c>
      <c r="B10" s="25">
        <v>200</v>
      </c>
      <c r="C10" s="25">
        <v>0</v>
      </c>
      <c r="D10" s="25">
        <v>380</v>
      </c>
      <c r="E10" s="26">
        <v>0</v>
      </c>
      <c r="F10" s="26">
        <v>0</v>
      </c>
      <c r="G10" s="25">
        <v>0</v>
      </c>
      <c r="H10" s="27">
        <v>4034.78</v>
      </c>
      <c r="I10" s="107"/>
    </row>
    <row r="11" spans="1:9" outlineLevel="2" x14ac:dyDescent="0.3">
      <c r="A11" s="12">
        <v>43321</v>
      </c>
      <c r="B11" s="25">
        <v>200</v>
      </c>
      <c r="C11" s="25">
        <v>0</v>
      </c>
      <c r="D11" s="25">
        <v>381</v>
      </c>
      <c r="E11" s="26">
        <v>0</v>
      </c>
      <c r="F11" s="26">
        <v>0</v>
      </c>
      <c r="G11" s="25">
        <v>0</v>
      </c>
      <c r="H11" s="27">
        <v>4034.78</v>
      </c>
      <c r="I11" s="107"/>
    </row>
    <row r="12" spans="1:9" outlineLevel="2" x14ac:dyDescent="0.3">
      <c r="A12" s="12">
        <v>43322</v>
      </c>
      <c r="B12" s="25">
        <v>181</v>
      </c>
      <c r="C12" s="25">
        <v>0</v>
      </c>
      <c r="D12" s="25">
        <v>381</v>
      </c>
      <c r="E12" s="26">
        <v>0</v>
      </c>
      <c r="F12" s="26">
        <v>0</v>
      </c>
      <c r="G12" s="25">
        <v>0</v>
      </c>
      <c r="H12" s="27">
        <v>4034.76</v>
      </c>
      <c r="I12" s="107" t="s">
        <v>108</v>
      </c>
    </row>
    <row r="13" spans="1:9" outlineLevel="2" x14ac:dyDescent="0.3">
      <c r="A13" s="12">
        <v>43323</v>
      </c>
      <c r="B13" s="25">
        <v>185</v>
      </c>
      <c r="C13" s="25">
        <v>0</v>
      </c>
      <c r="D13" s="25">
        <v>336</v>
      </c>
      <c r="E13" s="26">
        <v>0</v>
      </c>
      <c r="F13" s="26">
        <v>0</v>
      </c>
      <c r="G13" s="25">
        <v>0</v>
      </c>
      <c r="H13" s="27">
        <v>4034.76</v>
      </c>
      <c r="I13" s="107" t="s">
        <v>109</v>
      </c>
    </row>
    <row r="14" spans="1:9" outlineLevel="2" x14ac:dyDescent="0.3">
      <c r="A14" s="12">
        <v>43324</v>
      </c>
      <c r="B14" s="25">
        <v>169</v>
      </c>
      <c r="C14" s="25">
        <v>0</v>
      </c>
      <c r="D14" s="25">
        <v>344</v>
      </c>
      <c r="E14" s="26">
        <v>0</v>
      </c>
      <c r="F14" s="26">
        <v>0</v>
      </c>
      <c r="G14" s="25">
        <v>0</v>
      </c>
      <c r="H14" s="27">
        <v>4034.76</v>
      </c>
      <c r="I14" s="107" t="s">
        <v>110</v>
      </c>
    </row>
    <row r="15" spans="1:9" outlineLevel="2" x14ac:dyDescent="0.3">
      <c r="A15" s="12">
        <v>43325</v>
      </c>
      <c r="B15" s="25">
        <v>150</v>
      </c>
      <c r="C15" s="25">
        <v>0</v>
      </c>
      <c r="D15" s="25">
        <v>344</v>
      </c>
      <c r="E15" s="26">
        <v>0</v>
      </c>
      <c r="F15" s="26">
        <v>0</v>
      </c>
      <c r="G15" s="25">
        <v>0</v>
      </c>
      <c r="H15" s="27">
        <v>4034.76</v>
      </c>
      <c r="I15" s="107" t="s">
        <v>109</v>
      </c>
    </row>
    <row r="16" spans="1:9" outlineLevel="2" x14ac:dyDescent="0.3">
      <c r="A16" s="12">
        <v>43326</v>
      </c>
      <c r="B16" s="25">
        <v>185</v>
      </c>
      <c r="C16" s="25">
        <v>0</v>
      </c>
      <c r="D16" s="25">
        <v>330</v>
      </c>
      <c r="E16" s="26">
        <v>0</v>
      </c>
      <c r="F16" s="26">
        <v>0</v>
      </c>
      <c r="G16" s="25">
        <v>0</v>
      </c>
      <c r="H16" s="27">
        <v>4034.76</v>
      </c>
      <c r="I16" s="107"/>
    </row>
    <row r="17" spans="1:10" outlineLevel="2" x14ac:dyDescent="0.3">
      <c r="A17" s="12">
        <v>43327</v>
      </c>
      <c r="B17" s="25">
        <v>213</v>
      </c>
      <c r="C17" s="25">
        <v>0</v>
      </c>
      <c r="D17" s="25">
        <v>339</v>
      </c>
      <c r="E17" s="26">
        <v>0.01</v>
      </c>
      <c r="F17" s="26">
        <v>0</v>
      </c>
      <c r="G17" s="25">
        <v>0</v>
      </c>
      <c r="H17" s="27">
        <v>4034.76</v>
      </c>
      <c r="I17" s="107" t="s">
        <v>111</v>
      </c>
    </row>
    <row r="18" spans="1:10" outlineLevel="2" x14ac:dyDescent="0.3">
      <c r="A18" s="12">
        <v>43328</v>
      </c>
      <c r="B18" s="25">
        <v>250</v>
      </c>
      <c r="C18" s="25">
        <v>0</v>
      </c>
      <c r="D18" s="25">
        <v>334</v>
      </c>
      <c r="E18" s="26">
        <v>0</v>
      </c>
      <c r="F18" s="26">
        <v>0</v>
      </c>
      <c r="G18" s="25">
        <v>0</v>
      </c>
      <c r="H18" s="27">
        <v>4034.76</v>
      </c>
      <c r="I18" s="107"/>
    </row>
    <row r="19" spans="1:10" outlineLevel="2" x14ac:dyDescent="0.3">
      <c r="A19" s="12">
        <v>43329</v>
      </c>
      <c r="B19" s="25">
        <v>217</v>
      </c>
      <c r="C19" s="25">
        <v>0</v>
      </c>
      <c r="D19" s="25">
        <v>350</v>
      </c>
      <c r="E19" s="26">
        <v>0</v>
      </c>
      <c r="F19" s="26">
        <v>0</v>
      </c>
      <c r="G19" s="25">
        <v>0</v>
      </c>
      <c r="H19" s="27">
        <v>4034.76</v>
      </c>
      <c r="I19" s="107" t="s">
        <v>112</v>
      </c>
    </row>
    <row r="20" spans="1:10" outlineLevel="2" x14ac:dyDescent="0.3">
      <c r="A20" s="12">
        <v>43330</v>
      </c>
      <c r="B20" s="25">
        <v>258</v>
      </c>
      <c r="C20" s="25">
        <v>0</v>
      </c>
      <c r="D20" s="25">
        <v>398</v>
      </c>
      <c r="E20" s="26">
        <v>0</v>
      </c>
      <c r="F20" s="26">
        <v>0</v>
      </c>
      <c r="G20" s="25">
        <v>0</v>
      </c>
      <c r="H20" s="27">
        <v>4034.76</v>
      </c>
      <c r="I20" s="107" t="s">
        <v>113</v>
      </c>
      <c r="J20" s="10"/>
    </row>
    <row r="21" spans="1:10" outlineLevel="2" x14ac:dyDescent="0.3">
      <c r="A21" s="12">
        <v>43331</v>
      </c>
      <c r="B21" s="25">
        <v>250</v>
      </c>
      <c r="C21" s="25">
        <v>0</v>
      </c>
      <c r="D21" s="25">
        <v>395</v>
      </c>
      <c r="E21" s="26">
        <v>0</v>
      </c>
      <c r="F21" s="26">
        <v>0</v>
      </c>
      <c r="G21" s="25">
        <v>0</v>
      </c>
      <c r="H21" s="27">
        <v>4034.76</v>
      </c>
      <c r="I21" s="107"/>
      <c r="J21" s="10"/>
    </row>
    <row r="22" spans="1:10" outlineLevel="2" x14ac:dyDescent="0.3">
      <c r="A22" s="12">
        <v>43332</v>
      </c>
      <c r="B22" s="25">
        <v>269</v>
      </c>
      <c r="C22" s="25">
        <v>0</v>
      </c>
      <c r="D22" s="25">
        <v>428</v>
      </c>
      <c r="E22" s="26">
        <v>0</v>
      </c>
      <c r="F22" s="26">
        <v>0</v>
      </c>
      <c r="G22" s="25">
        <v>0</v>
      </c>
      <c r="H22" s="27">
        <v>4034.77</v>
      </c>
      <c r="I22" s="107" t="s">
        <v>114</v>
      </c>
      <c r="J22" s="10"/>
    </row>
    <row r="23" spans="1:10" outlineLevel="2" x14ac:dyDescent="0.3">
      <c r="A23" s="12">
        <v>43333</v>
      </c>
      <c r="B23" s="25">
        <v>277</v>
      </c>
      <c r="C23" s="25">
        <v>0</v>
      </c>
      <c r="D23" s="25">
        <v>450</v>
      </c>
      <c r="E23" s="26">
        <v>0</v>
      </c>
      <c r="F23" s="26">
        <v>0</v>
      </c>
      <c r="G23" s="25">
        <v>0</v>
      </c>
      <c r="H23" s="27">
        <v>4034.78</v>
      </c>
      <c r="I23" s="107" t="s">
        <v>115</v>
      </c>
      <c r="J23" s="10"/>
    </row>
    <row r="24" spans="1:10" outlineLevel="2" x14ac:dyDescent="0.3">
      <c r="A24" s="12">
        <v>43334</v>
      </c>
      <c r="B24" s="25">
        <v>225</v>
      </c>
      <c r="C24" s="25">
        <v>0</v>
      </c>
      <c r="D24" s="25">
        <v>420</v>
      </c>
      <c r="E24" s="26">
        <v>0</v>
      </c>
      <c r="F24" s="26">
        <v>0</v>
      </c>
      <c r="G24" s="25">
        <v>0</v>
      </c>
      <c r="H24" s="27">
        <v>4034.78</v>
      </c>
      <c r="I24" s="107" t="s">
        <v>116</v>
      </c>
      <c r="J24" s="10"/>
    </row>
    <row r="25" spans="1:10" outlineLevel="2" x14ac:dyDescent="0.3">
      <c r="A25" s="12">
        <v>43335</v>
      </c>
      <c r="B25" s="25">
        <v>200</v>
      </c>
      <c r="C25" s="25">
        <v>0</v>
      </c>
      <c r="D25" s="25">
        <v>372</v>
      </c>
      <c r="E25" s="26">
        <v>0</v>
      </c>
      <c r="F25" s="26">
        <v>0</v>
      </c>
      <c r="G25" s="25">
        <v>0</v>
      </c>
      <c r="H25" s="27">
        <v>4034.78</v>
      </c>
      <c r="I25" s="107"/>
      <c r="J25" s="10"/>
    </row>
    <row r="26" spans="1:10" outlineLevel="2" x14ac:dyDescent="0.3">
      <c r="A26" s="12">
        <v>43336</v>
      </c>
      <c r="B26" s="25">
        <v>175</v>
      </c>
      <c r="C26" s="25">
        <v>0</v>
      </c>
      <c r="D26" s="25">
        <v>357</v>
      </c>
      <c r="E26" s="26">
        <v>0</v>
      </c>
      <c r="F26" s="26">
        <v>0</v>
      </c>
      <c r="G26" s="25">
        <v>0</v>
      </c>
      <c r="H26" s="27">
        <v>4034.79</v>
      </c>
      <c r="I26" s="107" t="s">
        <v>117</v>
      </c>
    </row>
    <row r="27" spans="1:10" outlineLevel="2" x14ac:dyDescent="0.3">
      <c r="A27" s="12">
        <v>43337</v>
      </c>
      <c r="B27" s="25">
        <v>177</v>
      </c>
      <c r="C27" s="25">
        <v>0</v>
      </c>
      <c r="D27" s="25">
        <v>319</v>
      </c>
      <c r="E27" s="26">
        <v>0</v>
      </c>
      <c r="F27" s="26">
        <v>0</v>
      </c>
      <c r="G27" s="25">
        <v>0</v>
      </c>
      <c r="H27" s="27">
        <v>4034.79</v>
      </c>
      <c r="I27" s="115" t="s">
        <v>118</v>
      </c>
    </row>
    <row r="28" spans="1:10" outlineLevel="2" x14ac:dyDescent="0.3">
      <c r="A28" s="12">
        <v>43338</v>
      </c>
      <c r="B28" s="25">
        <v>220</v>
      </c>
      <c r="C28" s="25">
        <v>0</v>
      </c>
      <c r="D28" s="25">
        <v>325</v>
      </c>
      <c r="E28" s="26">
        <v>0</v>
      </c>
      <c r="F28" s="26">
        <v>0</v>
      </c>
      <c r="G28" s="25">
        <v>0</v>
      </c>
      <c r="H28" s="27">
        <v>4034.79</v>
      </c>
      <c r="I28" s="107" t="s">
        <v>119</v>
      </c>
    </row>
    <row r="29" spans="1:10" outlineLevel="2" x14ac:dyDescent="0.3">
      <c r="A29" s="12">
        <v>43339</v>
      </c>
      <c r="B29" s="25">
        <v>221</v>
      </c>
      <c r="C29" s="25">
        <v>0</v>
      </c>
      <c r="D29" s="25">
        <v>371</v>
      </c>
      <c r="E29" s="26">
        <v>0</v>
      </c>
      <c r="F29" s="26">
        <v>0</v>
      </c>
      <c r="G29" s="25">
        <v>0</v>
      </c>
      <c r="H29" s="27">
        <v>4034.8</v>
      </c>
      <c r="I29" s="107" t="s">
        <v>120</v>
      </c>
    </row>
    <row r="30" spans="1:10" outlineLevel="2" x14ac:dyDescent="0.3">
      <c r="A30" s="12">
        <v>43340</v>
      </c>
      <c r="B30" s="25">
        <v>233</v>
      </c>
      <c r="C30" s="25">
        <v>0</v>
      </c>
      <c r="D30" s="25">
        <v>388</v>
      </c>
      <c r="E30" s="26">
        <v>0</v>
      </c>
      <c r="F30" s="26">
        <v>0</v>
      </c>
      <c r="G30" s="25">
        <v>0</v>
      </c>
      <c r="H30" s="27">
        <v>4034.8</v>
      </c>
      <c r="I30" s="107" t="s">
        <v>121</v>
      </c>
    </row>
    <row r="31" spans="1:10" outlineLevel="2" x14ac:dyDescent="0.3">
      <c r="A31" s="12">
        <v>43341</v>
      </c>
      <c r="B31" s="25">
        <v>250</v>
      </c>
      <c r="C31" s="25">
        <v>0</v>
      </c>
      <c r="D31" s="25">
        <v>384</v>
      </c>
      <c r="E31" s="26">
        <v>0</v>
      </c>
      <c r="F31" s="26">
        <v>0</v>
      </c>
      <c r="G31" s="25">
        <v>0</v>
      </c>
      <c r="H31" s="27">
        <v>4034.8</v>
      </c>
      <c r="I31" s="107"/>
    </row>
    <row r="32" spans="1:10" outlineLevel="2" x14ac:dyDescent="0.3">
      <c r="A32" s="12">
        <v>43342</v>
      </c>
      <c r="B32" s="25">
        <v>250</v>
      </c>
      <c r="C32" s="25">
        <v>0</v>
      </c>
      <c r="D32" s="25">
        <v>394</v>
      </c>
      <c r="E32" s="26">
        <v>0</v>
      </c>
      <c r="F32" s="26">
        <v>0</v>
      </c>
      <c r="G32" s="25">
        <v>0</v>
      </c>
      <c r="H32" s="27">
        <v>4034.8</v>
      </c>
      <c r="I32" s="107"/>
    </row>
    <row r="33" spans="1:14" ht="15" outlineLevel="2" thickBot="1" x14ac:dyDescent="0.35">
      <c r="A33" s="12">
        <v>43343</v>
      </c>
      <c r="B33" s="25">
        <v>267</v>
      </c>
      <c r="C33" s="25">
        <v>0</v>
      </c>
      <c r="D33" s="25">
        <v>427</v>
      </c>
      <c r="E33" s="26">
        <v>0</v>
      </c>
      <c r="F33" s="26">
        <v>0</v>
      </c>
      <c r="G33" s="25">
        <v>0</v>
      </c>
      <c r="H33" s="27">
        <v>4034.81</v>
      </c>
      <c r="I33" s="107" t="s">
        <v>122</v>
      </c>
    </row>
    <row r="34" spans="1:14" s="11" customFormat="1" ht="15" outlineLevel="1" thickTop="1" x14ac:dyDescent="0.3">
      <c r="A34" s="16" t="s">
        <v>8</v>
      </c>
      <c r="B34" s="17">
        <f t="shared" ref="B34:G34" si="0">SUM(B3:B33)</f>
        <v>6954</v>
      </c>
      <c r="C34" s="17">
        <f t="shared" si="0"/>
        <v>0</v>
      </c>
      <c r="D34" s="17">
        <f t="shared" si="0"/>
        <v>11751</v>
      </c>
      <c r="E34" s="18">
        <f t="shared" si="0"/>
        <v>0.01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3">
      <c r="A35" s="19" t="s">
        <v>9</v>
      </c>
      <c r="B35" s="20">
        <f>SUM(B34+'Jul 2018'!B35)</f>
        <v>29628</v>
      </c>
      <c r="C35" s="20">
        <f>SUM(C34+'Jul 2018'!C35)</f>
        <v>3309</v>
      </c>
      <c r="D35" s="20">
        <f>SUM(D34+'Jul 2018'!D35)</f>
        <v>44689</v>
      </c>
      <c r="E35" s="21">
        <f>SUM(E34+'Jul 2018'!E35)</f>
        <v>11.67</v>
      </c>
      <c r="F35" s="21">
        <f>SUM(F34+'Jul 2018'!F35)</f>
        <v>14</v>
      </c>
      <c r="G35" s="20">
        <f>SUM(G34+'Jul 2018'!G35)</f>
        <v>12412</v>
      </c>
      <c r="H35" s="21"/>
    </row>
    <row r="36" spans="1:14" outlineLevel="1" x14ac:dyDescent="0.3"/>
    <row r="37" spans="1:14" x14ac:dyDescent="0.3">
      <c r="A37" t="s">
        <v>10</v>
      </c>
      <c r="B37" s="23">
        <f>SUM(B3:B33)*1.9835</f>
        <v>13793.259</v>
      </c>
      <c r="C37" s="23">
        <f>SUM(C3:C33)*1.9835</f>
        <v>0</v>
      </c>
      <c r="D37" s="23">
        <f>SUM(D3:D33)*1.9835</f>
        <v>23308.108500000002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SUM(B37+'Jul 2018'!B39)</f>
        <v>59326.485000000001</v>
      </c>
      <c r="C39" s="23">
        <f>SUM(C37+'Jul 2018'!C39)</f>
        <v>6563.4014999999999</v>
      </c>
      <c r="D39" s="23">
        <f>SUM(D37+'Jul 2018'!D39)</f>
        <v>90314.705499999996</v>
      </c>
      <c r="E39" s="23"/>
      <c r="F39" s="23"/>
      <c r="G39" s="23"/>
    </row>
    <row r="41" spans="1:14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outlineLevel="1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outlineLevel="1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0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43282</v>
      </c>
      <c r="B3" s="25">
        <v>373</v>
      </c>
      <c r="C3" s="25">
        <v>0</v>
      </c>
      <c r="D3" s="25">
        <v>484</v>
      </c>
      <c r="E3" s="26">
        <v>0</v>
      </c>
      <c r="F3" s="26">
        <v>0</v>
      </c>
      <c r="G3" s="25">
        <v>0</v>
      </c>
      <c r="H3" s="27">
        <v>4035.08</v>
      </c>
      <c r="I3" s="114" t="s">
        <v>82</v>
      </c>
    </row>
    <row r="4" spans="1:9" x14ac:dyDescent="0.3">
      <c r="A4" s="28">
        <v>43283</v>
      </c>
      <c r="B4" s="25">
        <v>395</v>
      </c>
      <c r="C4" s="25">
        <v>0</v>
      </c>
      <c r="D4" s="25">
        <v>463</v>
      </c>
      <c r="E4" s="26">
        <v>0</v>
      </c>
      <c r="F4" s="26">
        <v>0</v>
      </c>
      <c r="G4" s="25">
        <v>0</v>
      </c>
      <c r="H4" s="27">
        <v>4035.08</v>
      </c>
      <c r="I4" s="107" t="s">
        <v>83</v>
      </c>
    </row>
    <row r="5" spans="1:9" x14ac:dyDescent="0.3">
      <c r="A5" s="28">
        <v>43284</v>
      </c>
      <c r="B5" s="25">
        <v>365</v>
      </c>
      <c r="C5" s="25">
        <v>0</v>
      </c>
      <c r="D5" s="25">
        <v>460</v>
      </c>
      <c r="E5" s="26">
        <v>0</v>
      </c>
      <c r="F5" s="26">
        <v>0</v>
      </c>
      <c r="G5" s="25">
        <v>0</v>
      </c>
      <c r="H5" s="27">
        <v>4035.05</v>
      </c>
      <c r="I5" s="107" t="s">
        <v>84</v>
      </c>
    </row>
    <row r="6" spans="1:9" x14ac:dyDescent="0.3">
      <c r="A6" s="28">
        <v>43285</v>
      </c>
      <c r="B6" s="25">
        <v>415</v>
      </c>
      <c r="C6" s="25">
        <v>0</v>
      </c>
      <c r="D6" s="25">
        <v>474</v>
      </c>
      <c r="E6" s="26">
        <v>0</v>
      </c>
      <c r="F6" s="26">
        <v>0</v>
      </c>
      <c r="G6" s="25">
        <v>0</v>
      </c>
      <c r="H6" s="27">
        <v>4035.02</v>
      </c>
      <c r="I6" s="107" t="s">
        <v>85</v>
      </c>
    </row>
    <row r="7" spans="1:9" x14ac:dyDescent="0.3">
      <c r="A7" s="28">
        <v>43286</v>
      </c>
      <c r="B7" s="25">
        <v>365</v>
      </c>
      <c r="C7" s="25">
        <v>13</v>
      </c>
      <c r="D7" s="25">
        <v>464</v>
      </c>
      <c r="E7" s="26">
        <v>0</v>
      </c>
      <c r="F7" s="26">
        <v>0</v>
      </c>
      <c r="G7" s="25">
        <v>0</v>
      </c>
      <c r="H7" s="27">
        <v>4034.99</v>
      </c>
      <c r="I7" s="107" t="s">
        <v>86</v>
      </c>
    </row>
    <row r="8" spans="1:9" x14ac:dyDescent="0.3">
      <c r="A8" s="28">
        <v>43287</v>
      </c>
      <c r="B8" s="25">
        <v>350</v>
      </c>
      <c r="C8" s="25">
        <v>9</v>
      </c>
      <c r="D8" s="25">
        <v>458</v>
      </c>
      <c r="E8" s="26">
        <v>0</v>
      </c>
      <c r="F8" s="26">
        <v>0</v>
      </c>
      <c r="G8" s="25">
        <v>0</v>
      </c>
      <c r="H8" s="27">
        <v>4034.96</v>
      </c>
    </row>
    <row r="9" spans="1:9" x14ac:dyDescent="0.3">
      <c r="A9" s="28">
        <v>43288</v>
      </c>
      <c r="B9" s="25">
        <v>337</v>
      </c>
      <c r="C9" s="25">
        <v>0</v>
      </c>
      <c r="D9" s="25">
        <v>427</v>
      </c>
      <c r="E9" s="26">
        <v>0</v>
      </c>
      <c r="F9" s="26">
        <v>0</v>
      </c>
      <c r="G9" s="25">
        <v>0</v>
      </c>
      <c r="H9" s="27">
        <v>4034.93</v>
      </c>
      <c r="I9" s="107" t="s">
        <v>87</v>
      </c>
    </row>
    <row r="10" spans="1:9" x14ac:dyDescent="0.3">
      <c r="A10" s="28">
        <v>43289</v>
      </c>
      <c r="B10" s="25">
        <v>284</v>
      </c>
      <c r="C10" s="25">
        <v>0</v>
      </c>
      <c r="D10" s="25">
        <v>380</v>
      </c>
      <c r="E10" s="26">
        <v>0</v>
      </c>
      <c r="F10" s="26">
        <v>0</v>
      </c>
      <c r="G10" s="25">
        <v>0</v>
      </c>
      <c r="H10" s="27">
        <v>4034.9</v>
      </c>
      <c r="I10" s="107" t="s">
        <v>88</v>
      </c>
    </row>
    <row r="11" spans="1:9" x14ac:dyDescent="0.3">
      <c r="A11" s="28">
        <v>43290</v>
      </c>
      <c r="B11" s="25">
        <v>279</v>
      </c>
      <c r="C11" s="25">
        <v>0</v>
      </c>
      <c r="D11" s="25">
        <v>371</v>
      </c>
      <c r="E11" s="26">
        <v>0</v>
      </c>
      <c r="F11" s="26">
        <v>0</v>
      </c>
      <c r="G11" s="25">
        <v>0</v>
      </c>
      <c r="H11" s="27">
        <v>4034.9</v>
      </c>
      <c r="I11" s="107" t="s">
        <v>89</v>
      </c>
    </row>
    <row r="12" spans="1:9" x14ac:dyDescent="0.3">
      <c r="A12" s="28">
        <v>43291</v>
      </c>
      <c r="B12" s="25">
        <v>300</v>
      </c>
      <c r="C12" s="25">
        <v>0</v>
      </c>
      <c r="D12" s="25">
        <v>397</v>
      </c>
      <c r="E12" s="26">
        <v>0</v>
      </c>
      <c r="F12" s="26">
        <v>0</v>
      </c>
      <c r="G12" s="25">
        <v>0</v>
      </c>
      <c r="H12" s="27">
        <v>4034.9</v>
      </c>
    </row>
    <row r="13" spans="1:9" x14ac:dyDescent="0.3">
      <c r="A13" s="28">
        <v>43292</v>
      </c>
      <c r="B13" s="25">
        <v>329</v>
      </c>
      <c r="C13" s="25">
        <v>0</v>
      </c>
      <c r="D13" s="25">
        <v>418</v>
      </c>
      <c r="E13" s="26">
        <v>0</v>
      </c>
      <c r="F13" s="26">
        <v>0</v>
      </c>
      <c r="G13" s="25">
        <v>0</v>
      </c>
      <c r="H13" s="27">
        <v>4034.88</v>
      </c>
      <c r="I13" s="107" t="s">
        <v>90</v>
      </c>
    </row>
    <row r="14" spans="1:9" x14ac:dyDescent="0.3">
      <c r="A14" s="28">
        <v>43293</v>
      </c>
      <c r="B14" s="25">
        <v>331</v>
      </c>
      <c r="C14" s="25">
        <v>15</v>
      </c>
      <c r="D14" s="25">
        <v>433</v>
      </c>
      <c r="E14" s="26">
        <v>0</v>
      </c>
      <c r="F14" s="26">
        <v>0</v>
      </c>
      <c r="G14" s="25">
        <v>0</v>
      </c>
      <c r="H14" s="27">
        <v>4034.88</v>
      </c>
      <c r="I14" s="107" t="s">
        <v>91</v>
      </c>
    </row>
    <row r="15" spans="1:9" x14ac:dyDescent="0.3">
      <c r="A15" s="28">
        <v>43294</v>
      </c>
      <c r="B15" s="25">
        <v>300</v>
      </c>
      <c r="C15" s="25">
        <v>12</v>
      </c>
      <c r="D15" s="25">
        <v>356</v>
      </c>
      <c r="E15" s="26">
        <v>0</v>
      </c>
      <c r="F15" s="26">
        <v>0</v>
      </c>
      <c r="G15" s="25">
        <v>0</v>
      </c>
      <c r="H15" s="27">
        <v>4034.86</v>
      </c>
    </row>
    <row r="16" spans="1:9" x14ac:dyDescent="0.3">
      <c r="A16" s="28">
        <v>43295</v>
      </c>
      <c r="B16" s="25">
        <v>319</v>
      </c>
      <c r="C16" s="25">
        <v>0</v>
      </c>
      <c r="D16" s="25">
        <v>438</v>
      </c>
      <c r="E16" s="26">
        <v>0</v>
      </c>
      <c r="F16" s="26">
        <v>0</v>
      </c>
      <c r="G16" s="25">
        <v>0</v>
      </c>
      <c r="H16" s="27">
        <v>4034.86</v>
      </c>
      <c r="I16" s="107" t="s">
        <v>92</v>
      </c>
    </row>
    <row r="17" spans="1:9" x14ac:dyDescent="0.3">
      <c r="A17" s="28">
        <v>43296</v>
      </c>
      <c r="B17" s="25">
        <v>315</v>
      </c>
      <c r="C17" s="25">
        <v>0</v>
      </c>
      <c r="D17" s="25">
        <v>447</v>
      </c>
      <c r="E17" s="26">
        <v>0</v>
      </c>
      <c r="F17" s="26">
        <v>0</v>
      </c>
      <c r="G17" s="25">
        <v>0</v>
      </c>
      <c r="H17" s="27">
        <v>4034.85</v>
      </c>
      <c r="I17" s="107" t="s">
        <v>93</v>
      </c>
    </row>
    <row r="18" spans="1:9" x14ac:dyDescent="0.3">
      <c r="A18" s="28">
        <v>43297</v>
      </c>
      <c r="B18" s="25">
        <v>300</v>
      </c>
      <c r="C18" s="25">
        <v>0</v>
      </c>
      <c r="D18" s="25">
        <v>416</v>
      </c>
      <c r="E18" s="26">
        <v>0</v>
      </c>
      <c r="F18" s="26">
        <v>0</v>
      </c>
      <c r="G18" s="25">
        <v>0</v>
      </c>
      <c r="H18" s="27">
        <v>4035.85</v>
      </c>
      <c r="I18" s="107"/>
    </row>
    <row r="19" spans="1:9" x14ac:dyDescent="0.3">
      <c r="A19" s="28">
        <v>43298</v>
      </c>
      <c r="B19" s="25">
        <v>329</v>
      </c>
      <c r="C19" s="25">
        <v>0</v>
      </c>
      <c r="D19" s="25">
        <v>410</v>
      </c>
      <c r="E19" s="26">
        <v>0</v>
      </c>
      <c r="F19" s="26">
        <v>0</v>
      </c>
      <c r="G19" s="25">
        <v>0</v>
      </c>
      <c r="H19" s="27">
        <v>4034.84</v>
      </c>
      <c r="I19" s="107" t="s">
        <v>94</v>
      </c>
    </row>
    <row r="20" spans="1:9" x14ac:dyDescent="0.3">
      <c r="A20" s="28">
        <v>43299</v>
      </c>
      <c r="B20" s="25">
        <v>300</v>
      </c>
      <c r="C20" s="25">
        <v>0</v>
      </c>
      <c r="D20" s="25">
        <v>404</v>
      </c>
      <c r="E20" s="26">
        <v>0</v>
      </c>
      <c r="F20" s="26">
        <v>0</v>
      </c>
      <c r="G20" s="25">
        <v>0</v>
      </c>
      <c r="H20" s="27">
        <v>4034.84</v>
      </c>
    </row>
    <row r="21" spans="1:9" x14ac:dyDescent="0.3">
      <c r="A21" s="28">
        <v>43300</v>
      </c>
      <c r="B21" s="25">
        <v>335</v>
      </c>
      <c r="C21" s="25">
        <v>0</v>
      </c>
      <c r="D21" s="25">
        <v>397</v>
      </c>
      <c r="E21" s="26">
        <v>0</v>
      </c>
      <c r="F21" s="26">
        <v>0</v>
      </c>
      <c r="G21" s="25">
        <v>0</v>
      </c>
      <c r="H21" s="27">
        <v>4034.83</v>
      </c>
      <c r="I21" s="107" t="s">
        <v>71</v>
      </c>
    </row>
    <row r="22" spans="1:9" x14ac:dyDescent="0.3">
      <c r="A22" s="28">
        <v>43301</v>
      </c>
      <c r="B22" s="25">
        <v>302</v>
      </c>
      <c r="C22" s="25">
        <v>0</v>
      </c>
      <c r="D22" s="25">
        <v>390</v>
      </c>
      <c r="E22" s="26">
        <v>0</v>
      </c>
      <c r="F22" s="26">
        <v>0</v>
      </c>
      <c r="G22" s="25">
        <v>0</v>
      </c>
      <c r="H22" s="27">
        <v>4034.83</v>
      </c>
      <c r="I22" s="107" t="s">
        <v>95</v>
      </c>
    </row>
    <row r="23" spans="1:9" x14ac:dyDescent="0.3">
      <c r="A23" s="28">
        <v>43302</v>
      </c>
      <c r="B23" s="25">
        <v>269</v>
      </c>
      <c r="C23" s="25">
        <v>0</v>
      </c>
      <c r="D23" s="25">
        <v>336</v>
      </c>
      <c r="E23" s="26">
        <v>0</v>
      </c>
      <c r="F23" s="26">
        <v>0</v>
      </c>
      <c r="G23" s="25">
        <v>0</v>
      </c>
      <c r="H23" s="27">
        <v>4034.82</v>
      </c>
      <c r="I23" s="107" t="s">
        <v>96</v>
      </c>
    </row>
    <row r="24" spans="1:9" x14ac:dyDescent="0.3">
      <c r="A24" s="28">
        <v>43303</v>
      </c>
      <c r="B24" s="25">
        <v>238</v>
      </c>
      <c r="C24" s="25">
        <v>13</v>
      </c>
      <c r="D24" s="25">
        <v>325</v>
      </c>
      <c r="E24" s="26">
        <v>0</v>
      </c>
      <c r="F24" s="26">
        <v>0</v>
      </c>
      <c r="G24" s="25">
        <v>0</v>
      </c>
      <c r="H24" s="27">
        <v>4034.82</v>
      </c>
      <c r="I24" s="107" t="s">
        <v>97</v>
      </c>
    </row>
    <row r="25" spans="1:9" x14ac:dyDescent="0.3">
      <c r="A25" s="28">
        <v>43304</v>
      </c>
      <c r="B25" s="25">
        <v>229</v>
      </c>
      <c r="C25" s="25">
        <v>10</v>
      </c>
      <c r="D25" s="25">
        <v>360</v>
      </c>
      <c r="E25" s="26">
        <v>0</v>
      </c>
      <c r="F25" s="26">
        <v>0</v>
      </c>
      <c r="G25" s="25">
        <v>0</v>
      </c>
      <c r="H25" s="27">
        <v>4034.82</v>
      </c>
      <c r="I25" s="107" t="s">
        <v>98</v>
      </c>
    </row>
    <row r="26" spans="1:9" x14ac:dyDescent="0.3">
      <c r="A26" s="28">
        <v>43305</v>
      </c>
      <c r="B26" s="25">
        <v>288</v>
      </c>
      <c r="C26" s="25">
        <v>0</v>
      </c>
      <c r="D26" s="25">
        <v>432</v>
      </c>
      <c r="E26" s="26">
        <v>0</v>
      </c>
      <c r="F26" s="26">
        <v>0</v>
      </c>
      <c r="G26" s="25">
        <v>0</v>
      </c>
      <c r="H26" s="27">
        <v>4034.82</v>
      </c>
      <c r="I26" s="107" t="s">
        <v>99</v>
      </c>
    </row>
    <row r="27" spans="1:9" x14ac:dyDescent="0.3">
      <c r="A27" s="28">
        <v>43306</v>
      </c>
      <c r="B27" s="25">
        <v>335</v>
      </c>
      <c r="C27" s="25">
        <v>0</v>
      </c>
      <c r="D27" s="25">
        <v>472</v>
      </c>
      <c r="E27" s="26">
        <v>0</v>
      </c>
      <c r="F27" s="26">
        <v>0</v>
      </c>
      <c r="G27" s="25">
        <v>0</v>
      </c>
      <c r="H27" s="27">
        <v>4034.82</v>
      </c>
      <c r="I27" s="107" t="s">
        <v>100</v>
      </c>
    </row>
    <row r="28" spans="1:9" x14ac:dyDescent="0.3">
      <c r="A28" s="28">
        <v>43307</v>
      </c>
      <c r="B28" s="25">
        <v>331</v>
      </c>
      <c r="C28" s="25">
        <v>0</v>
      </c>
      <c r="D28" s="25">
        <v>497</v>
      </c>
      <c r="E28" s="26">
        <v>0</v>
      </c>
      <c r="F28" s="26">
        <v>0</v>
      </c>
      <c r="G28" s="25">
        <v>0</v>
      </c>
      <c r="H28" s="27">
        <v>4034.82</v>
      </c>
      <c r="I28" s="107" t="s">
        <v>91</v>
      </c>
    </row>
    <row r="29" spans="1:9" x14ac:dyDescent="0.3">
      <c r="A29" s="28">
        <v>43308</v>
      </c>
      <c r="B29" s="25">
        <v>319</v>
      </c>
      <c r="C29" s="25">
        <v>0</v>
      </c>
      <c r="D29" s="25">
        <v>511</v>
      </c>
      <c r="E29" s="26">
        <v>0</v>
      </c>
      <c r="F29" s="26">
        <v>0</v>
      </c>
      <c r="G29" s="25">
        <v>0</v>
      </c>
      <c r="H29" s="27">
        <v>4034.8</v>
      </c>
      <c r="I29" s="107" t="s">
        <v>92</v>
      </c>
    </row>
    <row r="30" spans="1:9" x14ac:dyDescent="0.3">
      <c r="A30" s="28">
        <v>43309</v>
      </c>
      <c r="B30" s="25">
        <v>360</v>
      </c>
      <c r="C30" s="25">
        <v>0</v>
      </c>
      <c r="D30" s="25">
        <v>475</v>
      </c>
      <c r="E30" s="26">
        <v>0</v>
      </c>
      <c r="F30" s="26">
        <v>0</v>
      </c>
      <c r="G30" s="25">
        <v>0</v>
      </c>
      <c r="H30" s="27">
        <v>4034.8</v>
      </c>
      <c r="I30" s="107" t="s">
        <v>101</v>
      </c>
    </row>
    <row r="31" spans="1:9" x14ac:dyDescent="0.3">
      <c r="A31" s="28">
        <v>43310</v>
      </c>
      <c r="B31" s="25">
        <v>300</v>
      </c>
      <c r="C31" s="25">
        <v>0</v>
      </c>
      <c r="D31" s="25">
        <v>457</v>
      </c>
      <c r="E31" s="26">
        <v>0</v>
      </c>
      <c r="F31" s="26">
        <v>0</v>
      </c>
      <c r="G31" s="25">
        <v>0</v>
      </c>
      <c r="H31" s="27">
        <v>4034.8</v>
      </c>
      <c r="I31" s="107" t="s">
        <v>102</v>
      </c>
    </row>
    <row r="32" spans="1:9" x14ac:dyDescent="0.3">
      <c r="A32" s="28">
        <v>43311</v>
      </c>
      <c r="B32" s="25">
        <v>275</v>
      </c>
      <c r="C32" s="25">
        <v>0</v>
      </c>
      <c r="D32" s="25">
        <v>448</v>
      </c>
      <c r="E32" s="26">
        <v>0</v>
      </c>
      <c r="F32" s="26">
        <v>0</v>
      </c>
      <c r="G32" s="25">
        <v>0</v>
      </c>
      <c r="H32" s="27">
        <v>4034.8</v>
      </c>
      <c r="I32" s="107" t="s">
        <v>103</v>
      </c>
    </row>
    <row r="33" spans="1:14" ht="15" thickBot="1" x14ac:dyDescent="0.35">
      <c r="A33" s="28">
        <v>43312</v>
      </c>
      <c r="B33" s="25">
        <v>279</v>
      </c>
      <c r="C33" s="25">
        <v>0</v>
      </c>
      <c r="D33" s="25">
        <v>469</v>
      </c>
      <c r="E33" s="26">
        <v>0</v>
      </c>
      <c r="F33" s="26">
        <v>0</v>
      </c>
      <c r="G33" s="25">
        <v>0</v>
      </c>
      <c r="H33" s="27">
        <v>4034.8</v>
      </c>
      <c r="I33" s="107" t="s">
        <v>104</v>
      </c>
    </row>
    <row r="34" spans="1:14" s="11" customFormat="1" ht="15" thickTop="1" x14ac:dyDescent="0.3">
      <c r="A34" s="16" t="s">
        <v>8</v>
      </c>
      <c r="B34" s="17">
        <f t="shared" ref="B34:G34" si="0">SUM(B3:B33)</f>
        <v>9846</v>
      </c>
      <c r="C34" s="17">
        <f t="shared" si="0"/>
        <v>72</v>
      </c>
      <c r="D34" s="17">
        <f t="shared" si="0"/>
        <v>13269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3">
      <c r="A35" s="19" t="s">
        <v>9</v>
      </c>
      <c r="B35" s="20">
        <f>SUM(B34+'Jun 2018'!B34)</f>
        <v>22674</v>
      </c>
      <c r="C35" s="20">
        <f>SUM(C34+'Jun 2018'!C34)</f>
        <v>3309</v>
      </c>
      <c r="D35" s="20">
        <f>SUM(D34+'Jun 2018'!D34)</f>
        <v>32938</v>
      </c>
      <c r="E35" s="21">
        <f>SUM(E34+'Jun 2018'!E34)</f>
        <v>11.66</v>
      </c>
      <c r="F35" s="21">
        <f>SUM(F34+'Jun 2018'!F34)</f>
        <v>14</v>
      </c>
      <c r="G35" s="20">
        <f>SUM(G34+'Jun 2018'!G34)</f>
        <v>12412</v>
      </c>
      <c r="H35" s="21"/>
    </row>
    <row r="37" spans="1:14" x14ac:dyDescent="0.3">
      <c r="A37" t="s">
        <v>10</v>
      </c>
      <c r="B37" s="23">
        <f>SUM(B3:B33)*1.9835</f>
        <v>19529.541000000001</v>
      </c>
      <c r="C37" s="23">
        <f>SUM(C3:C33)*1.9835</f>
        <v>142.81200000000001</v>
      </c>
      <c r="D37" s="23">
        <f>SUM(D3:D33)*1.9835</f>
        <v>26319.0615</v>
      </c>
      <c r="E37" s="23"/>
      <c r="F37" s="23"/>
      <c r="G37" s="23"/>
    </row>
    <row r="38" spans="1:14" x14ac:dyDescent="0.3">
      <c r="B38" s="23"/>
      <c r="C38" s="23"/>
      <c r="D38" s="24"/>
      <c r="E38" s="23"/>
      <c r="F38" s="23"/>
      <c r="G38" s="23"/>
    </row>
    <row r="39" spans="1:14" x14ac:dyDescent="0.3">
      <c r="A39" t="s">
        <v>24</v>
      </c>
      <c r="B39" s="23">
        <f>SUM(B37+'Jun 2018'!B38)</f>
        <v>45533.226000000002</v>
      </c>
      <c r="C39" s="23">
        <f>SUM(C37+'Jun 2018'!C38)</f>
        <v>6563.4014999999999</v>
      </c>
      <c r="D39" s="23">
        <f>SUM(D37+'Jun 2018'!D38)</f>
        <v>67006.596999999994</v>
      </c>
      <c r="E39" s="23"/>
      <c r="F39" s="23"/>
      <c r="G39" s="23"/>
    </row>
    <row r="41" spans="1:14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1"/>
      <c r="N41" s="30"/>
    </row>
    <row r="42" spans="1:14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32"/>
      <c r="K43" s="32"/>
      <c r="L43" s="32"/>
      <c r="M43" s="33"/>
      <c r="N43" s="34"/>
    </row>
    <row r="44" spans="1:14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32.109375" bestFit="1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28">
        <v>43252</v>
      </c>
      <c r="B3" s="25">
        <v>69</v>
      </c>
      <c r="C3" s="25">
        <v>0</v>
      </c>
      <c r="D3" s="25">
        <v>101</v>
      </c>
      <c r="E3" s="26">
        <v>0</v>
      </c>
      <c r="F3" s="26">
        <v>0</v>
      </c>
      <c r="G3" s="25">
        <v>0</v>
      </c>
      <c r="H3" s="27">
        <v>4035.23</v>
      </c>
      <c r="I3" s="107" t="s">
        <v>59</v>
      </c>
    </row>
    <row r="4" spans="1:9" x14ac:dyDescent="0.3">
      <c r="A4" s="28">
        <v>43253</v>
      </c>
      <c r="B4" s="25">
        <v>50</v>
      </c>
      <c r="C4" s="25">
        <v>0</v>
      </c>
      <c r="D4" s="25">
        <v>94</v>
      </c>
      <c r="E4" s="26">
        <v>0</v>
      </c>
      <c r="F4" s="26">
        <v>0</v>
      </c>
      <c r="G4" s="25">
        <v>0</v>
      </c>
      <c r="H4" s="27">
        <v>4035.24</v>
      </c>
      <c r="I4" s="107"/>
    </row>
    <row r="5" spans="1:9" x14ac:dyDescent="0.3">
      <c r="A5" s="28">
        <v>43254</v>
      </c>
      <c r="B5" s="25">
        <v>65</v>
      </c>
      <c r="C5" s="25">
        <v>0</v>
      </c>
      <c r="D5" s="25">
        <v>110</v>
      </c>
      <c r="E5" s="26">
        <v>0.15</v>
      </c>
      <c r="F5" s="26">
        <v>0</v>
      </c>
      <c r="G5" s="25">
        <v>0</v>
      </c>
      <c r="H5" s="27">
        <v>4035.25</v>
      </c>
      <c r="I5" s="107" t="s">
        <v>60</v>
      </c>
    </row>
    <row r="6" spans="1:9" x14ac:dyDescent="0.3">
      <c r="A6" s="28">
        <v>43255</v>
      </c>
      <c r="B6" s="25">
        <v>100</v>
      </c>
      <c r="C6" s="25">
        <v>0</v>
      </c>
      <c r="D6" s="25">
        <v>160</v>
      </c>
      <c r="E6" s="26">
        <v>0</v>
      </c>
      <c r="F6" s="26">
        <v>0</v>
      </c>
      <c r="G6" s="25">
        <v>0</v>
      </c>
      <c r="H6" s="27">
        <v>4035.26</v>
      </c>
      <c r="I6" s="107" t="s">
        <v>61</v>
      </c>
    </row>
    <row r="7" spans="1:9" x14ac:dyDescent="0.3">
      <c r="A7" s="28">
        <v>43256</v>
      </c>
      <c r="B7" s="25">
        <v>127</v>
      </c>
      <c r="C7" s="25">
        <v>0</v>
      </c>
      <c r="D7" s="25">
        <v>162</v>
      </c>
      <c r="E7" s="26">
        <v>0</v>
      </c>
      <c r="F7" s="26">
        <v>0</v>
      </c>
      <c r="G7" s="25">
        <v>0</v>
      </c>
      <c r="H7" s="27">
        <v>4035.26</v>
      </c>
      <c r="I7" s="107"/>
    </row>
    <row r="8" spans="1:9" x14ac:dyDescent="0.3">
      <c r="A8" s="28">
        <v>43257</v>
      </c>
      <c r="B8" s="25">
        <v>150</v>
      </c>
      <c r="C8" s="25">
        <v>0</v>
      </c>
      <c r="D8" s="25">
        <v>191</v>
      </c>
      <c r="E8" s="26">
        <v>0</v>
      </c>
      <c r="F8" s="26">
        <v>0</v>
      </c>
      <c r="G8" s="25">
        <v>0</v>
      </c>
      <c r="H8" s="27">
        <v>4035.25</v>
      </c>
      <c r="I8" s="107"/>
    </row>
    <row r="9" spans="1:9" x14ac:dyDescent="0.3">
      <c r="A9" s="28">
        <v>43258</v>
      </c>
      <c r="B9" s="25">
        <v>150</v>
      </c>
      <c r="C9" s="25">
        <v>0</v>
      </c>
      <c r="D9" s="25">
        <v>171</v>
      </c>
      <c r="E9" s="26">
        <v>0</v>
      </c>
      <c r="F9" s="26">
        <v>0</v>
      </c>
      <c r="G9" s="25">
        <v>0</v>
      </c>
      <c r="H9" s="27">
        <v>4035.24</v>
      </c>
      <c r="I9" s="107"/>
    </row>
    <row r="10" spans="1:9" x14ac:dyDescent="0.3">
      <c r="A10" s="28">
        <v>43259</v>
      </c>
      <c r="B10" s="25">
        <v>169</v>
      </c>
      <c r="C10" s="25">
        <v>0</v>
      </c>
      <c r="D10" s="25">
        <v>190</v>
      </c>
      <c r="E10" s="26">
        <v>0</v>
      </c>
      <c r="F10" s="26">
        <v>0</v>
      </c>
      <c r="G10" s="25">
        <v>0</v>
      </c>
      <c r="H10" s="27">
        <v>4035.23</v>
      </c>
      <c r="I10" s="107" t="s">
        <v>62</v>
      </c>
    </row>
    <row r="11" spans="1:9" x14ac:dyDescent="0.3">
      <c r="A11" s="28">
        <v>43260</v>
      </c>
      <c r="B11" s="25">
        <v>196</v>
      </c>
      <c r="C11" s="25">
        <v>0</v>
      </c>
      <c r="D11" s="25">
        <v>212</v>
      </c>
      <c r="E11" s="26">
        <v>0.14000000000000001</v>
      </c>
      <c r="F11" s="26">
        <v>0</v>
      </c>
      <c r="G11" s="25">
        <v>0</v>
      </c>
      <c r="H11" s="27">
        <v>4035.22</v>
      </c>
      <c r="I11" s="107" t="s">
        <v>63</v>
      </c>
    </row>
    <row r="12" spans="1:9" x14ac:dyDescent="0.3">
      <c r="A12" s="28">
        <v>43261</v>
      </c>
      <c r="B12" s="25">
        <v>133</v>
      </c>
      <c r="C12" s="25">
        <v>24</v>
      </c>
      <c r="D12" s="25">
        <v>198</v>
      </c>
      <c r="E12" s="26">
        <v>0.01</v>
      </c>
      <c r="F12" s="26">
        <v>0</v>
      </c>
      <c r="G12" s="25">
        <v>0</v>
      </c>
      <c r="H12" s="27">
        <v>4035.21</v>
      </c>
      <c r="I12" s="107" t="s">
        <v>64</v>
      </c>
    </row>
    <row r="13" spans="1:9" x14ac:dyDescent="0.3">
      <c r="A13" s="28">
        <v>43262</v>
      </c>
      <c r="B13" s="25">
        <v>116</v>
      </c>
      <c r="C13" s="25">
        <v>25</v>
      </c>
      <c r="D13" s="25">
        <v>200</v>
      </c>
      <c r="E13" s="26">
        <v>0</v>
      </c>
      <c r="F13" s="26">
        <v>0</v>
      </c>
      <c r="G13" s="25">
        <v>0</v>
      </c>
      <c r="H13" s="27">
        <v>4035.2</v>
      </c>
      <c r="I13" s="107" t="s">
        <v>65</v>
      </c>
    </row>
    <row r="14" spans="1:9" x14ac:dyDescent="0.3">
      <c r="A14" s="28">
        <v>43263</v>
      </c>
      <c r="B14" s="25">
        <v>149</v>
      </c>
      <c r="C14" s="25">
        <v>0</v>
      </c>
      <c r="D14" s="25">
        <v>225</v>
      </c>
      <c r="E14" s="26">
        <v>0</v>
      </c>
      <c r="F14" s="26">
        <v>0</v>
      </c>
      <c r="G14" s="25">
        <v>0</v>
      </c>
      <c r="H14" s="27">
        <v>4035.2</v>
      </c>
      <c r="I14" s="107" t="s">
        <v>66</v>
      </c>
    </row>
    <row r="15" spans="1:9" x14ac:dyDescent="0.3">
      <c r="A15" s="28">
        <v>43264</v>
      </c>
      <c r="B15" s="25">
        <v>240</v>
      </c>
      <c r="C15" s="25">
        <v>0</v>
      </c>
      <c r="D15" s="25">
        <v>281</v>
      </c>
      <c r="E15" s="26">
        <v>0</v>
      </c>
      <c r="F15" s="26">
        <v>0</v>
      </c>
      <c r="G15" s="25">
        <v>0</v>
      </c>
      <c r="H15" s="27">
        <v>4035.22</v>
      </c>
      <c r="I15" s="107" t="s">
        <v>67</v>
      </c>
    </row>
    <row r="16" spans="1:9" x14ac:dyDescent="0.3">
      <c r="A16" s="28">
        <v>43265</v>
      </c>
      <c r="B16" s="25">
        <v>331</v>
      </c>
      <c r="C16" s="25">
        <v>0</v>
      </c>
      <c r="D16" s="25">
        <v>354</v>
      </c>
      <c r="E16" s="26">
        <v>0</v>
      </c>
      <c r="F16" s="26">
        <v>0</v>
      </c>
      <c r="G16" s="25">
        <v>0</v>
      </c>
      <c r="H16" s="27">
        <v>4035.22</v>
      </c>
      <c r="I16" s="107" t="s">
        <v>68</v>
      </c>
    </row>
    <row r="17" spans="1:9" x14ac:dyDescent="0.3">
      <c r="A17" s="28">
        <v>43266</v>
      </c>
      <c r="B17" s="25">
        <v>369</v>
      </c>
      <c r="C17" s="25">
        <v>0</v>
      </c>
      <c r="D17" s="25">
        <v>390</v>
      </c>
      <c r="E17" s="26">
        <v>0</v>
      </c>
      <c r="F17" s="26">
        <v>0</v>
      </c>
      <c r="G17" s="25">
        <v>0</v>
      </c>
      <c r="H17" s="27">
        <v>4035.22</v>
      </c>
      <c r="I17" s="107" t="s">
        <v>69</v>
      </c>
    </row>
    <row r="18" spans="1:9" x14ac:dyDescent="0.3">
      <c r="A18" s="28">
        <v>43267</v>
      </c>
      <c r="B18" s="25">
        <v>340</v>
      </c>
      <c r="C18" s="25">
        <v>0</v>
      </c>
      <c r="D18" s="25">
        <v>416</v>
      </c>
      <c r="E18" s="26">
        <v>0</v>
      </c>
      <c r="F18" s="26">
        <v>0</v>
      </c>
      <c r="G18" s="25">
        <v>0</v>
      </c>
      <c r="H18" s="27">
        <v>4035.2</v>
      </c>
      <c r="I18" s="107" t="s">
        <v>70</v>
      </c>
    </row>
    <row r="19" spans="1:9" x14ac:dyDescent="0.3">
      <c r="A19" s="28">
        <v>43268</v>
      </c>
      <c r="B19" s="25">
        <v>336</v>
      </c>
      <c r="C19" s="25">
        <v>0</v>
      </c>
      <c r="D19" s="25">
        <v>367</v>
      </c>
      <c r="E19" s="26">
        <v>0.05</v>
      </c>
      <c r="F19" s="26">
        <v>0</v>
      </c>
      <c r="G19" s="25">
        <v>0</v>
      </c>
      <c r="H19" s="27">
        <v>4035.22</v>
      </c>
      <c r="I19" s="107" t="s">
        <v>71</v>
      </c>
    </row>
    <row r="20" spans="1:9" x14ac:dyDescent="0.3">
      <c r="A20" s="28">
        <v>43269</v>
      </c>
      <c r="B20" s="25">
        <v>296</v>
      </c>
      <c r="C20" s="25">
        <v>0</v>
      </c>
      <c r="D20" s="25">
        <v>422</v>
      </c>
      <c r="E20" s="26">
        <v>0.01</v>
      </c>
      <c r="F20" s="26">
        <v>0</v>
      </c>
      <c r="G20" s="25">
        <v>0</v>
      </c>
      <c r="H20" s="27">
        <v>4035.2</v>
      </c>
      <c r="I20" s="107" t="s">
        <v>72</v>
      </c>
    </row>
    <row r="21" spans="1:9" x14ac:dyDescent="0.3">
      <c r="A21" s="28">
        <v>43270</v>
      </c>
      <c r="B21" s="25">
        <v>369</v>
      </c>
      <c r="C21" s="25">
        <v>0</v>
      </c>
      <c r="D21" s="25">
        <v>470</v>
      </c>
      <c r="E21" s="26">
        <v>0.01</v>
      </c>
      <c r="F21" s="26">
        <v>0</v>
      </c>
      <c r="G21" s="25">
        <v>0</v>
      </c>
      <c r="H21" s="27">
        <v>4035.19</v>
      </c>
      <c r="I21" s="107" t="s">
        <v>73</v>
      </c>
    </row>
    <row r="22" spans="1:9" x14ac:dyDescent="0.3">
      <c r="A22" s="28">
        <v>43271</v>
      </c>
      <c r="B22" s="25">
        <v>434</v>
      </c>
      <c r="C22" s="25">
        <v>0</v>
      </c>
      <c r="D22" s="25">
        <v>471</v>
      </c>
      <c r="E22" s="26">
        <v>0</v>
      </c>
      <c r="F22" s="26">
        <v>0</v>
      </c>
      <c r="G22" s="25">
        <v>0</v>
      </c>
      <c r="H22" s="27">
        <v>4035.18</v>
      </c>
      <c r="I22" s="107" t="s">
        <v>74</v>
      </c>
    </row>
    <row r="23" spans="1:9" x14ac:dyDescent="0.3">
      <c r="A23" s="28">
        <v>43272</v>
      </c>
      <c r="B23" s="25">
        <v>417</v>
      </c>
      <c r="C23" s="25">
        <v>0</v>
      </c>
      <c r="D23" s="25">
        <v>497</v>
      </c>
      <c r="E23" s="26">
        <v>0</v>
      </c>
      <c r="F23" s="26">
        <v>0</v>
      </c>
      <c r="G23" s="25">
        <v>0</v>
      </c>
      <c r="H23" s="27">
        <v>4035.17</v>
      </c>
      <c r="I23" s="107" t="s">
        <v>75</v>
      </c>
    </row>
    <row r="24" spans="1:9" x14ac:dyDescent="0.3">
      <c r="A24" s="28">
        <v>43273</v>
      </c>
      <c r="B24" s="25">
        <v>410</v>
      </c>
      <c r="C24" s="25">
        <v>0</v>
      </c>
      <c r="D24" s="25">
        <v>479</v>
      </c>
      <c r="E24" s="26">
        <v>0</v>
      </c>
      <c r="F24" s="26">
        <v>0</v>
      </c>
      <c r="G24" s="25">
        <v>0</v>
      </c>
      <c r="H24" s="27">
        <v>4035.16</v>
      </c>
      <c r="I24" s="107" t="s">
        <v>76</v>
      </c>
    </row>
    <row r="25" spans="1:9" x14ac:dyDescent="0.3">
      <c r="A25" s="28">
        <v>43274</v>
      </c>
      <c r="B25" s="25">
        <v>350</v>
      </c>
      <c r="C25" s="25">
        <v>0</v>
      </c>
      <c r="D25" s="25">
        <v>469</v>
      </c>
      <c r="E25" s="26">
        <v>0</v>
      </c>
      <c r="F25" s="26">
        <v>0</v>
      </c>
      <c r="G25" s="25">
        <v>0</v>
      </c>
      <c r="H25" s="27">
        <v>4035.15</v>
      </c>
      <c r="I25" s="107"/>
    </row>
    <row r="26" spans="1:9" x14ac:dyDescent="0.3">
      <c r="A26" s="28">
        <v>43275</v>
      </c>
      <c r="B26" s="25">
        <v>350</v>
      </c>
      <c r="C26" s="25">
        <v>0</v>
      </c>
      <c r="D26" s="25">
        <v>437</v>
      </c>
      <c r="E26" s="26">
        <v>0</v>
      </c>
      <c r="F26" s="26">
        <v>0</v>
      </c>
      <c r="G26" s="25">
        <v>0</v>
      </c>
      <c r="H26" s="27">
        <v>4035.14</v>
      </c>
      <c r="I26" s="107"/>
    </row>
    <row r="27" spans="1:9" x14ac:dyDescent="0.3">
      <c r="A27" s="28">
        <v>43276</v>
      </c>
      <c r="B27" s="25">
        <v>375</v>
      </c>
      <c r="C27" s="25">
        <v>0</v>
      </c>
      <c r="D27" s="25">
        <v>503</v>
      </c>
      <c r="E27" s="26">
        <v>0</v>
      </c>
      <c r="F27" s="26">
        <v>0</v>
      </c>
      <c r="G27" s="25">
        <v>0</v>
      </c>
      <c r="H27" s="27">
        <v>4035.12</v>
      </c>
      <c r="I27" s="107" t="s">
        <v>77</v>
      </c>
    </row>
    <row r="28" spans="1:9" x14ac:dyDescent="0.3">
      <c r="A28" s="28">
        <v>43277</v>
      </c>
      <c r="B28" s="25">
        <v>415</v>
      </c>
      <c r="C28" s="25">
        <v>0</v>
      </c>
      <c r="D28" s="25">
        <v>522</v>
      </c>
      <c r="E28" s="26">
        <v>0</v>
      </c>
      <c r="F28" s="26">
        <v>0</v>
      </c>
      <c r="G28" s="25">
        <v>0</v>
      </c>
      <c r="H28" s="27">
        <v>4035.12</v>
      </c>
      <c r="I28" s="107" t="s">
        <v>80</v>
      </c>
    </row>
    <row r="29" spans="1:9" x14ac:dyDescent="0.3">
      <c r="A29" s="28">
        <v>43278</v>
      </c>
      <c r="B29" s="25">
        <v>469</v>
      </c>
      <c r="C29" s="25">
        <v>0</v>
      </c>
      <c r="D29" s="25">
        <v>579</v>
      </c>
      <c r="E29" s="26">
        <v>0</v>
      </c>
      <c r="F29" s="26">
        <v>0</v>
      </c>
      <c r="G29" s="25">
        <v>0</v>
      </c>
      <c r="H29" s="27">
        <v>4035.12</v>
      </c>
      <c r="I29" s="107" t="s">
        <v>78</v>
      </c>
    </row>
    <row r="30" spans="1:9" x14ac:dyDescent="0.3">
      <c r="A30" s="28">
        <v>43279</v>
      </c>
      <c r="B30" s="25">
        <v>467</v>
      </c>
      <c r="C30" s="25">
        <v>15</v>
      </c>
      <c r="D30" s="25">
        <v>580</v>
      </c>
      <c r="E30" s="26">
        <v>0</v>
      </c>
      <c r="F30" s="26">
        <v>0</v>
      </c>
      <c r="G30" s="25">
        <v>0</v>
      </c>
      <c r="H30" s="27">
        <v>4035.1</v>
      </c>
      <c r="I30" s="107" t="s">
        <v>79</v>
      </c>
    </row>
    <row r="31" spans="1:9" x14ac:dyDescent="0.3">
      <c r="A31" s="28">
        <v>43280</v>
      </c>
      <c r="B31" s="25">
        <v>450</v>
      </c>
      <c r="C31" s="25">
        <v>8</v>
      </c>
      <c r="D31" s="25">
        <v>575</v>
      </c>
      <c r="E31" s="26">
        <v>0</v>
      </c>
      <c r="F31" s="26">
        <v>0</v>
      </c>
      <c r="G31" s="25">
        <v>0</v>
      </c>
      <c r="H31" s="27">
        <v>4035.1</v>
      </c>
    </row>
    <row r="32" spans="1:9" ht="15" thickBot="1" x14ac:dyDescent="0.35">
      <c r="A32" s="28">
        <v>43281</v>
      </c>
      <c r="B32" s="25">
        <v>409</v>
      </c>
      <c r="C32" s="25">
        <v>0</v>
      </c>
      <c r="D32" s="25">
        <v>535</v>
      </c>
      <c r="E32" s="26">
        <v>0</v>
      </c>
      <c r="F32" s="26">
        <v>0</v>
      </c>
      <c r="G32" s="25">
        <v>0</v>
      </c>
      <c r="H32" s="27">
        <v>4035.08</v>
      </c>
      <c r="I32" s="107" t="s">
        <v>81</v>
      </c>
    </row>
    <row r="33" spans="1:14" s="11" customFormat="1" ht="15" thickTop="1" x14ac:dyDescent="0.3">
      <c r="A33" s="16" t="s">
        <v>8</v>
      </c>
      <c r="B33" s="17">
        <f t="shared" ref="B33:G33" si="0">SUM(B3:B32)</f>
        <v>8301</v>
      </c>
      <c r="C33" s="17">
        <f t="shared" si="0"/>
        <v>72</v>
      </c>
      <c r="D33" s="17">
        <f t="shared" si="0"/>
        <v>10361</v>
      </c>
      <c r="E33" s="18">
        <f t="shared" si="0"/>
        <v>0.37000000000000005</v>
      </c>
      <c r="F33" s="18">
        <f t="shared" si="0"/>
        <v>0</v>
      </c>
      <c r="G33" s="17">
        <f t="shared" si="0"/>
        <v>0</v>
      </c>
      <c r="H33" s="18"/>
    </row>
    <row r="34" spans="1:14" s="11" customFormat="1" x14ac:dyDescent="0.3">
      <c r="A34" s="19" t="s">
        <v>9</v>
      </c>
      <c r="B34" s="20">
        <f>SUM(B33+'May 2018'!B35)</f>
        <v>12828</v>
      </c>
      <c r="C34" s="20">
        <f>SUM(C33+'May 2018'!C35)</f>
        <v>3237</v>
      </c>
      <c r="D34" s="20">
        <f>SUM(D33+'May 2018'!D35)</f>
        <v>19669</v>
      </c>
      <c r="E34" s="21">
        <f>SUM(E33+'May 2018'!E35)</f>
        <v>11.66</v>
      </c>
      <c r="F34" s="21">
        <f>SUM(F33+'May 2018'!F35)</f>
        <v>14</v>
      </c>
      <c r="G34" s="20">
        <f>SUM(G33+'May 2018'!G35)</f>
        <v>12412</v>
      </c>
      <c r="H34" s="21"/>
    </row>
    <row r="36" spans="1:14" x14ac:dyDescent="0.3">
      <c r="A36" t="s">
        <v>10</v>
      </c>
      <c r="B36" s="23">
        <f>SUM(B3:B32)*1.9835</f>
        <v>16465.033500000001</v>
      </c>
      <c r="C36" s="23">
        <f>SUM(C3:C32)*1.9835</f>
        <v>142.81200000000001</v>
      </c>
      <c r="D36" s="23">
        <f>SUM(D3:D32)*1.9835</f>
        <v>20551.0435</v>
      </c>
      <c r="E36" s="23"/>
      <c r="F36" s="23"/>
      <c r="G36" s="23"/>
      <c r="I36" s="22"/>
    </row>
    <row r="38" spans="1:14" x14ac:dyDescent="0.3">
      <c r="A38" t="s">
        <v>24</v>
      </c>
      <c r="B38" s="23">
        <f>SUM(B36+'May 2018'!B39)</f>
        <v>26003.685000000001</v>
      </c>
      <c r="C38" s="23">
        <f>SUM(C36+'May 2018'!C39)</f>
        <v>6420.5895</v>
      </c>
      <c r="D38" s="23">
        <f>SUM(D36+'May 2018'!D39)</f>
        <v>40687.535499999998</v>
      </c>
      <c r="E38" s="23"/>
      <c r="F38" s="23"/>
      <c r="G38" s="23"/>
      <c r="I38" s="22"/>
    </row>
    <row r="40" spans="1:14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1"/>
      <c r="N40" s="30"/>
    </row>
    <row r="41" spans="1:14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1"/>
      <c r="N41" s="30"/>
    </row>
    <row r="42" spans="1:14" ht="13.95" customHeight="1" thickBot="1" x14ac:dyDescent="0.35">
      <c r="A42" s="129" t="s">
        <v>23</v>
      </c>
      <c r="B42" s="129"/>
      <c r="C42" s="129"/>
      <c r="D42" s="129"/>
      <c r="E42" s="129"/>
      <c r="F42" s="129"/>
      <c r="G42" s="129"/>
      <c r="H42" s="129"/>
      <c r="I42" s="130"/>
      <c r="J42" s="32"/>
      <c r="K42" s="32"/>
      <c r="L42" s="32"/>
      <c r="M42" s="33"/>
      <c r="N42" s="34"/>
    </row>
    <row r="43" spans="1:14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27" sqref="K27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43221</v>
      </c>
      <c r="B3" s="25">
        <v>50</v>
      </c>
      <c r="C3" s="25">
        <v>0</v>
      </c>
      <c r="D3" s="25">
        <v>106</v>
      </c>
      <c r="E3" s="26">
        <v>0</v>
      </c>
      <c r="F3" s="26">
        <v>0</v>
      </c>
      <c r="G3" s="25">
        <v>0</v>
      </c>
      <c r="H3" s="27">
        <v>4035.15</v>
      </c>
      <c r="I3" s="107"/>
    </row>
    <row r="4" spans="1:9" x14ac:dyDescent="0.3">
      <c r="A4" s="12">
        <v>43222</v>
      </c>
      <c r="B4" s="25">
        <v>50</v>
      </c>
      <c r="C4" s="25">
        <v>0</v>
      </c>
      <c r="D4" s="25">
        <v>116</v>
      </c>
      <c r="E4" s="26">
        <v>0</v>
      </c>
      <c r="F4" s="26">
        <v>0</v>
      </c>
      <c r="G4" s="91">
        <v>0</v>
      </c>
      <c r="H4" s="27">
        <v>4035.14</v>
      </c>
      <c r="I4" s="107"/>
    </row>
    <row r="5" spans="1:9" x14ac:dyDescent="0.3">
      <c r="A5" s="12">
        <v>43223</v>
      </c>
      <c r="B5" s="25">
        <v>50</v>
      </c>
      <c r="C5" s="25">
        <v>0</v>
      </c>
      <c r="D5" s="25">
        <v>110</v>
      </c>
      <c r="E5" s="26">
        <v>0</v>
      </c>
      <c r="F5" s="26">
        <v>0</v>
      </c>
      <c r="G5" s="91">
        <v>0</v>
      </c>
      <c r="H5" s="27">
        <v>4035.14</v>
      </c>
      <c r="I5" s="113"/>
    </row>
    <row r="6" spans="1:9" x14ac:dyDescent="0.3">
      <c r="A6" s="12">
        <v>43224</v>
      </c>
      <c r="B6" s="25">
        <v>50</v>
      </c>
      <c r="C6" s="25">
        <v>0</v>
      </c>
      <c r="D6" s="25">
        <v>90</v>
      </c>
      <c r="E6" s="26">
        <v>0</v>
      </c>
      <c r="F6" s="26">
        <v>0</v>
      </c>
      <c r="G6" s="25">
        <v>0</v>
      </c>
      <c r="H6" s="27">
        <v>4035.14</v>
      </c>
      <c r="I6" s="107"/>
    </row>
    <row r="7" spans="1:9" x14ac:dyDescent="0.3">
      <c r="A7" s="12">
        <v>43225</v>
      </c>
      <c r="B7" s="25">
        <v>63</v>
      </c>
      <c r="C7" s="25">
        <v>0</v>
      </c>
      <c r="D7" s="25">
        <v>87</v>
      </c>
      <c r="E7" s="26">
        <v>0</v>
      </c>
      <c r="F7" s="26">
        <v>0</v>
      </c>
      <c r="G7" s="91">
        <v>0</v>
      </c>
      <c r="H7" s="27">
        <v>4035.12</v>
      </c>
      <c r="I7" s="107" t="s">
        <v>49</v>
      </c>
    </row>
    <row r="8" spans="1:9" x14ac:dyDescent="0.3">
      <c r="A8" s="12">
        <v>43226</v>
      </c>
      <c r="B8" s="25">
        <v>75</v>
      </c>
      <c r="C8" s="25">
        <v>0</v>
      </c>
      <c r="D8" s="25">
        <v>99</v>
      </c>
      <c r="E8" s="26">
        <v>0</v>
      </c>
      <c r="F8" s="26">
        <v>0</v>
      </c>
      <c r="G8" s="25">
        <v>0</v>
      </c>
      <c r="H8" s="27">
        <v>4035.12</v>
      </c>
      <c r="I8" s="107"/>
    </row>
    <row r="9" spans="1:9" x14ac:dyDescent="0.3">
      <c r="A9" s="12">
        <v>43227</v>
      </c>
      <c r="B9" s="25">
        <v>75</v>
      </c>
      <c r="C9" s="25">
        <v>0</v>
      </c>
      <c r="D9" s="25">
        <v>113</v>
      </c>
      <c r="E9" s="26">
        <v>0</v>
      </c>
      <c r="F9" s="26">
        <v>0</v>
      </c>
      <c r="G9" s="25">
        <v>0</v>
      </c>
      <c r="H9" s="27">
        <v>4035.11</v>
      </c>
      <c r="I9" s="113"/>
    </row>
    <row r="10" spans="1:9" x14ac:dyDescent="0.3">
      <c r="A10" s="12">
        <v>43228</v>
      </c>
      <c r="B10" s="25">
        <v>75</v>
      </c>
      <c r="C10" s="25">
        <v>0</v>
      </c>
      <c r="D10" s="25">
        <v>114</v>
      </c>
      <c r="E10" s="26" t="s">
        <v>43</v>
      </c>
      <c r="F10" s="26">
        <v>0</v>
      </c>
      <c r="G10" s="25">
        <v>0</v>
      </c>
      <c r="H10" s="27">
        <v>4035.1</v>
      </c>
      <c r="I10" s="107"/>
    </row>
    <row r="11" spans="1:9" x14ac:dyDescent="0.3">
      <c r="A11" s="12">
        <v>43229</v>
      </c>
      <c r="B11" s="25">
        <v>75</v>
      </c>
      <c r="C11" s="91">
        <v>0</v>
      </c>
      <c r="D11" s="91">
        <v>114</v>
      </c>
      <c r="E11" s="26">
        <v>0.06</v>
      </c>
      <c r="F11" s="26">
        <v>0</v>
      </c>
      <c r="G11" s="25">
        <v>0</v>
      </c>
      <c r="H11" s="92">
        <v>4035.09</v>
      </c>
      <c r="I11" s="107"/>
    </row>
    <row r="12" spans="1:9" x14ac:dyDescent="0.3">
      <c r="A12" s="12">
        <v>43230</v>
      </c>
      <c r="B12" s="25">
        <v>75</v>
      </c>
      <c r="C12" s="25">
        <v>0</v>
      </c>
      <c r="D12" s="25">
        <v>114</v>
      </c>
      <c r="E12" s="26">
        <v>0</v>
      </c>
      <c r="F12" s="26">
        <v>0</v>
      </c>
      <c r="G12" s="25">
        <v>0</v>
      </c>
      <c r="H12" s="27">
        <v>4035.08</v>
      </c>
      <c r="I12" s="107"/>
    </row>
    <row r="13" spans="1:9" x14ac:dyDescent="0.3">
      <c r="A13" s="12">
        <v>43231</v>
      </c>
      <c r="B13" s="25">
        <v>75</v>
      </c>
      <c r="C13" s="25">
        <v>0</v>
      </c>
      <c r="D13" s="25">
        <v>113</v>
      </c>
      <c r="E13" s="26">
        <v>0</v>
      </c>
      <c r="F13" s="26">
        <v>0</v>
      </c>
      <c r="G13" s="25">
        <v>0</v>
      </c>
      <c r="H13" s="27">
        <v>4035.07</v>
      </c>
      <c r="I13" s="107"/>
    </row>
    <row r="14" spans="1:9" x14ac:dyDescent="0.3">
      <c r="A14" s="12">
        <v>43232</v>
      </c>
      <c r="B14" s="25">
        <v>75</v>
      </c>
      <c r="C14" s="25">
        <v>0</v>
      </c>
      <c r="D14" s="25">
        <v>111</v>
      </c>
      <c r="E14" s="26">
        <v>0</v>
      </c>
      <c r="F14" s="26">
        <v>0</v>
      </c>
      <c r="G14" s="25">
        <v>0</v>
      </c>
      <c r="H14" s="27">
        <v>4035.06</v>
      </c>
      <c r="I14" s="107"/>
    </row>
    <row r="15" spans="1:9" x14ac:dyDescent="0.3">
      <c r="A15" s="12">
        <v>43233</v>
      </c>
      <c r="B15" s="25">
        <v>92</v>
      </c>
      <c r="C15" s="25">
        <v>0</v>
      </c>
      <c r="D15" s="25">
        <v>120</v>
      </c>
      <c r="E15" s="26">
        <v>0</v>
      </c>
      <c r="F15" s="26">
        <v>0</v>
      </c>
      <c r="G15" s="25">
        <v>0</v>
      </c>
      <c r="H15" s="27">
        <v>4035.05</v>
      </c>
      <c r="I15" s="107" t="s">
        <v>48</v>
      </c>
    </row>
    <row r="16" spans="1:9" x14ac:dyDescent="0.3">
      <c r="A16" s="12">
        <v>43234</v>
      </c>
      <c r="B16" s="25">
        <v>116</v>
      </c>
      <c r="C16" s="25">
        <v>0</v>
      </c>
      <c r="D16" s="25">
        <v>141</v>
      </c>
      <c r="E16" s="26">
        <v>0</v>
      </c>
      <c r="F16" s="26">
        <v>0</v>
      </c>
      <c r="G16" s="25">
        <v>0</v>
      </c>
      <c r="H16" s="27">
        <v>4035.05</v>
      </c>
      <c r="I16" s="107" t="s">
        <v>50</v>
      </c>
    </row>
    <row r="17" spans="1:9" x14ac:dyDescent="0.3">
      <c r="A17" s="12">
        <v>43235</v>
      </c>
      <c r="B17" s="25">
        <v>125</v>
      </c>
      <c r="C17" s="25">
        <v>0</v>
      </c>
      <c r="D17" s="25">
        <v>155</v>
      </c>
      <c r="E17" s="26">
        <v>0</v>
      </c>
      <c r="F17" s="26">
        <v>0</v>
      </c>
      <c r="G17" s="25">
        <v>0</v>
      </c>
      <c r="H17" s="27">
        <v>4035.05</v>
      </c>
      <c r="I17" s="107"/>
    </row>
    <row r="18" spans="1:9" x14ac:dyDescent="0.3">
      <c r="A18" s="12">
        <v>43236</v>
      </c>
      <c r="B18" s="25">
        <v>125</v>
      </c>
      <c r="C18" s="25">
        <v>0</v>
      </c>
      <c r="D18" s="25">
        <v>133</v>
      </c>
      <c r="E18" s="26">
        <v>0</v>
      </c>
      <c r="F18" s="26">
        <v>0</v>
      </c>
      <c r="G18" s="25">
        <v>0</v>
      </c>
      <c r="H18" s="27">
        <v>4035.05</v>
      </c>
      <c r="I18" s="107"/>
    </row>
    <row r="19" spans="1:9" x14ac:dyDescent="0.3">
      <c r="A19" s="12">
        <v>43237</v>
      </c>
      <c r="B19" s="25">
        <v>156</v>
      </c>
      <c r="C19" s="25">
        <v>0</v>
      </c>
      <c r="D19" s="25">
        <v>150</v>
      </c>
      <c r="E19" s="26">
        <v>0.17</v>
      </c>
      <c r="F19" s="26">
        <v>0</v>
      </c>
      <c r="G19" s="25">
        <v>0</v>
      </c>
      <c r="H19" s="27">
        <v>4035.05</v>
      </c>
      <c r="I19" s="107" t="s">
        <v>51</v>
      </c>
    </row>
    <row r="20" spans="1:9" x14ac:dyDescent="0.3">
      <c r="A20" s="12">
        <v>43238</v>
      </c>
      <c r="B20" s="25">
        <v>175</v>
      </c>
      <c r="C20" s="25">
        <v>0</v>
      </c>
      <c r="D20" s="25">
        <v>182</v>
      </c>
      <c r="E20" s="26">
        <v>0</v>
      </c>
      <c r="F20" s="26">
        <v>0</v>
      </c>
      <c r="G20" s="25">
        <v>0</v>
      </c>
      <c r="H20" s="27">
        <v>4035.05</v>
      </c>
      <c r="I20" s="107"/>
    </row>
    <row r="21" spans="1:9" x14ac:dyDescent="0.3">
      <c r="A21" s="12">
        <v>43239</v>
      </c>
      <c r="B21" s="25">
        <v>175</v>
      </c>
      <c r="C21" s="25">
        <v>0</v>
      </c>
      <c r="D21" s="25">
        <v>186</v>
      </c>
      <c r="E21" s="26">
        <v>0</v>
      </c>
      <c r="F21" s="26">
        <v>0</v>
      </c>
      <c r="G21" s="25">
        <v>0</v>
      </c>
      <c r="H21" s="27">
        <v>4035.05</v>
      </c>
      <c r="I21" s="107"/>
    </row>
    <row r="22" spans="1:9" x14ac:dyDescent="0.3">
      <c r="A22" s="12">
        <v>43240</v>
      </c>
      <c r="B22" s="25">
        <v>165</v>
      </c>
      <c r="C22" s="25">
        <v>0</v>
      </c>
      <c r="D22" s="25">
        <v>179</v>
      </c>
      <c r="E22" s="26">
        <v>0.03</v>
      </c>
      <c r="F22" s="26">
        <v>0</v>
      </c>
      <c r="G22" s="25">
        <v>0</v>
      </c>
      <c r="H22" s="27">
        <v>4035.05</v>
      </c>
      <c r="I22" s="107" t="s">
        <v>52</v>
      </c>
    </row>
    <row r="23" spans="1:9" x14ac:dyDescent="0.3">
      <c r="A23" s="12">
        <v>43241</v>
      </c>
      <c r="B23" s="25">
        <v>198</v>
      </c>
      <c r="C23" s="25">
        <v>0</v>
      </c>
      <c r="D23" s="25">
        <v>190</v>
      </c>
      <c r="E23" s="26">
        <v>0</v>
      </c>
      <c r="F23" s="26">
        <v>0</v>
      </c>
      <c r="G23" s="25">
        <v>0</v>
      </c>
      <c r="H23" s="27">
        <v>4035.05</v>
      </c>
      <c r="I23" s="107" t="s">
        <v>53</v>
      </c>
    </row>
    <row r="24" spans="1:9" x14ac:dyDescent="0.3">
      <c r="A24" s="12">
        <v>43242</v>
      </c>
      <c r="B24" s="25">
        <v>150</v>
      </c>
      <c r="C24" s="25">
        <v>0</v>
      </c>
      <c r="D24" s="25">
        <v>201</v>
      </c>
      <c r="E24" s="26">
        <v>0</v>
      </c>
      <c r="F24" s="26">
        <v>0</v>
      </c>
      <c r="G24" s="25">
        <v>0</v>
      </c>
      <c r="H24" s="27">
        <v>4035.04</v>
      </c>
      <c r="I24" s="107"/>
    </row>
    <row r="25" spans="1:9" x14ac:dyDescent="0.3">
      <c r="A25" s="12">
        <v>43243</v>
      </c>
      <c r="B25" s="25">
        <v>150</v>
      </c>
      <c r="C25" s="25">
        <v>0</v>
      </c>
      <c r="D25" s="25">
        <v>196</v>
      </c>
      <c r="E25" s="26">
        <v>0.05</v>
      </c>
      <c r="F25" s="26">
        <v>0</v>
      </c>
      <c r="G25" s="25">
        <v>0</v>
      </c>
      <c r="H25" s="27">
        <v>4035.04</v>
      </c>
      <c r="I25" s="107"/>
    </row>
    <row r="26" spans="1:9" x14ac:dyDescent="0.3">
      <c r="A26" s="12">
        <v>43244</v>
      </c>
      <c r="B26" s="25">
        <v>150</v>
      </c>
      <c r="C26" s="25">
        <v>0</v>
      </c>
      <c r="D26" s="25">
        <v>169</v>
      </c>
      <c r="E26" s="26">
        <v>0.01</v>
      </c>
      <c r="F26" s="26">
        <v>0</v>
      </c>
      <c r="G26" s="25">
        <v>0</v>
      </c>
      <c r="H26" s="27">
        <v>4035.05</v>
      </c>
      <c r="I26" s="107"/>
    </row>
    <row r="27" spans="1:9" x14ac:dyDescent="0.3">
      <c r="A27" s="12">
        <v>43245</v>
      </c>
      <c r="B27" s="25">
        <v>124</v>
      </c>
      <c r="C27" s="25">
        <v>0</v>
      </c>
      <c r="D27" s="25">
        <v>229</v>
      </c>
      <c r="E27" s="26">
        <v>0.62</v>
      </c>
      <c r="F27" s="26">
        <v>0</v>
      </c>
      <c r="G27" s="25">
        <v>0</v>
      </c>
      <c r="H27" s="27">
        <v>4035.08</v>
      </c>
      <c r="I27" s="107" t="s">
        <v>54</v>
      </c>
    </row>
    <row r="28" spans="1:9" x14ac:dyDescent="0.3">
      <c r="A28" s="12">
        <v>43246</v>
      </c>
      <c r="B28" s="25">
        <v>36</v>
      </c>
      <c r="C28" s="25">
        <v>0</v>
      </c>
      <c r="D28" s="25">
        <v>167</v>
      </c>
      <c r="E28" s="26">
        <v>1.3</v>
      </c>
      <c r="F28" s="26">
        <v>0</v>
      </c>
      <c r="G28" s="25">
        <v>0</v>
      </c>
      <c r="H28" s="27">
        <v>4035.11</v>
      </c>
      <c r="I28" s="107" t="s">
        <v>55</v>
      </c>
    </row>
    <row r="29" spans="1:9" x14ac:dyDescent="0.3">
      <c r="A29" s="12">
        <v>43247</v>
      </c>
      <c r="B29" s="25">
        <v>104</v>
      </c>
      <c r="C29" s="25">
        <v>0</v>
      </c>
      <c r="D29" s="25">
        <v>131</v>
      </c>
      <c r="E29" s="26">
        <v>0.01</v>
      </c>
      <c r="F29" s="26">
        <v>0</v>
      </c>
      <c r="G29" s="25">
        <v>0</v>
      </c>
      <c r="H29" s="27">
        <v>4035.16</v>
      </c>
      <c r="I29" s="107" t="s">
        <v>56</v>
      </c>
    </row>
    <row r="30" spans="1:9" x14ac:dyDescent="0.3">
      <c r="A30" s="12">
        <v>43248</v>
      </c>
      <c r="B30" s="25">
        <v>100</v>
      </c>
      <c r="C30" s="25">
        <v>0</v>
      </c>
      <c r="D30" s="25">
        <v>126</v>
      </c>
      <c r="E30" s="26">
        <v>0</v>
      </c>
      <c r="F30" s="26">
        <v>0</v>
      </c>
      <c r="G30" s="25">
        <v>0</v>
      </c>
      <c r="H30" s="27">
        <v>4035.18</v>
      </c>
      <c r="I30" s="107"/>
    </row>
    <row r="31" spans="1:9" x14ac:dyDescent="0.3">
      <c r="A31" s="12">
        <v>43249</v>
      </c>
      <c r="B31" s="25">
        <v>117</v>
      </c>
      <c r="C31" s="25">
        <v>0</v>
      </c>
      <c r="D31" s="25">
        <v>108</v>
      </c>
      <c r="E31" s="26">
        <v>0</v>
      </c>
      <c r="F31" s="26">
        <v>0</v>
      </c>
      <c r="G31" s="25">
        <v>0</v>
      </c>
      <c r="H31" s="27">
        <v>4035.2</v>
      </c>
      <c r="I31" s="107" t="s">
        <v>57</v>
      </c>
    </row>
    <row r="32" spans="1:9" x14ac:dyDescent="0.3">
      <c r="A32" s="12">
        <v>43250</v>
      </c>
      <c r="B32" s="25">
        <v>120</v>
      </c>
      <c r="C32" s="25">
        <v>0</v>
      </c>
      <c r="D32" s="25">
        <v>110</v>
      </c>
      <c r="E32" s="26">
        <v>0</v>
      </c>
      <c r="F32" s="26">
        <v>0</v>
      </c>
      <c r="G32" s="25">
        <v>0</v>
      </c>
      <c r="H32" s="27">
        <v>4035.21</v>
      </c>
      <c r="I32" s="107" t="s">
        <v>58</v>
      </c>
    </row>
    <row r="33" spans="1:15" ht="15" thickBot="1" x14ac:dyDescent="0.35">
      <c r="A33" s="12">
        <v>43251</v>
      </c>
      <c r="B33" s="25">
        <v>100</v>
      </c>
      <c r="C33" s="25">
        <v>0</v>
      </c>
      <c r="D33" s="25">
        <v>107</v>
      </c>
      <c r="E33" s="26">
        <v>0.4</v>
      </c>
      <c r="F33" s="26">
        <v>0</v>
      </c>
      <c r="G33" s="25">
        <v>0</v>
      </c>
      <c r="H33" s="27">
        <v>4035.22</v>
      </c>
      <c r="I33" s="107"/>
    </row>
    <row r="34" spans="1:15" s="11" customFormat="1" ht="15" thickTop="1" x14ac:dyDescent="0.3">
      <c r="A34" s="16" t="s">
        <v>8</v>
      </c>
      <c r="B34" s="17">
        <f t="shared" ref="B34:G34" si="0">SUM(B3:B33)</f>
        <v>3266</v>
      </c>
      <c r="C34" s="17">
        <f t="shared" si="0"/>
        <v>0</v>
      </c>
      <c r="D34" s="17">
        <f t="shared" si="0"/>
        <v>4267</v>
      </c>
      <c r="E34" s="18">
        <f t="shared" si="0"/>
        <v>2.65</v>
      </c>
      <c r="F34" s="18">
        <f t="shared" si="0"/>
        <v>0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SUM(B34+'Apr 2018'!B34)</f>
        <v>4527</v>
      </c>
      <c r="C35" s="20">
        <f>SUM(C34+'Apr 2018'!C34)</f>
        <v>3165</v>
      </c>
      <c r="D35" s="20">
        <f>SUM(D34+'Apr 2018'!D34)</f>
        <v>9308</v>
      </c>
      <c r="E35" s="21">
        <f>SUM(E34+'Apr 2018'!E34)</f>
        <v>11.290000000000001</v>
      </c>
      <c r="F35" s="21">
        <f>SUM(F34+'Apr 2018'!F34)</f>
        <v>14</v>
      </c>
      <c r="G35" s="20">
        <f>SUM(G34+'Apr 2018'!G34)</f>
        <v>12412</v>
      </c>
      <c r="H35" s="21"/>
    </row>
    <row r="37" spans="1:15" x14ac:dyDescent="0.3">
      <c r="A37" t="s">
        <v>10</v>
      </c>
      <c r="B37" s="23">
        <f>SUM(B3:B33)*1.9835</f>
        <v>6478.1109999999999</v>
      </c>
      <c r="C37" s="23">
        <f>SUM(C3:C33)*1.9835</f>
        <v>0</v>
      </c>
      <c r="D37" s="23">
        <f>SUM(D3:D33)*1.9835</f>
        <v>8463.5945000000011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SUM(B37+'Apr 2018'!B38)</f>
        <v>9538.6514999999999</v>
      </c>
      <c r="C39" s="23">
        <f>SUM(C37+'Apr 2018'!C38)</f>
        <v>6277.7775000000001</v>
      </c>
      <c r="D39" s="23">
        <f>SUM(D37+'Apr 2018'!D38)</f>
        <v>20136.491999999998</v>
      </c>
      <c r="E39" s="23"/>
      <c r="F39" s="23"/>
      <c r="G39" s="23"/>
      <c r="I39" s="22"/>
    </row>
    <row r="40" spans="1:15" x14ac:dyDescent="0.3">
      <c r="I40" s="34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4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4"/>
      <c r="J42" s="30"/>
      <c r="K42" s="30"/>
      <c r="L42" s="30"/>
      <c r="M42" s="30"/>
      <c r="N42" s="31"/>
      <c r="O42" s="30"/>
    </row>
    <row r="43" spans="1:15" ht="13.95" customHeight="1" thickBot="1" x14ac:dyDescent="0.35">
      <c r="A43" s="129" t="s">
        <v>23</v>
      </c>
      <c r="B43" s="129"/>
      <c r="C43" s="129"/>
      <c r="D43" s="129"/>
      <c r="E43" s="129"/>
      <c r="F43" s="129"/>
      <c r="G43" s="129"/>
      <c r="H43" s="129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6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6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:H32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43191</v>
      </c>
      <c r="B3" s="25">
        <v>0</v>
      </c>
      <c r="C3" s="25">
        <v>0</v>
      </c>
      <c r="D3" s="25">
        <v>14</v>
      </c>
      <c r="E3" s="26">
        <v>0</v>
      </c>
      <c r="F3" s="26">
        <v>0</v>
      </c>
      <c r="G3" s="25">
        <v>0</v>
      </c>
      <c r="H3" s="27">
        <v>4035.08</v>
      </c>
    </row>
    <row r="4" spans="1:9" x14ac:dyDescent="0.3">
      <c r="A4" s="12">
        <v>43192</v>
      </c>
      <c r="B4" s="25">
        <v>0</v>
      </c>
      <c r="C4" s="25">
        <v>0</v>
      </c>
      <c r="D4" s="25">
        <v>14</v>
      </c>
      <c r="E4" s="26">
        <v>0</v>
      </c>
      <c r="F4" s="26">
        <v>0</v>
      </c>
      <c r="G4" s="25">
        <v>0</v>
      </c>
      <c r="H4" s="27">
        <v>4035.06</v>
      </c>
    </row>
    <row r="5" spans="1:9" x14ac:dyDescent="0.3">
      <c r="A5" s="12">
        <v>43193</v>
      </c>
      <c r="B5" s="25">
        <v>0</v>
      </c>
      <c r="C5" s="25">
        <v>0</v>
      </c>
      <c r="D5" s="25">
        <v>14</v>
      </c>
      <c r="E5" s="26">
        <v>0</v>
      </c>
      <c r="F5" s="26">
        <v>0</v>
      </c>
      <c r="G5" s="25">
        <v>0</v>
      </c>
      <c r="H5" s="27">
        <v>4035.06</v>
      </c>
    </row>
    <row r="6" spans="1:9" x14ac:dyDescent="0.3">
      <c r="A6" s="12">
        <v>43194</v>
      </c>
      <c r="B6" s="25">
        <v>0</v>
      </c>
      <c r="C6" s="25">
        <v>0</v>
      </c>
      <c r="D6" s="25">
        <v>14</v>
      </c>
      <c r="E6" s="26">
        <v>0</v>
      </c>
      <c r="F6" s="26">
        <v>0</v>
      </c>
      <c r="G6" s="25">
        <v>0</v>
      </c>
      <c r="H6" s="27">
        <v>4035.08</v>
      </c>
    </row>
    <row r="7" spans="1:9" x14ac:dyDescent="0.3">
      <c r="A7" s="12">
        <v>43195</v>
      </c>
      <c r="B7" s="25">
        <v>0</v>
      </c>
      <c r="C7" s="25">
        <v>0</v>
      </c>
      <c r="D7" s="25">
        <v>14</v>
      </c>
      <c r="E7" s="26">
        <v>0.1</v>
      </c>
      <c r="F7" s="26">
        <v>0</v>
      </c>
      <c r="G7" s="25">
        <v>0</v>
      </c>
      <c r="H7" s="27">
        <v>4035.1</v>
      </c>
    </row>
    <row r="8" spans="1:9" x14ac:dyDescent="0.3">
      <c r="A8" s="12">
        <v>43196</v>
      </c>
      <c r="B8" s="25">
        <v>0</v>
      </c>
      <c r="C8" s="25">
        <v>0</v>
      </c>
      <c r="D8" s="25">
        <v>14</v>
      </c>
      <c r="E8" s="26">
        <v>0.8</v>
      </c>
      <c r="F8" s="26">
        <v>0</v>
      </c>
      <c r="G8" s="25">
        <v>0</v>
      </c>
      <c r="H8" s="27">
        <v>4035.1</v>
      </c>
    </row>
    <row r="9" spans="1:9" x14ac:dyDescent="0.3">
      <c r="A9" s="12">
        <v>43197</v>
      </c>
      <c r="B9" s="25">
        <v>0</v>
      </c>
      <c r="C9" s="25">
        <v>0</v>
      </c>
      <c r="D9" s="25">
        <v>19</v>
      </c>
      <c r="E9" s="26">
        <v>0.36</v>
      </c>
      <c r="F9" s="26">
        <v>0</v>
      </c>
      <c r="G9" s="25">
        <v>0</v>
      </c>
      <c r="H9" s="27">
        <v>4035.14</v>
      </c>
    </row>
    <row r="10" spans="1:9" x14ac:dyDescent="0.3">
      <c r="A10" s="12">
        <v>43198</v>
      </c>
      <c r="B10" s="25">
        <v>0</v>
      </c>
      <c r="C10" s="25">
        <v>0</v>
      </c>
      <c r="D10" s="25">
        <v>25</v>
      </c>
      <c r="E10" s="26">
        <v>0</v>
      </c>
      <c r="F10" s="26">
        <v>0</v>
      </c>
      <c r="G10" s="25">
        <v>0</v>
      </c>
      <c r="H10" s="27">
        <v>4035.16</v>
      </c>
    </row>
    <row r="11" spans="1:9" x14ac:dyDescent="0.3">
      <c r="A11" s="12">
        <v>43199</v>
      </c>
      <c r="B11" s="25">
        <v>0</v>
      </c>
      <c r="C11" s="25">
        <v>0</v>
      </c>
      <c r="D11" s="25">
        <v>35</v>
      </c>
      <c r="E11" s="26">
        <v>0</v>
      </c>
      <c r="F11" s="26">
        <v>0</v>
      </c>
      <c r="G11" s="25">
        <v>0</v>
      </c>
      <c r="H11" s="27">
        <v>4035.18</v>
      </c>
    </row>
    <row r="12" spans="1:9" x14ac:dyDescent="0.3">
      <c r="A12" s="12">
        <v>43200</v>
      </c>
      <c r="B12" s="25">
        <v>0</v>
      </c>
      <c r="C12" s="25">
        <v>0</v>
      </c>
      <c r="D12" s="25">
        <v>39</v>
      </c>
      <c r="E12" s="26">
        <v>0.01</v>
      </c>
      <c r="F12" s="26">
        <v>0</v>
      </c>
      <c r="G12" s="25">
        <v>0</v>
      </c>
      <c r="H12" s="27">
        <v>4035.18</v>
      </c>
    </row>
    <row r="13" spans="1:9" x14ac:dyDescent="0.3">
      <c r="A13" s="12">
        <v>43201</v>
      </c>
      <c r="B13" s="25">
        <v>0</v>
      </c>
      <c r="C13" s="25">
        <v>0</v>
      </c>
      <c r="D13" s="25">
        <v>26</v>
      </c>
      <c r="E13" s="26">
        <v>0</v>
      </c>
      <c r="F13" s="26">
        <v>0</v>
      </c>
      <c r="G13" s="25">
        <v>0</v>
      </c>
      <c r="H13" s="27">
        <v>4035.18</v>
      </c>
    </row>
    <row r="14" spans="1:9" x14ac:dyDescent="0.3">
      <c r="A14" s="12">
        <v>43202</v>
      </c>
      <c r="B14" s="25">
        <v>0</v>
      </c>
      <c r="C14" s="25">
        <v>0</v>
      </c>
      <c r="D14" s="25">
        <v>19</v>
      </c>
      <c r="E14" s="26">
        <v>0.23</v>
      </c>
      <c r="F14" s="26">
        <v>0.5</v>
      </c>
      <c r="G14" s="25">
        <v>0</v>
      </c>
      <c r="H14" s="27">
        <v>4035.5</v>
      </c>
    </row>
    <row r="15" spans="1:9" x14ac:dyDescent="0.3">
      <c r="A15" s="12">
        <v>43203</v>
      </c>
      <c r="B15" s="25">
        <v>0</v>
      </c>
      <c r="C15" s="25">
        <v>0</v>
      </c>
      <c r="D15" s="25">
        <v>19</v>
      </c>
      <c r="E15" s="26">
        <v>0</v>
      </c>
      <c r="F15" s="26">
        <v>0</v>
      </c>
      <c r="G15" s="25">
        <v>0</v>
      </c>
      <c r="H15" s="27">
        <v>4035.2</v>
      </c>
    </row>
    <row r="16" spans="1:9" x14ac:dyDescent="0.3">
      <c r="A16" s="12">
        <v>43204</v>
      </c>
      <c r="B16" s="25">
        <v>0</v>
      </c>
      <c r="C16" s="25">
        <v>0</v>
      </c>
      <c r="D16" s="25">
        <v>19</v>
      </c>
      <c r="E16" s="26">
        <v>0</v>
      </c>
      <c r="F16" s="26">
        <v>0</v>
      </c>
      <c r="G16" s="25">
        <v>0</v>
      </c>
      <c r="H16" s="27">
        <v>4035.22</v>
      </c>
    </row>
    <row r="17" spans="1:9" x14ac:dyDescent="0.3">
      <c r="A17" s="12">
        <v>43205</v>
      </c>
      <c r="B17" s="25">
        <v>0</v>
      </c>
      <c r="C17" s="25">
        <v>0</v>
      </c>
      <c r="D17" s="25">
        <v>18</v>
      </c>
      <c r="E17" s="26">
        <v>0</v>
      </c>
      <c r="F17" s="26">
        <v>0</v>
      </c>
      <c r="G17" s="25">
        <v>0</v>
      </c>
      <c r="H17" s="27">
        <v>4035.22</v>
      </c>
    </row>
    <row r="18" spans="1:9" x14ac:dyDescent="0.3">
      <c r="A18" s="12">
        <v>43206</v>
      </c>
      <c r="B18" s="25">
        <v>0</v>
      </c>
      <c r="C18" s="25">
        <v>0</v>
      </c>
      <c r="D18" s="25">
        <v>19</v>
      </c>
      <c r="E18" s="26">
        <v>0.14000000000000001</v>
      </c>
      <c r="F18" s="26">
        <v>0</v>
      </c>
      <c r="G18" s="25">
        <v>0</v>
      </c>
      <c r="H18" s="27">
        <v>4035.2</v>
      </c>
    </row>
    <row r="19" spans="1:9" x14ac:dyDescent="0.3">
      <c r="A19" s="12">
        <v>43207</v>
      </c>
      <c r="B19" s="25">
        <v>0</v>
      </c>
      <c r="C19" s="25">
        <v>0</v>
      </c>
      <c r="D19" s="25">
        <v>19</v>
      </c>
      <c r="E19" s="26">
        <v>0.01</v>
      </c>
      <c r="F19" s="26">
        <v>0</v>
      </c>
      <c r="G19" s="25">
        <v>0</v>
      </c>
      <c r="H19" s="27">
        <v>4035.2</v>
      </c>
    </row>
    <row r="20" spans="1:9" x14ac:dyDescent="0.3">
      <c r="A20" s="12">
        <v>43208</v>
      </c>
      <c r="B20" s="25">
        <v>0</v>
      </c>
      <c r="C20" s="25">
        <v>0</v>
      </c>
      <c r="D20" s="25">
        <v>19</v>
      </c>
      <c r="E20" s="26" t="s">
        <v>43</v>
      </c>
      <c r="F20" s="26">
        <v>0</v>
      </c>
      <c r="G20" s="25">
        <v>0</v>
      </c>
      <c r="H20" s="27">
        <v>4035.2</v>
      </c>
    </row>
    <row r="21" spans="1:9" x14ac:dyDescent="0.3">
      <c r="A21" s="12">
        <v>43209</v>
      </c>
      <c r="B21" s="25">
        <v>0</v>
      </c>
      <c r="C21" s="25">
        <v>0</v>
      </c>
      <c r="D21" s="25">
        <v>19</v>
      </c>
      <c r="E21" s="26">
        <v>0</v>
      </c>
      <c r="F21" s="26">
        <v>0</v>
      </c>
      <c r="G21" s="25">
        <v>0</v>
      </c>
      <c r="H21" s="27">
        <v>4035.2</v>
      </c>
    </row>
    <row r="22" spans="1:9" x14ac:dyDescent="0.3">
      <c r="A22" s="12">
        <v>43210</v>
      </c>
      <c r="B22" s="25">
        <v>0</v>
      </c>
      <c r="C22" s="25">
        <v>0</v>
      </c>
      <c r="D22" s="25">
        <v>18</v>
      </c>
      <c r="E22" s="26">
        <v>0</v>
      </c>
      <c r="F22" s="26">
        <v>0</v>
      </c>
      <c r="G22" s="25">
        <v>0</v>
      </c>
      <c r="H22" s="27">
        <v>4035.2</v>
      </c>
    </row>
    <row r="23" spans="1:9" x14ac:dyDescent="0.3">
      <c r="A23" s="12">
        <v>43211</v>
      </c>
      <c r="B23" s="25">
        <v>0</v>
      </c>
      <c r="C23" s="25">
        <v>0</v>
      </c>
      <c r="D23" s="25">
        <v>18</v>
      </c>
      <c r="E23" s="26">
        <v>0</v>
      </c>
      <c r="F23" s="26">
        <v>0</v>
      </c>
      <c r="G23" s="25">
        <v>0</v>
      </c>
      <c r="H23" s="27">
        <v>4035.2</v>
      </c>
    </row>
    <row r="24" spans="1:9" x14ac:dyDescent="0.3">
      <c r="A24" s="12">
        <v>43212</v>
      </c>
      <c r="B24" s="25">
        <v>0</v>
      </c>
      <c r="C24" s="25">
        <v>0</v>
      </c>
      <c r="D24" s="25">
        <v>14</v>
      </c>
      <c r="E24" s="26">
        <v>0</v>
      </c>
      <c r="F24" s="26">
        <v>0</v>
      </c>
      <c r="G24" s="25">
        <v>0</v>
      </c>
      <c r="H24" s="27">
        <v>4035.2</v>
      </c>
    </row>
    <row r="25" spans="1:9" x14ac:dyDescent="0.3">
      <c r="A25" s="12">
        <v>43213</v>
      </c>
      <c r="B25" s="25">
        <v>0</v>
      </c>
      <c r="C25" s="25">
        <v>0</v>
      </c>
      <c r="D25" s="25">
        <v>10</v>
      </c>
      <c r="E25" s="26">
        <v>0</v>
      </c>
      <c r="F25" s="26">
        <v>0</v>
      </c>
      <c r="G25" s="25">
        <v>0</v>
      </c>
      <c r="H25" s="27">
        <v>4035.2</v>
      </c>
    </row>
    <row r="26" spans="1:9" x14ac:dyDescent="0.3">
      <c r="A26" s="12">
        <v>43214</v>
      </c>
      <c r="B26" s="25">
        <v>0</v>
      </c>
      <c r="C26" s="25">
        <v>0</v>
      </c>
      <c r="D26" s="25">
        <v>11</v>
      </c>
      <c r="E26" s="26">
        <v>0</v>
      </c>
      <c r="F26" s="26">
        <v>0</v>
      </c>
      <c r="G26" s="25">
        <v>0</v>
      </c>
      <c r="H26" s="27">
        <v>4035.2</v>
      </c>
    </row>
    <row r="27" spans="1:9" x14ac:dyDescent="0.3">
      <c r="A27" s="12">
        <v>43215</v>
      </c>
      <c r="B27" s="25">
        <v>0</v>
      </c>
      <c r="C27" s="25">
        <v>0</v>
      </c>
      <c r="D27" s="25">
        <v>11</v>
      </c>
      <c r="E27" s="26">
        <v>0</v>
      </c>
      <c r="F27" s="26">
        <v>0</v>
      </c>
      <c r="G27" s="25">
        <v>0</v>
      </c>
      <c r="H27" s="27">
        <v>4035.19</v>
      </c>
    </row>
    <row r="28" spans="1:9" x14ac:dyDescent="0.3">
      <c r="A28" s="12">
        <v>43216</v>
      </c>
      <c r="B28" s="25">
        <v>29</v>
      </c>
      <c r="C28" s="25">
        <v>0</v>
      </c>
      <c r="D28" s="25">
        <v>23</v>
      </c>
      <c r="E28" s="26">
        <v>0</v>
      </c>
      <c r="F28" s="26">
        <v>0</v>
      </c>
      <c r="G28" s="25">
        <v>0</v>
      </c>
      <c r="H28" s="27">
        <v>4035.19</v>
      </c>
      <c r="I28" t="s">
        <v>45</v>
      </c>
    </row>
    <row r="29" spans="1:9" x14ac:dyDescent="0.3">
      <c r="A29" s="12">
        <v>43217</v>
      </c>
      <c r="B29" s="25">
        <v>66</v>
      </c>
      <c r="C29" s="25">
        <v>0</v>
      </c>
      <c r="D29" s="25">
        <v>74</v>
      </c>
      <c r="E29" s="26">
        <v>0</v>
      </c>
      <c r="F29" s="26">
        <v>0</v>
      </c>
      <c r="G29" s="25">
        <v>0</v>
      </c>
      <c r="H29" s="27">
        <v>4035.18</v>
      </c>
      <c r="I29" t="s">
        <v>46</v>
      </c>
    </row>
    <row r="30" spans="1:9" x14ac:dyDescent="0.3">
      <c r="A30" s="12">
        <v>43218</v>
      </c>
      <c r="B30" s="25">
        <v>75</v>
      </c>
      <c r="C30" s="25">
        <v>0</v>
      </c>
      <c r="D30" s="25">
        <v>94</v>
      </c>
      <c r="E30" s="26">
        <v>0.08</v>
      </c>
      <c r="F30" s="26">
        <v>0</v>
      </c>
      <c r="G30" s="25">
        <v>0</v>
      </c>
      <c r="H30" s="27">
        <v>4035.18</v>
      </c>
    </row>
    <row r="31" spans="1:9" x14ac:dyDescent="0.3">
      <c r="A31" s="12">
        <v>43219</v>
      </c>
      <c r="B31" s="25">
        <v>62</v>
      </c>
      <c r="C31" s="25">
        <v>0</v>
      </c>
      <c r="D31" s="25">
        <v>98</v>
      </c>
      <c r="E31" s="26">
        <v>0.2</v>
      </c>
      <c r="F31" s="26">
        <v>0</v>
      </c>
      <c r="G31" s="25">
        <v>0</v>
      </c>
      <c r="H31" s="27">
        <v>4035.17</v>
      </c>
      <c r="I31" t="s">
        <v>47</v>
      </c>
    </row>
    <row r="32" spans="1:9" ht="15" thickBot="1" x14ac:dyDescent="0.35">
      <c r="A32" s="12">
        <v>43220</v>
      </c>
      <c r="B32" s="25">
        <v>50</v>
      </c>
      <c r="C32" s="25">
        <v>0</v>
      </c>
      <c r="D32" s="25">
        <v>94</v>
      </c>
      <c r="E32" s="26">
        <v>0.02</v>
      </c>
      <c r="F32" s="26">
        <v>0</v>
      </c>
      <c r="G32" s="25">
        <v>0</v>
      </c>
      <c r="H32" s="27">
        <v>4035.17</v>
      </c>
    </row>
    <row r="33" spans="1:15" s="11" customFormat="1" ht="15" thickTop="1" x14ac:dyDescent="0.3">
      <c r="A33" s="16" t="s">
        <v>8</v>
      </c>
      <c r="B33" s="17">
        <f t="shared" ref="B33:G33" si="0">SUM(B3:B32)</f>
        <v>282</v>
      </c>
      <c r="C33" s="17">
        <f t="shared" si="0"/>
        <v>0</v>
      </c>
      <c r="D33" s="17">
        <f t="shared" si="0"/>
        <v>844</v>
      </c>
      <c r="E33" s="18">
        <f t="shared" si="0"/>
        <v>1.9500000000000002</v>
      </c>
      <c r="F33" s="18">
        <f t="shared" si="0"/>
        <v>0.5</v>
      </c>
      <c r="G33" s="17">
        <f t="shared" si="0"/>
        <v>0</v>
      </c>
      <c r="H33" s="18"/>
      <c r="I33"/>
    </row>
    <row r="34" spans="1:15" s="11" customFormat="1" x14ac:dyDescent="0.3">
      <c r="A34" s="19" t="s">
        <v>9</v>
      </c>
      <c r="B34" s="20">
        <f>SUM(B33+'Mar 2018'!B35)</f>
        <v>1261</v>
      </c>
      <c r="C34" s="20">
        <f>SUM(C33+'Mar 2018'!C35)</f>
        <v>3165</v>
      </c>
      <c r="D34" s="20">
        <f>SUM(D33+'Mar 2018'!D35)</f>
        <v>5041</v>
      </c>
      <c r="E34" s="21">
        <f>SUM(E33+'Mar 2018'!E35)</f>
        <v>8.64</v>
      </c>
      <c r="F34" s="21">
        <f>SUM(F33+'Mar 2018'!F35)</f>
        <v>14</v>
      </c>
      <c r="G34" s="20">
        <f>SUM(G33+'Mar 2018'!G35)</f>
        <v>12412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SUM(B3:B33)*1.9835</f>
        <v>1118.694</v>
      </c>
      <c r="C36" s="23">
        <f>SUM(C3:C33)*1.9835</f>
        <v>0</v>
      </c>
      <c r="D36" s="23">
        <f>SUM(D3:D33)*1.9835</f>
        <v>3348.1480000000001</v>
      </c>
      <c r="E36" s="23"/>
      <c r="F36" s="23"/>
      <c r="G36" s="23"/>
      <c r="I36" s="22"/>
    </row>
    <row r="38" spans="1:15" x14ac:dyDescent="0.3">
      <c r="A38" t="s">
        <v>24</v>
      </c>
      <c r="B38" s="23">
        <f>SUM(B36+'Mar 2018'!B39)</f>
        <v>3060.5405000000001</v>
      </c>
      <c r="C38" s="23">
        <f>SUM(C36+'Mar 2018'!C39)</f>
        <v>6277.7775000000001</v>
      </c>
      <c r="D38" s="23">
        <f>SUM(D36+'Mar 2018'!D39)</f>
        <v>11672.897499999999</v>
      </c>
      <c r="E38" s="23"/>
      <c r="F38" s="23"/>
      <c r="G38" s="23"/>
      <c r="I38" s="22"/>
    </row>
    <row r="39" spans="1:15" x14ac:dyDescent="0.3"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30" t="s">
        <v>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58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H3" sqref="H3: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43160</v>
      </c>
      <c r="B3" s="13">
        <v>0</v>
      </c>
      <c r="C3" s="13">
        <v>0</v>
      </c>
      <c r="D3" s="13">
        <v>0</v>
      </c>
      <c r="E3" s="14">
        <v>0.01</v>
      </c>
      <c r="F3" s="106" t="s">
        <v>43</v>
      </c>
      <c r="G3" s="13">
        <v>0</v>
      </c>
      <c r="H3" s="15">
        <v>4034.58</v>
      </c>
    </row>
    <row r="4" spans="1:9" x14ac:dyDescent="0.3">
      <c r="A4" s="12">
        <v>43161</v>
      </c>
      <c r="B4" s="13">
        <v>0</v>
      </c>
      <c r="C4" s="13">
        <v>0</v>
      </c>
      <c r="D4" s="13">
        <v>0</v>
      </c>
      <c r="E4" s="14">
        <v>0.18</v>
      </c>
      <c r="F4" s="14">
        <v>3</v>
      </c>
      <c r="G4" s="13">
        <v>0</v>
      </c>
      <c r="H4" s="15">
        <v>4034.59</v>
      </c>
    </row>
    <row r="5" spans="1:9" x14ac:dyDescent="0.3">
      <c r="A5" s="12">
        <v>43162</v>
      </c>
      <c r="B5" s="13">
        <v>0</v>
      </c>
      <c r="C5" s="13">
        <v>0</v>
      </c>
      <c r="D5" s="13">
        <v>0</v>
      </c>
      <c r="E5" s="14">
        <v>0.02</v>
      </c>
      <c r="F5" s="106" t="s">
        <v>43</v>
      </c>
      <c r="G5" s="13">
        <v>0</v>
      </c>
      <c r="H5" s="15">
        <v>4034.59</v>
      </c>
    </row>
    <row r="6" spans="1:9" x14ac:dyDescent="0.3">
      <c r="A6" s="12">
        <v>43163</v>
      </c>
      <c r="B6" s="13">
        <v>0</v>
      </c>
      <c r="C6" s="13">
        <v>0</v>
      </c>
      <c r="D6" s="13">
        <v>0</v>
      </c>
      <c r="E6" s="14">
        <v>0</v>
      </c>
      <c r="F6" s="14">
        <v>0</v>
      </c>
      <c r="G6" s="13">
        <v>0</v>
      </c>
      <c r="H6" s="15">
        <v>4034.6</v>
      </c>
    </row>
    <row r="7" spans="1:9" x14ac:dyDescent="0.3">
      <c r="A7" s="12">
        <v>43164</v>
      </c>
      <c r="B7" s="13">
        <v>0</v>
      </c>
      <c r="C7" s="13">
        <v>0</v>
      </c>
      <c r="D7" s="13">
        <v>0</v>
      </c>
      <c r="E7" s="106" t="s">
        <v>43</v>
      </c>
      <c r="F7" s="14">
        <v>0</v>
      </c>
      <c r="G7" s="13">
        <v>0</v>
      </c>
      <c r="H7" s="15">
        <v>4034.61</v>
      </c>
    </row>
    <row r="8" spans="1:9" x14ac:dyDescent="0.3">
      <c r="A8" s="12">
        <v>43165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3">
        <v>0</v>
      </c>
      <c r="H8" s="15">
        <v>4034.62</v>
      </c>
    </row>
    <row r="9" spans="1:9" x14ac:dyDescent="0.3">
      <c r="A9" s="12">
        <v>43166</v>
      </c>
      <c r="B9" s="13">
        <v>0</v>
      </c>
      <c r="C9" s="13">
        <v>0</v>
      </c>
      <c r="D9" s="13">
        <v>0</v>
      </c>
      <c r="E9" s="14">
        <v>0</v>
      </c>
      <c r="F9" s="14">
        <v>0</v>
      </c>
      <c r="G9" s="13">
        <v>0</v>
      </c>
      <c r="H9" s="15">
        <v>4034.63</v>
      </c>
    </row>
    <row r="10" spans="1:9" x14ac:dyDescent="0.3">
      <c r="A10" s="12">
        <v>43167</v>
      </c>
      <c r="B10" s="13">
        <v>0</v>
      </c>
      <c r="C10" s="13">
        <v>0</v>
      </c>
      <c r="D10" s="13">
        <v>0</v>
      </c>
      <c r="E10" s="14">
        <v>0</v>
      </c>
      <c r="F10" s="14">
        <v>0</v>
      </c>
      <c r="G10" s="13">
        <v>0</v>
      </c>
      <c r="H10" s="15">
        <v>4034.64</v>
      </c>
    </row>
    <row r="11" spans="1:9" x14ac:dyDescent="0.3">
      <c r="A11" s="12">
        <v>43168</v>
      </c>
      <c r="B11" s="13">
        <v>0</v>
      </c>
      <c r="C11" s="13">
        <v>0</v>
      </c>
      <c r="D11" s="13">
        <v>0</v>
      </c>
      <c r="E11" s="14">
        <v>0.35</v>
      </c>
      <c r="F11" s="14">
        <v>0</v>
      </c>
      <c r="G11" s="13">
        <v>0</v>
      </c>
      <c r="H11" s="15">
        <v>4034.66</v>
      </c>
    </row>
    <row r="12" spans="1:9" x14ac:dyDescent="0.3">
      <c r="A12" s="12">
        <v>43169</v>
      </c>
      <c r="B12" s="13">
        <v>0</v>
      </c>
      <c r="C12" s="13">
        <v>0</v>
      </c>
      <c r="D12" s="13">
        <v>0</v>
      </c>
      <c r="E12" s="14">
        <v>0.01</v>
      </c>
      <c r="F12" s="14">
        <v>0</v>
      </c>
      <c r="G12" s="13">
        <v>0</v>
      </c>
      <c r="H12" s="15">
        <v>4034.67</v>
      </c>
    </row>
    <row r="13" spans="1:9" x14ac:dyDescent="0.3">
      <c r="A13" s="12">
        <v>43170</v>
      </c>
      <c r="B13" s="13">
        <v>0</v>
      </c>
      <c r="C13" s="13">
        <v>0</v>
      </c>
      <c r="D13" s="13">
        <v>0</v>
      </c>
      <c r="E13" s="106" t="s">
        <v>43</v>
      </c>
      <c r="F13" s="14">
        <v>0</v>
      </c>
      <c r="G13" s="13">
        <v>0</v>
      </c>
      <c r="H13" s="15">
        <v>4034.69</v>
      </c>
    </row>
    <row r="14" spans="1:9" x14ac:dyDescent="0.3">
      <c r="A14" s="12">
        <v>43171</v>
      </c>
      <c r="B14" s="13">
        <v>0</v>
      </c>
      <c r="C14" s="13">
        <v>0</v>
      </c>
      <c r="D14" s="13">
        <v>0</v>
      </c>
      <c r="E14" s="14">
        <v>0</v>
      </c>
      <c r="F14" s="14">
        <v>0</v>
      </c>
      <c r="G14" s="13">
        <v>0</v>
      </c>
      <c r="H14" s="15">
        <v>4034.71</v>
      </c>
    </row>
    <row r="15" spans="1:9" x14ac:dyDescent="0.3">
      <c r="A15" s="12">
        <v>43172</v>
      </c>
      <c r="B15" s="13">
        <v>0</v>
      </c>
      <c r="C15" s="13">
        <v>0</v>
      </c>
      <c r="D15" s="13">
        <v>0</v>
      </c>
      <c r="E15" s="14">
        <v>0.15</v>
      </c>
      <c r="F15" s="14">
        <v>0</v>
      </c>
      <c r="G15" s="13">
        <v>0</v>
      </c>
      <c r="H15" s="15">
        <v>4034.73</v>
      </c>
    </row>
    <row r="16" spans="1:9" x14ac:dyDescent="0.3">
      <c r="A16" s="12">
        <v>43173</v>
      </c>
      <c r="B16" s="13">
        <v>0</v>
      </c>
      <c r="C16" s="13">
        <v>0</v>
      </c>
      <c r="D16" s="13">
        <v>0</v>
      </c>
      <c r="E16" s="14">
        <v>0.28999999999999998</v>
      </c>
      <c r="F16" s="14">
        <v>0</v>
      </c>
      <c r="G16" s="13">
        <v>0</v>
      </c>
      <c r="H16" s="15">
        <v>4034.75</v>
      </c>
    </row>
    <row r="17" spans="1:8" x14ac:dyDescent="0.3">
      <c r="A17" s="12">
        <v>43174</v>
      </c>
      <c r="B17" s="13">
        <v>0</v>
      </c>
      <c r="C17" s="13">
        <v>0</v>
      </c>
      <c r="D17" s="13">
        <v>19</v>
      </c>
      <c r="E17" s="14">
        <v>0.03</v>
      </c>
      <c r="F17" s="106" t="s">
        <v>43</v>
      </c>
      <c r="G17" s="13">
        <v>0</v>
      </c>
      <c r="H17" s="15">
        <v>4034.77</v>
      </c>
    </row>
    <row r="18" spans="1:8" x14ac:dyDescent="0.3">
      <c r="A18" s="12">
        <v>43175</v>
      </c>
      <c r="B18" s="13">
        <v>0</v>
      </c>
      <c r="C18" s="13">
        <v>0</v>
      </c>
      <c r="D18" s="13">
        <v>32</v>
      </c>
      <c r="E18" s="14">
        <v>0.03</v>
      </c>
      <c r="F18" s="106" t="s">
        <v>43</v>
      </c>
      <c r="G18" s="13">
        <v>0</v>
      </c>
      <c r="H18" s="15">
        <v>4034.78</v>
      </c>
    </row>
    <row r="19" spans="1:8" x14ac:dyDescent="0.3">
      <c r="A19" s="12">
        <v>43176</v>
      </c>
      <c r="B19" s="13">
        <v>0</v>
      </c>
      <c r="C19" s="13">
        <v>0</v>
      </c>
      <c r="D19" s="13">
        <v>28</v>
      </c>
      <c r="E19" s="14">
        <v>0.02</v>
      </c>
      <c r="F19" s="106" t="s">
        <v>43</v>
      </c>
      <c r="G19" s="13">
        <v>0</v>
      </c>
      <c r="H19" s="15">
        <v>4034.79</v>
      </c>
    </row>
    <row r="20" spans="1:8" x14ac:dyDescent="0.3">
      <c r="A20" s="12">
        <v>43177</v>
      </c>
      <c r="B20" s="13">
        <v>0</v>
      </c>
      <c r="C20" s="13">
        <v>0</v>
      </c>
      <c r="D20" s="13">
        <v>22</v>
      </c>
      <c r="E20" s="14">
        <v>0.01</v>
      </c>
      <c r="F20" s="106">
        <v>0</v>
      </c>
      <c r="G20" s="13">
        <v>0</v>
      </c>
      <c r="H20" s="15">
        <v>4034.81</v>
      </c>
    </row>
    <row r="21" spans="1:8" x14ac:dyDescent="0.3">
      <c r="A21" s="12">
        <v>43178</v>
      </c>
      <c r="B21" s="13">
        <v>0</v>
      </c>
      <c r="C21" s="13">
        <v>0</v>
      </c>
      <c r="D21" s="13">
        <v>21</v>
      </c>
      <c r="E21" s="14">
        <v>0.01</v>
      </c>
      <c r="F21" s="14">
        <v>0</v>
      </c>
      <c r="G21" s="13">
        <v>0</v>
      </c>
      <c r="H21" s="15">
        <v>4034.82</v>
      </c>
    </row>
    <row r="22" spans="1:8" x14ac:dyDescent="0.3">
      <c r="A22" s="12">
        <v>43179</v>
      </c>
      <c r="B22" s="25">
        <v>0</v>
      </c>
      <c r="C22" s="25">
        <v>0</v>
      </c>
      <c r="D22" s="25">
        <v>18</v>
      </c>
      <c r="E22" s="26">
        <v>0</v>
      </c>
      <c r="F22" s="26">
        <v>0</v>
      </c>
      <c r="G22" s="25">
        <v>0</v>
      </c>
      <c r="H22" s="27">
        <v>4034.82</v>
      </c>
    </row>
    <row r="23" spans="1:8" x14ac:dyDescent="0.3">
      <c r="A23" s="12">
        <v>43180</v>
      </c>
      <c r="B23" s="25">
        <v>0</v>
      </c>
      <c r="C23" s="25">
        <v>0</v>
      </c>
      <c r="D23" s="25">
        <v>17</v>
      </c>
      <c r="E23" s="26">
        <v>0.02</v>
      </c>
      <c r="F23" s="26">
        <v>0</v>
      </c>
      <c r="G23" s="25">
        <v>0</v>
      </c>
      <c r="H23" s="27">
        <v>4034.84</v>
      </c>
    </row>
    <row r="24" spans="1:8" x14ac:dyDescent="0.3">
      <c r="A24" s="12">
        <v>43181</v>
      </c>
      <c r="B24" s="25">
        <v>0</v>
      </c>
      <c r="C24" s="25">
        <v>0</v>
      </c>
      <c r="D24" s="25">
        <v>17</v>
      </c>
      <c r="E24" s="26">
        <v>1.07</v>
      </c>
      <c r="F24" s="26">
        <v>1</v>
      </c>
      <c r="G24" s="25">
        <v>0</v>
      </c>
      <c r="H24" s="27">
        <v>4034.9</v>
      </c>
    </row>
    <row r="25" spans="1:8" x14ac:dyDescent="0.3">
      <c r="A25" s="12">
        <v>43182</v>
      </c>
      <c r="B25" s="25">
        <v>0</v>
      </c>
      <c r="C25" s="25">
        <v>0</v>
      </c>
      <c r="D25" s="25">
        <v>17</v>
      </c>
      <c r="E25" s="26" t="s">
        <v>43</v>
      </c>
      <c r="F25" s="26">
        <v>0</v>
      </c>
      <c r="G25" s="25">
        <v>0</v>
      </c>
      <c r="H25" s="27">
        <v>4034.91</v>
      </c>
    </row>
    <row r="26" spans="1:8" x14ac:dyDescent="0.3">
      <c r="A26" s="12">
        <v>43183</v>
      </c>
      <c r="B26" s="25">
        <v>0</v>
      </c>
      <c r="C26" s="25">
        <v>0</v>
      </c>
      <c r="D26" s="25">
        <v>18</v>
      </c>
      <c r="E26" s="26">
        <v>7.0000000000000007E-2</v>
      </c>
      <c r="F26" s="26">
        <v>1</v>
      </c>
      <c r="G26" s="25">
        <v>0</v>
      </c>
      <c r="H26" s="27">
        <v>4034.93</v>
      </c>
    </row>
    <row r="27" spans="1:8" x14ac:dyDescent="0.3">
      <c r="A27" s="12">
        <v>43184</v>
      </c>
      <c r="B27" s="25">
        <v>0</v>
      </c>
      <c r="C27" s="25">
        <v>0</v>
      </c>
      <c r="D27" s="25">
        <v>21</v>
      </c>
      <c r="E27" s="26">
        <v>0.05</v>
      </c>
      <c r="F27" s="26">
        <v>0</v>
      </c>
      <c r="G27" s="25">
        <v>0</v>
      </c>
      <c r="H27" s="27">
        <v>4034.97</v>
      </c>
    </row>
    <row r="28" spans="1:8" x14ac:dyDescent="0.3">
      <c r="A28" s="12">
        <v>43185</v>
      </c>
      <c r="B28" s="25">
        <v>0</v>
      </c>
      <c r="C28" s="25">
        <v>0</v>
      </c>
      <c r="D28" s="25">
        <v>22</v>
      </c>
      <c r="E28" s="26" t="s">
        <v>43</v>
      </c>
      <c r="F28" s="26">
        <v>0</v>
      </c>
      <c r="G28" s="25">
        <v>0</v>
      </c>
      <c r="H28" s="27">
        <v>4035</v>
      </c>
    </row>
    <row r="29" spans="1:8" x14ac:dyDescent="0.3">
      <c r="A29" s="12">
        <v>43186</v>
      </c>
      <c r="B29" s="25">
        <v>0</v>
      </c>
      <c r="C29" s="25">
        <v>0</v>
      </c>
      <c r="D29" s="25">
        <v>18</v>
      </c>
      <c r="E29" s="26">
        <v>0</v>
      </c>
      <c r="F29" s="26">
        <v>0</v>
      </c>
      <c r="G29" s="25">
        <v>0</v>
      </c>
      <c r="H29" s="27">
        <v>4035.02</v>
      </c>
    </row>
    <row r="30" spans="1:8" x14ac:dyDescent="0.3">
      <c r="A30" s="12">
        <v>43187</v>
      </c>
      <c r="B30" s="25">
        <v>0</v>
      </c>
      <c r="C30" s="25">
        <v>0</v>
      </c>
      <c r="D30" s="13">
        <v>18</v>
      </c>
      <c r="E30" s="26">
        <v>0</v>
      </c>
      <c r="F30" s="26">
        <v>0</v>
      </c>
      <c r="G30" s="25">
        <v>0</v>
      </c>
      <c r="H30" s="15">
        <v>4035.04</v>
      </c>
    </row>
    <row r="31" spans="1:8" x14ac:dyDescent="0.3">
      <c r="A31" s="12">
        <v>43188</v>
      </c>
      <c r="B31" s="25">
        <v>0</v>
      </c>
      <c r="C31" s="25">
        <v>0</v>
      </c>
      <c r="D31" s="13">
        <v>18</v>
      </c>
      <c r="E31" s="26">
        <v>0</v>
      </c>
      <c r="F31" s="26">
        <v>0</v>
      </c>
      <c r="G31" s="25">
        <v>0</v>
      </c>
      <c r="H31" s="15">
        <v>4035.04</v>
      </c>
    </row>
    <row r="32" spans="1:8" x14ac:dyDescent="0.3">
      <c r="A32" s="12">
        <v>43189</v>
      </c>
      <c r="B32" s="25">
        <v>0</v>
      </c>
      <c r="C32" s="25">
        <v>0</v>
      </c>
      <c r="D32" s="13">
        <v>16</v>
      </c>
      <c r="E32" s="26">
        <v>0</v>
      </c>
      <c r="F32" s="26">
        <v>0</v>
      </c>
      <c r="G32" s="25">
        <v>0</v>
      </c>
      <c r="H32" s="15">
        <v>4035.06</v>
      </c>
    </row>
    <row r="33" spans="1:15" ht="15" thickBot="1" x14ac:dyDescent="0.35">
      <c r="A33" s="12">
        <v>43190</v>
      </c>
      <c r="B33" s="25">
        <v>0</v>
      </c>
      <c r="C33" s="25">
        <v>0</v>
      </c>
      <c r="D33" s="13">
        <v>15</v>
      </c>
      <c r="E33" s="26">
        <v>0</v>
      </c>
      <c r="F33" s="26">
        <v>0</v>
      </c>
      <c r="G33" s="25">
        <v>0</v>
      </c>
      <c r="H33" s="15">
        <v>4035.06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0</v>
      </c>
      <c r="D34" s="17">
        <f t="shared" si="0"/>
        <v>337</v>
      </c>
      <c r="E34" s="18">
        <f t="shared" si="0"/>
        <v>2.3199999999999998</v>
      </c>
      <c r="F34" s="18">
        <f t="shared" si="0"/>
        <v>5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SUM(B34+'Feb 2018'!B33)</f>
        <v>979</v>
      </c>
      <c r="C35" s="20">
        <f>SUM(C34+'Feb 2018'!C33)</f>
        <v>3165</v>
      </c>
      <c r="D35" s="20">
        <f>SUM(D34+'Feb 2018'!D33)</f>
        <v>4197</v>
      </c>
      <c r="E35" s="21">
        <f>SUM(E34+'Feb 2018'!E33)</f>
        <v>6.6900000000000013</v>
      </c>
      <c r="F35" s="21">
        <f>SUM(F34+'Feb 2018'!F33)</f>
        <v>13.5</v>
      </c>
      <c r="G35" s="20">
        <f>SUM(G34+'Feb 2018'!G33)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0</v>
      </c>
      <c r="D37" s="23">
        <f>SUM(D3:D33)*1.9835</f>
        <v>668.43950000000007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SUM(B37+'Feb 2018'!B37)</f>
        <v>1941.8465000000001</v>
      </c>
      <c r="C39" s="23">
        <f>SUM(C37+'Feb 2018'!C37)</f>
        <v>6277.7775000000001</v>
      </c>
      <c r="D39" s="23">
        <f>SUM(D37+'Feb 2018'!D37)</f>
        <v>8324.7494999999999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56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43132</v>
      </c>
      <c r="B3" s="13">
        <v>0</v>
      </c>
      <c r="C3" s="13">
        <v>20</v>
      </c>
      <c r="D3" s="13">
        <v>0</v>
      </c>
      <c r="E3" s="14">
        <v>0.02</v>
      </c>
      <c r="F3" s="14">
        <v>0</v>
      </c>
      <c r="G3" s="13">
        <v>0</v>
      </c>
      <c r="H3" s="15">
        <v>4034.56</v>
      </c>
    </row>
    <row r="4" spans="1:9" x14ac:dyDescent="0.3">
      <c r="A4" s="12">
        <v>43133</v>
      </c>
      <c r="B4" s="13">
        <v>0</v>
      </c>
      <c r="C4" s="13">
        <v>20</v>
      </c>
      <c r="D4" s="13">
        <v>0</v>
      </c>
      <c r="E4" s="14">
        <v>0</v>
      </c>
      <c r="F4" s="14">
        <v>0</v>
      </c>
      <c r="G4" s="13">
        <v>0</v>
      </c>
      <c r="H4" s="15">
        <v>4034.56</v>
      </c>
    </row>
    <row r="5" spans="1:9" x14ac:dyDescent="0.3">
      <c r="A5" s="12">
        <v>43134</v>
      </c>
      <c r="B5" s="13">
        <v>0</v>
      </c>
      <c r="C5" s="13">
        <v>20</v>
      </c>
      <c r="D5" s="13">
        <v>0</v>
      </c>
      <c r="E5" s="14">
        <v>0</v>
      </c>
      <c r="F5" s="14">
        <v>0</v>
      </c>
      <c r="G5" s="13">
        <v>0</v>
      </c>
      <c r="H5" s="15">
        <v>4034.56</v>
      </c>
    </row>
    <row r="6" spans="1:9" x14ac:dyDescent="0.3">
      <c r="A6" s="12">
        <v>43135</v>
      </c>
      <c r="B6" s="13">
        <v>0</v>
      </c>
      <c r="C6" s="13">
        <v>20</v>
      </c>
      <c r="D6" s="13">
        <v>0</v>
      </c>
      <c r="E6" s="14">
        <v>0.01</v>
      </c>
      <c r="F6" s="14">
        <v>0</v>
      </c>
      <c r="G6" s="13">
        <v>0</v>
      </c>
      <c r="H6" s="15">
        <v>4034.56</v>
      </c>
    </row>
    <row r="7" spans="1:9" x14ac:dyDescent="0.3">
      <c r="A7" s="12">
        <v>43136</v>
      </c>
      <c r="B7" s="13">
        <v>0</v>
      </c>
      <c r="C7" s="13">
        <v>20</v>
      </c>
      <c r="D7" s="13">
        <v>0</v>
      </c>
      <c r="E7" s="14">
        <v>0</v>
      </c>
      <c r="F7" s="14">
        <v>0</v>
      </c>
      <c r="G7" s="13">
        <v>0</v>
      </c>
      <c r="H7" s="15">
        <v>4034.56</v>
      </c>
    </row>
    <row r="8" spans="1:9" x14ac:dyDescent="0.3">
      <c r="A8" s="12">
        <v>43137</v>
      </c>
      <c r="B8" s="13">
        <v>0</v>
      </c>
      <c r="C8" s="13">
        <v>20</v>
      </c>
      <c r="D8" s="13">
        <v>0</v>
      </c>
      <c r="E8" s="14">
        <v>0</v>
      </c>
      <c r="F8" s="14">
        <v>0</v>
      </c>
      <c r="G8" s="13">
        <v>0</v>
      </c>
      <c r="H8" s="15">
        <v>4034.57</v>
      </c>
    </row>
    <row r="9" spans="1:9" x14ac:dyDescent="0.3">
      <c r="A9" s="12">
        <v>43138</v>
      </c>
      <c r="B9" s="13">
        <v>0</v>
      </c>
      <c r="C9" s="13">
        <v>20</v>
      </c>
      <c r="D9" s="13">
        <v>0</v>
      </c>
      <c r="E9" s="14">
        <v>0</v>
      </c>
      <c r="F9" s="14">
        <v>0</v>
      </c>
      <c r="G9" s="13">
        <v>0</v>
      </c>
      <c r="H9" s="15">
        <v>4034.57</v>
      </c>
    </row>
    <row r="10" spans="1:9" x14ac:dyDescent="0.3">
      <c r="A10" s="12">
        <v>43139</v>
      </c>
      <c r="B10" s="13">
        <v>0</v>
      </c>
      <c r="C10" s="13">
        <v>20</v>
      </c>
      <c r="D10" s="13">
        <v>0</v>
      </c>
      <c r="E10" s="14">
        <v>0</v>
      </c>
      <c r="F10" s="14">
        <v>0</v>
      </c>
      <c r="G10" s="13">
        <v>0</v>
      </c>
      <c r="H10" s="15">
        <v>4034.58</v>
      </c>
    </row>
    <row r="11" spans="1:9" x14ac:dyDescent="0.3">
      <c r="A11" s="12">
        <v>43140</v>
      </c>
      <c r="B11" s="13">
        <v>0</v>
      </c>
      <c r="C11" s="13">
        <v>20</v>
      </c>
      <c r="D11" s="13">
        <v>0</v>
      </c>
      <c r="E11" s="14">
        <v>0</v>
      </c>
      <c r="F11" s="14">
        <v>0</v>
      </c>
      <c r="G11" s="13">
        <v>0</v>
      </c>
      <c r="H11" s="15">
        <v>4034.58</v>
      </c>
    </row>
    <row r="12" spans="1:9" x14ac:dyDescent="0.3">
      <c r="A12" s="12">
        <v>43141</v>
      </c>
      <c r="B12" s="13">
        <v>0</v>
      </c>
      <c r="C12" s="13">
        <v>20</v>
      </c>
      <c r="D12" s="13">
        <v>0</v>
      </c>
      <c r="E12" s="14">
        <v>0</v>
      </c>
      <c r="F12" s="14">
        <v>0</v>
      </c>
      <c r="G12" s="13">
        <v>0</v>
      </c>
      <c r="H12" s="15">
        <v>4034.58</v>
      </c>
    </row>
    <row r="13" spans="1:9" x14ac:dyDescent="0.3">
      <c r="A13" s="12">
        <v>43142</v>
      </c>
      <c r="B13" s="13">
        <v>0</v>
      </c>
      <c r="C13" s="13">
        <v>20</v>
      </c>
      <c r="D13" s="13">
        <v>0</v>
      </c>
      <c r="E13" s="106" t="s">
        <v>43</v>
      </c>
      <c r="F13" s="106" t="s">
        <v>43</v>
      </c>
      <c r="G13" s="13">
        <v>0</v>
      </c>
      <c r="H13" s="15">
        <v>4034.58</v>
      </c>
    </row>
    <row r="14" spans="1:9" x14ac:dyDescent="0.3">
      <c r="A14" s="12">
        <v>43143</v>
      </c>
      <c r="B14" s="13">
        <v>0</v>
      </c>
      <c r="C14" s="13">
        <v>20</v>
      </c>
      <c r="D14" s="13">
        <v>0</v>
      </c>
      <c r="E14" s="106" t="s">
        <v>43</v>
      </c>
      <c r="F14" s="106" t="s">
        <v>43</v>
      </c>
      <c r="G14" s="13">
        <v>0</v>
      </c>
      <c r="H14" s="15">
        <v>4034.57</v>
      </c>
    </row>
    <row r="15" spans="1:9" x14ac:dyDescent="0.3">
      <c r="A15" s="12">
        <v>43144</v>
      </c>
      <c r="B15" s="13">
        <v>0</v>
      </c>
      <c r="C15" s="13">
        <v>20</v>
      </c>
      <c r="D15" s="13">
        <v>0</v>
      </c>
      <c r="E15" s="26">
        <v>0</v>
      </c>
      <c r="F15" s="26">
        <v>0</v>
      </c>
      <c r="G15" s="13">
        <v>0</v>
      </c>
      <c r="H15" s="27">
        <v>4034.57</v>
      </c>
    </row>
    <row r="16" spans="1:9" x14ac:dyDescent="0.3">
      <c r="A16" s="12">
        <v>43145</v>
      </c>
      <c r="B16" s="13">
        <v>0</v>
      </c>
      <c r="C16" s="13">
        <v>20</v>
      </c>
      <c r="D16" s="13">
        <v>0</v>
      </c>
      <c r="E16" s="26">
        <v>0</v>
      </c>
      <c r="F16" s="26">
        <v>0</v>
      </c>
      <c r="G16" s="13">
        <v>0</v>
      </c>
      <c r="H16" s="27">
        <v>4034.57</v>
      </c>
    </row>
    <row r="17" spans="1:9" x14ac:dyDescent="0.3">
      <c r="A17" s="12">
        <v>43146</v>
      </c>
      <c r="B17" s="13">
        <v>0</v>
      </c>
      <c r="C17" s="13">
        <v>20</v>
      </c>
      <c r="D17" s="13">
        <v>0</v>
      </c>
      <c r="E17" s="26">
        <v>0</v>
      </c>
      <c r="F17" s="26">
        <v>0</v>
      </c>
      <c r="G17" s="13">
        <v>0</v>
      </c>
      <c r="H17" s="27">
        <v>4034.56</v>
      </c>
    </row>
    <row r="18" spans="1:9" x14ac:dyDescent="0.3">
      <c r="A18" s="12">
        <v>43147</v>
      </c>
      <c r="B18" s="13">
        <v>0</v>
      </c>
      <c r="C18" s="13">
        <v>20</v>
      </c>
      <c r="D18" s="13">
        <v>0</v>
      </c>
      <c r="E18" s="26">
        <v>0</v>
      </c>
      <c r="F18" s="26">
        <v>0</v>
      </c>
      <c r="G18" s="13">
        <v>0</v>
      </c>
      <c r="H18" s="27">
        <v>4034.56</v>
      </c>
    </row>
    <row r="19" spans="1:9" x14ac:dyDescent="0.3">
      <c r="A19" s="12">
        <v>43148</v>
      </c>
      <c r="B19" s="13">
        <v>0</v>
      </c>
      <c r="C19" s="13">
        <v>20</v>
      </c>
      <c r="D19" s="13">
        <v>0</v>
      </c>
      <c r="E19" s="26" t="s">
        <v>43</v>
      </c>
      <c r="F19" s="26">
        <v>0</v>
      </c>
      <c r="G19" s="13">
        <v>0</v>
      </c>
      <c r="H19" s="27">
        <v>4034.56</v>
      </c>
    </row>
    <row r="20" spans="1:9" x14ac:dyDescent="0.3">
      <c r="A20" s="12">
        <v>43149</v>
      </c>
      <c r="B20" s="13">
        <v>0</v>
      </c>
      <c r="C20" s="13">
        <v>20</v>
      </c>
      <c r="D20" s="13">
        <v>0</v>
      </c>
      <c r="E20" s="26">
        <v>0.02</v>
      </c>
      <c r="F20" s="26" t="s">
        <v>43</v>
      </c>
      <c r="G20" s="13">
        <v>0</v>
      </c>
      <c r="H20" s="27">
        <v>4034.55</v>
      </c>
    </row>
    <row r="21" spans="1:9" x14ac:dyDescent="0.3">
      <c r="A21" s="12">
        <v>43150</v>
      </c>
      <c r="B21" s="13">
        <v>0</v>
      </c>
      <c r="C21" s="13">
        <v>20</v>
      </c>
      <c r="D21" s="13">
        <v>0</v>
      </c>
      <c r="E21" s="26">
        <v>0.02</v>
      </c>
      <c r="F21" s="26">
        <v>1</v>
      </c>
      <c r="G21" s="13">
        <v>0</v>
      </c>
      <c r="H21" s="27">
        <v>4034.55</v>
      </c>
    </row>
    <row r="22" spans="1:9" x14ac:dyDescent="0.3">
      <c r="A22" s="12">
        <v>43151</v>
      </c>
      <c r="B22" s="13">
        <v>0</v>
      </c>
      <c r="C22" s="13">
        <v>20</v>
      </c>
      <c r="D22" s="13">
        <v>0</v>
      </c>
      <c r="E22" s="26">
        <v>0.01</v>
      </c>
      <c r="F22" s="26">
        <v>0</v>
      </c>
      <c r="G22" s="13">
        <v>0</v>
      </c>
      <c r="H22" s="27">
        <v>4034.55</v>
      </c>
    </row>
    <row r="23" spans="1:9" x14ac:dyDescent="0.3">
      <c r="A23" s="12">
        <v>43152</v>
      </c>
      <c r="B23" s="13">
        <v>0</v>
      </c>
      <c r="C23" s="13">
        <v>20</v>
      </c>
      <c r="D23" s="13">
        <v>0</v>
      </c>
      <c r="E23" s="26">
        <v>0</v>
      </c>
      <c r="F23" s="26">
        <v>0</v>
      </c>
      <c r="G23" s="13">
        <v>0</v>
      </c>
      <c r="H23" s="27">
        <v>4034.56</v>
      </c>
    </row>
    <row r="24" spans="1:9" x14ac:dyDescent="0.3">
      <c r="A24" s="12">
        <v>43153</v>
      </c>
      <c r="B24" s="13">
        <v>0</v>
      </c>
      <c r="C24" s="13">
        <v>20</v>
      </c>
      <c r="D24" s="13">
        <v>0</v>
      </c>
      <c r="E24" s="26">
        <v>7.0000000000000007E-2</v>
      </c>
      <c r="F24" s="26">
        <v>1</v>
      </c>
      <c r="G24" s="13">
        <v>0</v>
      </c>
      <c r="H24" s="27">
        <v>4034.56</v>
      </c>
    </row>
    <row r="25" spans="1:9" x14ac:dyDescent="0.3">
      <c r="A25" s="12">
        <v>43154</v>
      </c>
      <c r="B25" s="13">
        <v>0</v>
      </c>
      <c r="C25" s="13">
        <v>20</v>
      </c>
      <c r="D25" s="13">
        <v>0</v>
      </c>
      <c r="E25" s="26">
        <v>0</v>
      </c>
      <c r="F25" s="26">
        <v>0</v>
      </c>
      <c r="G25" s="13">
        <v>0</v>
      </c>
      <c r="H25" s="27">
        <v>4034.56</v>
      </c>
    </row>
    <row r="26" spans="1:9" x14ac:dyDescent="0.3">
      <c r="A26" s="12">
        <v>43155</v>
      </c>
      <c r="B26" s="13">
        <v>0</v>
      </c>
      <c r="C26" s="13">
        <v>20</v>
      </c>
      <c r="D26" s="13">
        <v>0</v>
      </c>
      <c r="E26" s="26">
        <v>0.05</v>
      </c>
      <c r="F26" s="26" t="s">
        <v>43</v>
      </c>
      <c r="G26" s="13">
        <v>0</v>
      </c>
      <c r="H26" s="27">
        <v>4034.57</v>
      </c>
    </row>
    <row r="27" spans="1:9" x14ac:dyDescent="0.3">
      <c r="A27" s="12">
        <v>43156</v>
      </c>
      <c r="B27" s="13">
        <v>0</v>
      </c>
      <c r="C27" s="13">
        <v>20</v>
      </c>
      <c r="D27" s="13">
        <v>0</v>
      </c>
      <c r="E27" s="26">
        <v>0.01</v>
      </c>
      <c r="F27" s="26">
        <v>0</v>
      </c>
      <c r="G27" s="13">
        <v>0</v>
      </c>
      <c r="H27" s="27">
        <v>4034.57</v>
      </c>
    </row>
    <row r="28" spans="1:9" x14ac:dyDescent="0.3">
      <c r="A28" s="12">
        <v>43157</v>
      </c>
      <c r="B28" s="13">
        <v>0</v>
      </c>
      <c r="C28" s="25">
        <v>20</v>
      </c>
      <c r="D28" s="13">
        <v>0</v>
      </c>
      <c r="E28" s="26">
        <v>0.12</v>
      </c>
      <c r="F28" s="26">
        <v>3</v>
      </c>
      <c r="G28" s="13">
        <v>0</v>
      </c>
      <c r="H28" s="27">
        <v>4034.57</v>
      </c>
    </row>
    <row r="29" spans="1:9" x14ac:dyDescent="0.3">
      <c r="A29" s="12">
        <v>43158</v>
      </c>
      <c r="B29" s="13">
        <v>0</v>
      </c>
      <c r="C29" s="25">
        <v>13</v>
      </c>
      <c r="D29" s="13">
        <v>0</v>
      </c>
      <c r="E29" s="26" t="s">
        <v>43</v>
      </c>
      <c r="F29" s="26">
        <v>0</v>
      </c>
      <c r="G29" s="13">
        <v>0</v>
      </c>
      <c r="H29" s="27">
        <v>4034.58</v>
      </c>
    </row>
    <row r="30" spans="1:9" x14ac:dyDescent="0.3">
      <c r="A30" s="12">
        <v>43159</v>
      </c>
      <c r="B30" s="13">
        <v>0</v>
      </c>
      <c r="C30" s="25">
        <v>0</v>
      </c>
      <c r="D30" s="13">
        <v>0</v>
      </c>
      <c r="E30" s="26" t="s">
        <v>43</v>
      </c>
      <c r="F30" s="26">
        <v>0</v>
      </c>
      <c r="G30" s="13">
        <v>0</v>
      </c>
      <c r="H30" s="27">
        <v>4034.58</v>
      </c>
    </row>
    <row r="31" spans="1:9" ht="15" thickBot="1" x14ac:dyDescent="0.35">
      <c r="A31" s="12">
        <v>43160</v>
      </c>
      <c r="B31" s="13"/>
      <c r="C31" s="105" t="s">
        <v>27</v>
      </c>
      <c r="D31" s="13"/>
      <c r="E31" s="14"/>
      <c r="F31" s="14"/>
      <c r="G31" s="13"/>
      <c r="H31" s="27"/>
    </row>
    <row r="32" spans="1:9" s="11" customFormat="1" ht="15" thickTop="1" x14ac:dyDescent="0.3">
      <c r="A32" s="16" t="s">
        <v>8</v>
      </c>
      <c r="B32" s="17">
        <f t="shared" ref="B32:G32" si="0">SUM(B3:B31)</f>
        <v>0</v>
      </c>
      <c r="C32" s="17">
        <f t="shared" si="0"/>
        <v>533</v>
      </c>
      <c r="D32" s="17">
        <f t="shared" si="0"/>
        <v>0</v>
      </c>
      <c r="E32" s="18">
        <f t="shared" si="0"/>
        <v>0.33</v>
      </c>
      <c r="F32" s="18">
        <f t="shared" si="0"/>
        <v>5</v>
      </c>
      <c r="G32" s="17">
        <f t="shared" si="0"/>
        <v>0</v>
      </c>
      <c r="H32" s="18"/>
      <c r="I32"/>
    </row>
    <row r="33" spans="1:15" s="11" customFormat="1" x14ac:dyDescent="0.3">
      <c r="A33" s="19" t="s">
        <v>9</v>
      </c>
      <c r="B33" s="20">
        <f>SUM(B32+'Jan 2018'!B35)</f>
        <v>979</v>
      </c>
      <c r="C33" s="20">
        <f>SUM(C32+'Jan 2018'!C35)</f>
        <v>3165</v>
      </c>
      <c r="D33" s="20">
        <f>SUM(D32+'Jan 2018'!D35)</f>
        <v>3860</v>
      </c>
      <c r="E33" s="21">
        <f>SUM(E32+'Jan 2018'!E35)</f>
        <v>4.370000000000001</v>
      </c>
      <c r="F33" s="21">
        <f>SUM(F32+'Jan 2018'!F35)</f>
        <v>8.5</v>
      </c>
      <c r="G33" s="20">
        <f>SUM(G32+'Jan 2018'!G35)</f>
        <v>12412</v>
      </c>
      <c r="H33" s="21"/>
      <c r="I33"/>
    </row>
    <row r="35" spans="1:15" x14ac:dyDescent="0.3">
      <c r="A35" t="s">
        <v>10</v>
      </c>
      <c r="B35" s="23">
        <f>SUM(B3:B31)*1.9835</f>
        <v>0</v>
      </c>
      <c r="C35" s="23">
        <f>SUM(C3:C31)*1.9835</f>
        <v>1057.2055</v>
      </c>
      <c r="D35" s="23">
        <f>SUM(D3:D31)*1.9835</f>
        <v>0</v>
      </c>
      <c r="E35" s="23"/>
      <c r="F35" s="23"/>
      <c r="G35" s="23"/>
      <c r="I35" s="22"/>
    </row>
    <row r="37" spans="1:15" x14ac:dyDescent="0.3">
      <c r="A37" t="s">
        <v>24</v>
      </c>
      <c r="B37" s="23">
        <f>SUM(B35+'Jan 2018'!B39)</f>
        <v>1941.8465000000001</v>
      </c>
      <c r="C37" s="23">
        <f>SUM(C35+'Jan 2018'!C39)</f>
        <v>6277.7775000000001</v>
      </c>
      <c r="D37" s="23">
        <f>SUM(D35+'Jan 2018'!D39)</f>
        <v>7656.3099999999995</v>
      </c>
      <c r="E37" s="23"/>
      <c r="F37" s="23"/>
      <c r="G37" s="23"/>
      <c r="I37" s="22"/>
    </row>
    <row r="38" spans="1:15" x14ac:dyDescent="0.3">
      <c r="B38" s="23"/>
      <c r="C38" s="23"/>
      <c r="D38" s="24"/>
      <c r="E38" s="23"/>
      <c r="F38" s="23"/>
      <c r="G38" s="23"/>
      <c r="I38" s="22"/>
    </row>
    <row r="39" spans="1:15" ht="17.399999999999999" customHeight="1" x14ac:dyDescent="0.3">
      <c r="A39" s="125"/>
      <c r="B39" s="125"/>
      <c r="C39" s="125"/>
      <c r="D39" s="125"/>
      <c r="E39" s="125"/>
      <c r="F39" s="126"/>
      <c r="G39" s="127" t="s">
        <v>12</v>
      </c>
      <c r="H39" s="128"/>
      <c r="I39" s="30"/>
      <c r="J39" s="30"/>
      <c r="K39" s="30"/>
      <c r="L39" s="30"/>
      <c r="M39" s="30"/>
      <c r="N39" s="31"/>
      <c r="O39" s="30"/>
    </row>
    <row r="40" spans="1:15" ht="16.95" customHeight="1" x14ac:dyDescent="0.3">
      <c r="A40" s="29"/>
      <c r="B40" s="29"/>
      <c r="C40" s="29"/>
      <c r="D40" s="29"/>
      <c r="E40" s="29"/>
      <c r="F40" s="29"/>
      <c r="G40" s="127"/>
      <c r="H40" s="128"/>
      <c r="I40" s="30"/>
      <c r="J40" s="30"/>
      <c r="K40" s="30"/>
      <c r="L40" s="30"/>
      <c r="M40" s="30"/>
      <c r="N40" s="31"/>
      <c r="O40" s="30"/>
    </row>
    <row r="41" spans="1:15" ht="13.95" customHeight="1" x14ac:dyDescent="0.3">
      <c r="A41" s="130" t="s">
        <v>23</v>
      </c>
      <c r="B41" s="130"/>
      <c r="C41" s="130"/>
      <c r="D41" s="130"/>
      <c r="E41" s="130"/>
      <c r="F41" s="130"/>
      <c r="G41" s="130"/>
      <c r="H41" s="130"/>
      <c r="I41" s="130"/>
      <c r="J41" s="130"/>
      <c r="K41" s="32"/>
      <c r="L41" s="32"/>
      <c r="M41" s="32"/>
      <c r="N41" s="33"/>
      <c r="O41" s="34"/>
    </row>
    <row r="42" spans="1:15" ht="15.6" customHeight="1" x14ac:dyDescent="0.3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x14ac:dyDescent="0.3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2" customHeight="1" x14ac:dyDescent="0.3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" thickBot="1" x14ac:dyDescent="0.35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5.8" x14ac:dyDescent="0.3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6" x14ac:dyDescent="0.3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3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3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3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" thickBot="1" x14ac:dyDescent="0.35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3">
      <c r="A56" s="131" t="s">
        <v>21</v>
      </c>
      <c r="B56" s="132"/>
      <c r="C56" s="133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58"/>
  <sheetViews>
    <sheetView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43101</v>
      </c>
      <c r="B3" s="25">
        <v>0</v>
      </c>
      <c r="C3" s="25">
        <v>20</v>
      </c>
      <c r="D3" s="25">
        <v>0</v>
      </c>
      <c r="E3" s="26">
        <v>0.01</v>
      </c>
      <c r="F3" s="26">
        <v>0</v>
      </c>
      <c r="G3" s="25">
        <v>0</v>
      </c>
      <c r="H3" s="27">
        <v>4034.38</v>
      </c>
    </row>
    <row r="4" spans="1:9" x14ac:dyDescent="0.3">
      <c r="A4" s="12">
        <v>43102</v>
      </c>
      <c r="B4" s="25">
        <v>0</v>
      </c>
      <c r="C4" s="25">
        <v>20</v>
      </c>
      <c r="D4" s="25">
        <v>0</v>
      </c>
      <c r="E4" s="26">
        <v>0</v>
      </c>
      <c r="F4" s="26">
        <v>0</v>
      </c>
      <c r="G4" s="25">
        <v>0</v>
      </c>
      <c r="H4" s="27">
        <v>4034.4</v>
      </c>
    </row>
    <row r="5" spans="1:9" x14ac:dyDescent="0.3">
      <c r="A5" s="12">
        <v>43103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4034.4</v>
      </c>
    </row>
    <row r="6" spans="1:9" x14ac:dyDescent="0.3">
      <c r="A6" s="12">
        <v>43104</v>
      </c>
      <c r="B6" s="25">
        <v>0</v>
      </c>
      <c r="C6" s="25">
        <v>20</v>
      </c>
      <c r="D6" s="25">
        <v>0</v>
      </c>
      <c r="E6" s="26">
        <v>0.03</v>
      </c>
      <c r="F6" s="26">
        <v>0</v>
      </c>
      <c r="G6" s="25">
        <v>0</v>
      </c>
      <c r="H6" s="27">
        <v>4034.4</v>
      </c>
    </row>
    <row r="7" spans="1:9" x14ac:dyDescent="0.3">
      <c r="A7" s="12">
        <v>43105</v>
      </c>
      <c r="B7" s="25">
        <v>0</v>
      </c>
      <c r="C7" s="25">
        <v>20</v>
      </c>
      <c r="D7" s="25">
        <v>0</v>
      </c>
      <c r="E7" s="26">
        <v>0</v>
      </c>
      <c r="F7" s="26">
        <v>0</v>
      </c>
      <c r="G7" s="25">
        <v>0</v>
      </c>
      <c r="H7" s="27">
        <v>4034.42</v>
      </c>
    </row>
    <row r="8" spans="1:9" x14ac:dyDescent="0.3">
      <c r="A8" s="12">
        <v>43106</v>
      </c>
      <c r="B8" s="25">
        <v>0</v>
      </c>
      <c r="C8" s="25">
        <v>20</v>
      </c>
      <c r="D8" s="25">
        <v>0</v>
      </c>
      <c r="E8" s="106" t="s">
        <v>43</v>
      </c>
      <c r="F8" s="26">
        <v>0</v>
      </c>
      <c r="G8" s="25">
        <v>0</v>
      </c>
      <c r="H8" s="27">
        <v>4034.42</v>
      </c>
    </row>
    <row r="9" spans="1:9" x14ac:dyDescent="0.3">
      <c r="A9" s="12">
        <v>43107</v>
      </c>
      <c r="B9" s="25">
        <v>0</v>
      </c>
      <c r="C9" s="111">
        <v>20</v>
      </c>
      <c r="D9" s="25">
        <v>0</v>
      </c>
      <c r="E9" s="14">
        <v>0.01</v>
      </c>
      <c r="F9" s="26">
        <v>0</v>
      </c>
      <c r="G9" s="25">
        <v>0</v>
      </c>
      <c r="H9" s="27">
        <v>4034.42</v>
      </c>
    </row>
    <row r="10" spans="1:9" x14ac:dyDescent="0.3">
      <c r="A10" s="12">
        <v>43108</v>
      </c>
      <c r="B10" s="25">
        <v>0</v>
      </c>
      <c r="C10" s="112">
        <v>20</v>
      </c>
      <c r="D10" s="25">
        <v>0</v>
      </c>
      <c r="E10" s="14">
        <v>0.04</v>
      </c>
      <c r="F10" s="26">
        <v>0</v>
      </c>
      <c r="G10" s="25">
        <v>0</v>
      </c>
      <c r="H10" s="27">
        <v>4034.42</v>
      </c>
    </row>
    <row r="11" spans="1:9" x14ac:dyDescent="0.3">
      <c r="A11" s="12">
        <v>43109</v>
      </c>
      <c r="B11" s="25">
        <v>0</v>
      </c>
      <c r="C11" s="112">
        <v>20</v>
      </c>
      <c r="D11" s="25">
        <v>0</v>
      </c>
      <c r="E11" s="14">
        <v>0.02</v>
      </c>
      <c r="F11" s="26">
        <v>0</v>
      </c>
      <c r="G11" s="25">
        <v>0</v>
      </c>
      <c r="H11" s="27">
        <v>4034.43</v>
      </c>
    </row>
    <row r="12" spans="1:9" x14ac:dyDescent="0.3">
      <c r="A12" s="12">
        <v>43110</v>
      </c>
      <c r="B12" s="25">
        <v>0</v>
      </c>
      <c r="C12" s="112">
        <v>20</v>
      </c>
      <c r="D12" s="25">
        <v>0</v>
      </c>
      <c r="E12" s="14">
        <v>0.05</v>
      </c>
      <c r="F12" s="26">
        <v>0.5</v>
      </c>
      <c r="G12" s="25">
        <v>0</v>
      </c>
      <c r="H12" s="27">
        <v>4034.43</v>
      </c>
    </row>
    <row r="13" spans="1:9" x14ac:dyDescent="0.3">
      <c r="A13" s="12">
        <v>43111</v>
      </c>
      <c r="B13" s="25">
        <v>0</v>
      </c>
      <c r="C13" s="112">
        <v>20</v>
      </c>
      <c r="D13" s="25">
        <v>0</v>
      </c>
      <c r="E13" s="14">
        <v>0</v>
      </c>
      <c r="F13" s="109">
        <v>0</v>
      </c>
      <c r="G13" s="25">
        <v>0</v>
      </c>
      <c r="H13" s="27">
        <v>4034.43</v>
      </c>
    </row>
    <row r="14" spans="1:9" x14ac:dyDescent="0.3">
      <c r="A14" s="12">
        <v>43112</v>
      </c>
      <c r="B14" s="25">
        <v>0</v>
      </c>
      <c r="C14" s="112">
        <v>20</v>
      </c>
      <c r="D14" s="25">
        <v>0</v>
      </c>
      <c r="E14" s="14">
        <v>0.01</v>
      </c>
      <c r="F14" s="109">
        <v>0</v>
      </c>
      <c r="G14" s="25">
        <v>0</v>
      </c>
      <c r="H14" s="27">
        <v>4034.43</v>
      </c>
    </row>
    <row r="15" spans="1:9" x14ac:dyDescent="0.3">
      <c r="A15" s="12">
        <v>43113</v>
      </c>
      <c r="B15" s="25">
        <v>0</v>
      </c>
      <c r="C15" s="110">
        <v>20</v>
      </c>
      <c r="D15" s="25">
        <v>0</v>
      </c>
      <c r="E15" s="14">
        <v>0</v>
      </c>
      <c r="F15" s="109">
        <v>0</v>
      </c>
      <c r="G15" s="25">
        <v>0</v>
      </c>
      <c r="H15" s="27">
        <v>4034.44</v>
      </c>
    </row>
    <row r="16" spans="1:9" x14ac:dyDescent="0.3">
      <c r="A16" s="12">
        <v>43114</v>
      </c>
      <c r="B16" s="25">
        <v>0</v>
      </c>
      <c r="C16" s="25">
        <v>20</v>
      </c>
      <c r="D16" s="25">
        <v>0</v>
      </c>
      <c r="E16" s="14">
        <v>0</v>
      </c>
      <c r="F16" s="26">
        <v>0</v>
      </c>
      <c r="G16" s="25">
        <v>0</v>
      </c>
      <c r="H16" s="27">
        <v>4034.44</v>
      </c>
    </row>
    <row r="17" spans="1:8" x14ac:dyDescent="0.3">
      <c r="A17" s="12">
        <v>43115</v>
      </c>
      <c r="B17" s="25">
        <v>0</v>
      </c>
      <c r="C17" s="25">
        <v>20</v>
      </c>
      <c r="D17" s="25">
        <v>0</v>
      </c>
      <c r="E17" s="14">
        <v>0</v>
      </c>
      <c r="F17" s="26">
        <v>0</v>
      </c>
      <c r="G17" s="25">
        <v>0</v>
      </c>
      <c r="H17" s="27">
        <v>4034.44</v>
      </c>
    </row>
    <row r="18" spans="1:8" x14ac:dyDescent="0.3">
      <c r="A18" s="12">
        <v>43116</v>
      </c>
      <c r="B18" s="25">
        <v>0</v>
      </c>
      <c r="C18" s="25">
        <v>20</v>
      </c>
      <c r="D18" s="25">
        <v>0</v>
      </c>
      <c r="E18" s="14">
        <v>0.01</v>
      </c>
      <c r="F18" s="26">
        <v>0</v>
      </c>
      <c r="G18" s="25">
        <v>0</v>
      </c>
      <c r="H18" s="15">
        <v>4034.44</v>
      </c>
    </row>
    <row r="19" spans="1:8" x14ac:dyDescent="0.3">
      <c r="A19" s="12">
        <v>43117</v>
      </c>
      <c r="B19" s="25">
        <v>0</v>
      </c>
      <c r="C19" s="25">
        <v>20</v>
      </c>
      <c r="D19" s="25">
        <v>0</v>
      </c>
      <c r="E19" s="14">
        <v>0.02</v>
      </c>
      <c r="F19" s="26">
        <v>0</v>
      </c>
      <c r="G19" s="25">
        <v>0</v>
      </c>
      <c r="H19" s="15">
        <v>4034.46</v>
      </c>
    </row>
    <row r="20" spans="1:8" x14ac:dyDescent="0.3">
      <c r="A20" s="12">
        <v>43118</v>
      </c>
      <c r="B20" s="25">
        <v>0</v>
      </c>
      <c r="C20" s="25">
        <v>20</v>
      </c>
      <c r="D20" s="25">
        <v>0</v>
      </c>
      <c r="E20" s="14">
        <v>0.44</v>
      </c>
      <c r="F20" s="26">
        <v>0</v>
      </c>
      <c r="G20" s="25">
        <v>0</v>
      </c>
      <c r="H20" s="15">
        <v>4034.46</v>
      </c>
    </row>
    <row r="21" spans="1:8" x14ac:dyDescent="0.3">
      <c r="A21" s="12">
        <v>43119</v>
      </c>
      <c r="B21" s="25">
        <v>0</v>
      </c>
      <c r="C21" s="25">
        <v>20</v>
      </c>
      <c r="D21" s="25">
        <v>0</v>
      </c>
      <c r="E21" s="14">
        <v>0.15</v>
      </c>
      <c r="F21" s="26">
        <v>0</v>
      </c>
      <c r="G21" s="25">
        <v>0</v>
      </c>
      <c r="H21" s="15">
        <v>4034.5</v>
      </c>
    </row>
    <row r="22" spans="1:8" x14ac:dyDescent="0.3">
      <c r="A22" s="12">
        <v>43120</v>
      </c>
      <c r="B22" s="25">
        <v>0</v>
      </c>
      <c r="C22" s="25">
        <v>20</v>
      </c>
      <c r="D22" s="25">
        <v>0</v>
      </c>
      <c r="E22" s="106" t="s">
        <v>43</v>
      </c>
      <c r="F22" s="26">
        <v>0</v>
      </c>
      <c r="G22" s="25">
        <v>0</v>
      </c>
      <c r="H22" s="15">
        <v>4034.5</v>
      </c>
    </row>
    <row r="23" spans="1:8" x14ac:dyDescent="0.3">
      <c r="A23" s="12">
        <v>43121</v>
      </c>
      <c r="B23" s="25">
        <v>0</v>
      </c>
      <c r="C23" s="13">
        <v>20</v>
      </c>
      <c r="D23" s="25">
        <v>0</v>
      </c>
      <c r="E23" s="14">
        <v>0</v>
      </c>
      <c r="F23" s="14">
        <v>0</v>
      </c>
      <c r="G23" s="25">
        <v>0</v>
      </c>
      <c r="H23" s="15">
        <v>4034.52</v>
      </c>
    </row>
    <row r="24" spans="1:8" x14ac:dyDescent="0.3">
      <c r="A24" s="12">
        <v>43122</v>
      </c>
      <c r="B24" s="25">
        <v>0</v>
      </c>
      <c r="C24" s="13">
        <v>20</v>
      </c>
      <c r="D24" s="25">
        <v>0</v>
      </c>
      <c r="E24" s="14">
        <v>0</v>
      </c>
      <c r="F24" s="14">
        <v>0</v>
      </c>
      <c r="G24" s="25">
        <v>0</v>
      </c>
      <c r="H24" s="15">
        <v>4034.52</v>
      </c>
    </row>
    <row r="25" spans="1:8" x14ac:dyDescent="0.3">
      <c r="A25" s="12">
        <v>43123</v>
      </c>
      <c r="B25" s="25">
        <v>0</v>
      </c>
      <c r="C25" s="13">
        <v>20</v>
      </c>
      <c r="D25" s="25">
        <v>0</v>
      </c>
      <c r="E25" s="106" t="s">
        <v>43</v>
      </c>
      <c r="F25" s="14">
        <v>0</v>
      </c>
      <c r="G25" s="25">
        <v>0</v>
      </c>
      <c r="H25" s="15">
        <v>4034.53</v>
      </c>
    </row>
    <row r="26" spans="1:8" x14ac:dyDescent="0.3">
      <c r="A26" s="12">
        <v>43124</v>
      </c>
      <c r="B26" s="25">
        <v>0</v>
      </c>
      <c r="C26" s="13">
        <v>20</v>
      </c>
      <c r="D26" s="25">
        <v>0</v>
      </c>
      <c r="E26" s="14">
        <v>0</v>
      </c>
      <c r="F26" s="14">
        <v>0</v>
      </c>
      <c r="G26" s="25">
        <v>0</v>
      </c>
      <c r="H26" s="15">
        <v>4034.53</v>
      </c>
    </row>
    <row r="27" spans="1:8" x14ac:dyDescent="0.3">
      <c r="A27" s="12">
        <v>43125</v>
      </c>
      <c r="B27" s="25">
        <v>0</v>
      </c>
      <c r="C27" s="13">
        <v>20</v>
      </c>
      <c r="D27" s="25">
        <v>0</v>
      </c>
      <c r="E27" s="14">
        <v>0.01</v>
      </c>
      <c r="F27" s="14">
        <v>0</v>
      </c>
      <c r="G27" s="25">
        <v>0</v>
      </c>
      <c r="H27" s="15">
        <v>4034.53</v>
      </c>
    </row>
    <row r="28" spans="1:8" x14ac:dyDescent="0.3">
      <c r="A28" s="12">
        <v>43126</v>
      </c>
      <c r="B28" s="25">
        <v>0</v>
      </c>
      <c r="C28" s="13">
        <v>20</v>
      </c>
      <c r="D28" s="25">
        <v>0</v>
      </c>
      <c r="E28" s="106" t="s">
        <v>43</v>
      </c>
      <c r="F28" s="106" t="s">
        <v>43</v>
      </c>
      <c r="G28" s="25">
        <v>0</v>
      </c>
      <c r="H28" s="15">
        <v>4034.54</v>
      </c>
    </row>
    <row r="29" spans="1:8" x14ac:dyDescent="0.3">
      <c r="A29" s="12">
        <v>43127</v>
      </c>
      <c r="B29" s="25">
        <v>0</v>
      </c>
      <c r="C29" s="13">
        <v>20</v>
      </c>
      <c r="D29" s="25">
        <v>0</v>
      </c>
      <c r="E29" s="14">
        <v>0.04</v>
      </c>
      <c r="F29" s="14">
        <v>0.5</v>
      </c>
      <c r="G29" s="25">
        <v>0</v>
      </c>
      <c r="H29" s="15">
        <v>4034.54</v>
      </c>
    </row>
    <row r="30" spans="1:8" x14ac:dyDescent="0.3">
      <c r="A30" s="12">
        <v>43128</v>
      </c>
      <c r="B30" s="25">
        <v>0</v>
      </c>
      <c r="C30" s="13">
        <v>20</v>
      </c>
      <c r="D30" s="25">
        <v>0</v>
      </c>
      <c r="E30" s="14">
        <v>0</v>
      </c>
      <c r="F30" s="14">
        <v>0</v>
      </c>
      <c r="G30" s="25">
        <v>0</v>
      </c>
      <c r="H30" s="15">
        <v>4034.55</v>
      </c>
    </row>
    <row r="31" spans="1:8" x14ac:dyDescent="0.3">
      <c r="A31" s="12">
        <v>43129</v>
      </c>
      <c r="B31" s="25">
        <v>0</v>
      </c>
      <c r="C31" s="13">
        <v>20</v>
      </c>
      <c r="D31" s="25">
        <v>0</v>
      </c>
      <c r="E31" s="14">
        <v>0</v>
      </c>
      <c r="F31" s="14">
        <v>0</v>
      </c>
      <c r="G31" s="25">
        <v>0</v>
      </c>
      <c r="H31" s="15">
        <v>4034.56</v>
      </c>
    </row>
    <row r="32" spans="1:8" x14ac:dyDescent="0.3">
      <c r="A32" s="12">
        <v>43130</v>
      </c>
      <c r="B32" s="13">
        <v>0</v>
      </c>
      <c r="C32" s="13">
        <v>20</v>
      </c>
      <c r="D32" s="13">
        <v>0</v>
      </c>
      <c r="E32" s="14">
        <v>0</v>
      </c>
      <c r="F32" s="14">
        <v>0</v>
      </c>
      <c r="G32" s="25">
        <v>0</v>
      </c>
      <c r="H32" s="15">
        <v>4034.56</v>
      </c>
    </row>
    <row r="33" spans="1:15" ht="15" thickBot="1" x14ac:dyDescent="0.35">
      <c r="A33" s="12">
        <v>43131</v>
      </c>
      <c r="B33" s="13">
        <v>0</v>
      </c>
      <c r="C33" s="13">
        <v>20</v>
      </c>
      <c r="D33" s="13">
        <v>0</v>
      </c>
      <c r="E33" s="14">
        <v>0</v>
      </c>
      <c r="F33" s="14">
        <v>0</v>
      </c>
      <c r="G33" s="25">
        <v>0</v>
      </c>
      <c r="H33" s="15">
        <v>4034.56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620</v>
      </c>
      <c r="D34" s="17">
        <f t="shared" si="0"/>
        <v>0</v>
      </c>
      <c r="E34" s="18">
        <f t="shared" si="0"/>
        <v>0.84000000000000008</v>
      </c>
      <c r="F34" s="18">
        <f t="shared" si="0"/>
        <v>1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SUM(B34+'Dec 2017'!B35)</f>
        <v>979</v>
      </c>
      <c r="C35" s="20">
        <f>SUM(C34+'Dec 2017'!C35)</f>
        <v>2632</v>
      </c>
      <c r="D35" s="20">
        <f>SUM(D34+'Dec 2017'!D35)</f>
        <v>3860</v>
      </c>
      <c r="E35" s="21">
        <f>SUM(E34+'Dec 2017'!E35)</f>
        <v>4.0400000000000009</v>
      </c>
      <c r="F35" s="21">
        <f>SUM(F34+'Dec 2017'!F35)</f>
        <v>3.5</v>
      </c>
      <c r="G35" s="20">
        <f>SUM(G34+'Dec 2017'!G35)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1229.77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SUM(B37+'Dec 2017'!B39)</f>
        <v>1941.8465000000001</v>
      </c>
      <c r="C39" s="23">
        <f>SUM(C37+'Dec 2017'!C39)</f>
        <v>5220.5720000000001</v>
      </c>
      <c r="D39" s="23">
        <f>SUM(D37+'Dec 2017'!D39)</f>
        <v>7656.3099999999995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3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3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58"/>
  <sheetViews>
    <sheetView workbookViewId="0">
      <pane ySplit="2" topLeftCell="A12" activePane="bottomLeft" state="frozen"/>
      <selection pane="bottomLeft" activeCell="H33" sqref="H33"/>
    </sheetView>
  </sheetViews>
  <sheetFormatPr defaultRowHeight="14.4" x14ac:dyDescent="0.3"/>
  <cols>
    <col min="1" max="1" width="13.5546875" bestFit="1" customWidth="1"/>
    <col min="2" max="8" width="11.6640625" customWidth="1"/>
    <col min="9" max="9" width="27.44140625" customWidth="1"/>
  </cols>
  <sheetData>
    <row r="1" spans="1:9" s="1" customFormat="1" ht="28.8" x14ac:dyDescent="0.3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3">
      <c r="A3" s="12">
        <v>43070</v>
      </c>
      <c r="B3" s="25">
        <v>0</v>
      </c>
      <c r="C3" s="25">
        <v>20</v>
      </c>
      <c r="D3" s="25">
        <v>0</v>
      </c>
      <c r="E3" s="26">
        <v>0</v>
      </c>
      <c r="F3" s="26">
        <v>0</v>
      </c>
      <c r="G3" s="25">
        <v>0</v>
      </c>
      <c r="H3" s="27">
        <v>4034.37</v>
      </c>
    </row>
    <row r="4" spans="1:9" x14ac:dyDescent="0.3">
      <c r="A4" s="12">
        <v>43071</v>
      </c>
      <c r="B4" s="25">
        <v>0</v>
      </c>
      <c r="C4" s="25">
        <v>20</v>
      </c>
      <c r="D4" s="25">
        <v>0</v>
      </c>
      <c r="E4" s="26">
        <v>0.08</v>
      </c>
      <c r="F4" s="26">
        <v>0</v>
      </c>
      <c r="G4" s="25">
        <v>0</v>
      </c>
      <c r="H4" s="27">
        <v>4034.37</v>
      </c>
    </row>
    <row r="5" spans="1:9" x14ac:dyDescent="0.3">
      <c r="A5" s="12">
        <v>43072</v>
      </c>
      <c r="B5" s="25">
        <v>0</v>
      </c>
      <c r="C5" s="25">
        <v>20</v>
      </c>
      <c r="D5" s="25">
        <v>0</v>
      </c>
      <c r="E5" s="26">
        <v>0.09</v>
      </c>
      <c r="F5" s="26">
        <v>0.5</v>
      </c>
      <c r="G5" s="25">
        <v>0</v>
      </c>
      <c r="H5" s="27">
        <v>4034.37</v>
      </c>
    </row>
    <row r="6" spans="1:9" x14ac:dyDescent="0.3">
      <c r="A6" s="12">
        <v>43073</v>
      </c>
      <c r="B6" s="25">
        <v>0</v>
      </c>
      <c r="C6" s="25">
        <v>30</v>
      </c>
      <c r="D6" s="25">
        <v>0</v>
      </c>
      <c r="E6" s="26">
        <v>0</v>
      </c>
      <c r="F6" s="26">
        <v>0</v>
      </c>
      <c r="G6" s="25">
        <v>0</v>
      </c>
      <c r="H6" s="27">
        <v>4034.37</v>
      </c>
    </row>
    <row r="7" spans="1:9" x14ac:dyDescent="0.3">
      <c r="A7" s="12">
        <v>43074</v>
      </c>
      <c r="B7" s="25">
        <v>0</v>
      </c>
      <c r="C7" s="25">
        <v>40</v>
      </c>
      <c r="D7" s="25">
        <v>0</v>
      </c>
      <c r="E7" s="26">
        <v>0</v>
      </c>
      <c r="F7" s="26">
        <v>0</v>
      </c>
      <c r="G7" s="25">
        <v>0</v>
      </c>
      <c r="H7" s="27">
        <v>4034.38</v>
      </c>
    </row>
    <row r="8" spans="1:9" x14ac:dyDescent="0.3">
      <c r="A8" s="12">
        <v>43075</v>
      </c>
      <c r="B8" s="25">
        <v>0</v>
      </c>
      <c r="C8" s="25">
        <v>20</v>
      </c>
      <c r="D8" s="25">
        <v>0</v>
      </c>
      <c r="E8" s="26">
        <v>0.01</v>
      </c>
      <c r="F8" s="26">
        <v>0</v>
      </c>
      <c r="G8" s="25">
        <v>0</v>
      </c>
      <c r="H8" s="27">
        <v>4034.38</v>
      </c>
    </row>
    <row r="9" spans="1:9" x14ac:dyDescent="0.3">
      <c r="A9" s="12">
        <v>43076</v>
      </c>
      <c r="B9" s="25">
        <v>0</v>
      </c>
      <c r="C9" s="25">
        <v>20</v>
      </c>
      <c r="D9" s="25">
        <v>0</v>
      </c>
      <c r="E9" s="26">
        <v>0</v>
      </c>
      <c r="F9" s="26">
        <v>0</v>
      </c>
      <c r="G9" s="25">
        <v>0</v>
      </c>
      <c r="H9" s="27">
        <v>4034.38</v>
      </c>
    </row>
    <row r="10" spans="1:9" x14ac:dyDescent="0.3">
      <c r="A10" s="12">
        <v>43077</v>
      </c>
      <c r="B10" s="25">
        <v>0</v>
      </c>
      <c r="C10" s="25">
        <v>20</v>
      </c>
      <c r="D10" s="25">
        <v>0</v>
      </c>
      <c r="E10" s="26">
        <v>0</v>
      </c>
      <c r="F10" s="26">
        <v>0</v>
      </c>
      <c r="G10" s="25">
        <v>0</v>
      </c>
      <c r="H10" s="27">
        <v>4034.38</v>
      </c>
    </row>
    <row r="11" spans="1:9" x14ac:dyDescent="0.3">
      <c r="A11" s="12">
        <v>43078</v>
      </c>
      <c r="B11" s="25">
        <v>0</v>
      </c>
      <c r="C11" s="25">
        <v>20</v>
      </c>
      <c r="D11" s="25">
        <v>0</v>
      </c>
      <c r="E11" s="26">
        <v>0.01</v>
      </c>
      <c r="F11" s="26">
        <v>0</v>
      </c>
      <c r="G11" s="25">
        <v>0</v>
      </c>
      <c r="H11" s="27">
        <v>4034.38</v>
      </c>
    </row>
    <row r="12" spans="1:9" x14ac:dyDescent="0.3">
      <c r="A12" s="12">
        <v>43079</v>
      </c>
      <c r="B12" s="25">
        <v>0</v>
      </c>
      <c r="C12" s="25">
        <v>20</v>
      </c>
      <c r="D12" s="25">
        <v>0</v>
      </c>
      <c r="E12" s="26">
        <v>0</v>
      </c>
      <c r="F12" s="26">
        <v>0</v>
      </c>
      <c r="G12" s="25">
        <v>0</v>
      </c>
      <c r="H12" s="27">
        <v>4034.38</v>
      </c>
    </row>
    <row r="13" spans="1:9" x14ac:dyDescent="0.3">
      <c r="A13" s="12">
        <v>43080</v>
      </c>
      <c r="B13" s="25">
        <v>0</v>
      </c>
      <c r="C13" s="25">
        <v>20</v>
      </c>
      <c r="D13" s="25">
        <v>0</v>
      </c>
      <c r="E13" s="26" t="s">
        <v>43</v>
      </c>
      <c r="F13" s="26">
        <v>0</v>
      </c>
      <c r="G13" s="25">
        <v>0</v>
      </c>
      <c r="H13" s="27">
        <v>4034.38</v>
      </c>
    </row>
    <row r="14" spans="1:9" x14ac:dyDescent="0.3">
      <c r="A14" s="12">
        <v>43081</v>
      </c>
      <c r="B14" s="25">
        <v>0</v>
      </c>
      <c r="C14" s="25">
        <v>20</v>
      </c>
      <c r="D14" s="25">
        <v>0</v>
      </c>
      <c r="E14" s="26">
        <v>0</v>
      </c>
      <c r="F14" s="26">
        <v>0</v>
      </c>
      <c r="G14" s="25">
        <v>0</v>
      </c>
      <c r="H14" s="27">
        <v>4034.38</v>
      </c>
    </row>
    <row r="15" spans="1:9" x14ac:dyDescent="0.3">
      <c r="A15" s="12">
        <v>43082</v>
      </c>
      <c r="B15" s="25">
        <v>0</v>
      </c>
      <c r="C15" s="25">
        <v>20</v>
      </c>
      <c r="D15" s="25">
        <v>0</v>
      </c>
      <c r="E15" s="26">
        <v>0</v>
      </c>
      <c r="F15" s="26">
        <v>0</v>
      </c>
      <c r="G15" s="25">
        <v>0</v>
      </c>
      <c r="H15" s="27">
        <v>4034.38</v>
      </c>
    </row>
    <row r="16" spans="1:9" x14ac:dyDescent="0.3">
      <c r="A16" s="12">
        <v>43083</v>
      </c>
      <c r="B16" s="25">
        <v>0</v>
      </c>
      <c r="C16" s="25">
        <v>20</v>
      </c>
      <c r="D16" s="25">
        <v>0</v>
      </c>
      <c r="E16" s="26">
        <v>0</v>
      </c>
      <c r="F16" s="26">
        <v>0</v>
      </c>
      <c r="G16" s="25">
        <v>0</v>
      </c>
      <c r="H16" s="27">
        <v>4034.38</v>
      </c>
    </row>
    <row r="17" spans="1:8" x14ac:dyDescent="0.3">
      <c r="A17" s="12">
        <v>43084</v>
      </c>
      <c r="B17" s="25">
        <v>0</v>
      </c>
      <c r="C17" s="25">
        <v>20</v>
      </c>
      <c r="D17" s="25">
        <v>0</v>
      </c>
      <c r="E17" s="26">
        <v>0</v>
      </c>
      <c r="F17" s="26">
        <v>0</v>
      </c>
      <c r="G17" s="25">
        <v>0</v>
      </c>
      <c r="H17" s="27">
        <v>4034.38</v>
      </c>
    </row>
    <row r="18" spans="1:8" x14ac:dyDescent="0.3">
      <c r="A18" s="12">
        <v>43085</v>
      </c>
      <c r="B18" s="25">
        <v>0</v>
      </c>
      <c r="C18" s="25">
        <v>20</v>
      </c>
      <c r="D18" s="25">
        <v>0</v>
      </c>
      <c r="E18" s="26" t="s">
        <v>43</v>
      </c>
      <c r="F18" s="26">
        <v>0</v>
      </c>
      <c r="G18" s="25">
        <v>0</v>
      </c>
      <c r="H18" s="27">
        <v>4034.38</v>
      </c>
    </row>
    <row r="19" spans="1:8" x14ac:dyDescent="0.3">
      <c r="A19" s="12">
        <v>43086</v>
      </c>
      <c r="B19" s="25">
        <v>0</v>
      </c>
      <c r="C19" s="25">
        <v>20</v>
      </c>
      <c r="D19" s="25">
        <v>0</v>
      </c>
      <c r="E19" s="26">
        <v>0</v>
      </c>
      <c r="F19" s="26">
        <v>0</v>
      </c>
      <c r="G19" s="25">
        <v>0</v>
      </c>
      <c r="H19" s="27">
        <v>4034.38</v>
      </c>
    </row>
    <row r="20" spans="1:8" x14ac:dyDescent="0.3">
      <c r="A20" s="12">
        <v>43087</v>
      </c>
      <c r="B20" s="25">
        <v>0</v>
      </c>
      <c r="C20" s="25">
        <v>20</v>
      </c>
      <c r="D20" s="25">
        <v>0</v>
      </c>
      <c r="E20" s="26">
        <v>0</v>
      </c>
      <c r="F20" s="26">
        <v>0</v>
      </c>
      <c r="G20" s="25">
        <v>0</v>
      </c>
      <c r="H20" s="27">
        <v>4034.36</v>
      </c>
    </row>
    <row r="21" spans="1:8" x14ac:dyDescent="0.3">
      <c r="A21" s="12">
        <v>43088</v>
      </c>
      <c r="B21" s="25">
        <v>0</v>
      </c>
      <c r="C21" s="25">
        <v>20</v>
      </c>
      <c r="D21" s="25">
        <v>0</v>
      </c>
      <c r="E21" s="26">
        <v>0</v>
      </c>
      <c r="F21" s="26">
        <v>0</v>
      </c>
      <c r="G21" s="25">
        <v>0</v>
      </c>
      <c r="H21" s="27">
        <v>4034.36</v>
      </c>
    </row>
    <row r="22" spans="1:8" x14ac:dyDescent="0.3">
      <c r="A22" s="12">
        <v>43089</v>
      </c>
      <c r="B22" s="25">
        <v>0</v>
      </c>
      <c r="C22" s="25">
        <v>20</v>
      </c>
      <c r="D22" s="25">
        <v>0</v>
      </c>
      <c r="E22" s="26">
        <v>0.24</v>
      </c>
      <c r="F22" s="26">
        <v>1</v>
      </c>
      <c r="G22" s="25">
        <v>0</v>
      </c>
      <c r="H22" s="27">
        <v>4034.36</v>
      </c>
    </row>
    <row r="23" spans="1:8" x14ac:dyDescent="0.3">
      <c r="A23" s="12">
        <v>43090</v>
      </c>
      <c r="B23" s="25">
        <v>0</v>
      </c>
      <c r="C23" s="25">
        <v>20</v>
      </c>
      <c r="D23" s="25">
        <v>0</v>
      </c>
      <c r="E23" s="26">
        <v>0.01</v>
      </c>
      <c r="F23" s="26">
        <v>0</v>
      </c>
      <c r="G23" s="25">
        <v>0</v>
      </c>
      <c r="H23" s="27">
        <v>4034.36</v>
      </c>
    </row>
    <row r="24" spans="1:8" x14ac:dyDescent="0.3">
      <c r="A24" s="12">
        <v>43091</v>
      </c>
      <c r="B24" s="25">
        <v>0</v>
      </c>
      <c r="C24" s="25">
        <v>20</v>
      </c>
      <c r="D24" s="25">
        <v>0</v>
      </c>
      <c r="E24" s="26">
        <v>0</v>
      </c>
      <c r="F24" s="26">
        <v>0</v>
      </c>
      <c r="G24" s="25">
        <v>0</v>
      </c>
      <c r="H24" s="27">
        <v>4034.36</v>
      </c>
    </row>
    <row r="25" spans="1:8" x14ac:dyDescent="0.3">
      <c r="A25" s="12">
        <v>43092</v>
      </c>
      <c r="B25" s="25">
        <v>0</v>
      </c>
      <c r="C25" s="25">
        <v>20</v>
      </c>
      <c r="D25" s="25">
        <v>0</v>
      </c>
      <c r="E25" s="26">
        <v>0</v>
      </c>
      <c r="F25" s="26">
        <v>0</v>
      </c>
      <c r="G25" s="25">
        <v>0</v>
      </c>
      <c r="H25" s="27">
        <v>4034.36</v>
      </c>
    </row>
    <row r="26" spans="1:8" x14ac:dyDescent="0.3">
      <c r="A26" s="12">
        <v>43093</v>
      </c>
      <c r="B26" s="25">
        <v>0</v>
      </c>
      <c r="C26" s="25">
        <v>20</v>
      </c>
      <c r="D26" s="25">
        <v>0</v>
      </c>
      <c r="E26" s="26">
        <v>0</v>
      </c>
      <c r="F26" s="26">
        <v>0</v>
      </c>
      <c r="G26" s="25">
        <v>0</v>
      </c>
      <c r="H26" s="27">
        <v>4034.36</v>
      </c>
    </row>
    <row r="27" spans="1:8" x14ac:dyDescent="0.3">
      <c r="A27" s="12">
        <v>43094</v>
      </c>
      <c r="B27" s="25">
        <v>0</v>
      </c>
      <c r="C27" s="25">
        <v>20</v>
      </c>
      <c r="D27" s="25">
        <v>0</v>
      </c>
      <c r="E27" s="26">
        <v>0</v>
      </c>
      <c r="F27" s="26">
        <v>0</v>
      </c>
      <c r="G27" s="25">
        <v>0</v>
      </c>
      <c r="H27" s="27">
        <v>4034.36</v>
      </c>
    </row>
    <row r="28" spans="1:8" x14ac:dyDescent="0.3">
      <c r="A28" s="12">
        <v>43095</v>
      </c>
      <c r="B28" s="25">
        <v>0</v>
      </c>
      <c r="C28" s="25">
        <v>20</v>
      </c>
      <c r="D28" s="25">
        <v>0</v>
      </c>
      <c r="E28" s="26">
        <v>0.01</v>
      </c>
      <c r="F28" s="26">
        <v>0</v>
      </c>
      <c r="G28" s="25">
        <v>0</v>
      </c>
      <c r="H28" s="27">
        <v>4034.36</v>
      </c>
    </row>
    <row r="29" spans="1:8" x14ac:dyDescent="0.3">
      <c r="A29" s="12">
        <v>43096</v>
      </c>
      <c r="B29" s="25">
        <v>0</v>
      </c>
      <c r="C29" s="25">
        <v>20</v>
      </c>
      <c r="D29" s="25">
        <v>0</v>
      </c>
      <c r="E29" s="26">
        <v>0.01</v>
      </c>
      <c r="F29" s="26">
        <v>0</v>
      </c>
      <c r="G29" s="25">
        <v>0</v>
      </c>
      <c r="H29" s="27">
        <v>4034.36</v>
      </c>
    </row>
    <row r="30" spans="1:8" x14ac:dyDescent="0.3">
      <c r="A30" s="12">
        <v>43097</v>
      </c>
      <c r="B30" s="25">
        <v>0</v>
      </c>
      <c r="C30" s="25">
        <v>20</v>
      </c>
      <c r="D30" s="25">
        <v>0</v>
      </c>
      <c r="E30" s="26">
        <v>0.02</v>
      </c>
      <c r="F30" s="26">
        <v>0</v>
      </c>
      <c r="G30" s="25">
        <v>0</v>
      </c>
      <c r="H30" s="27">
        <v>4034.36</v>
      </c>
    </row>
    <row r="31" spans="1:8" x14ac:dyDescent="0.3">
      <c r="A31" s="12">
        <v>43098</v>
      </c>
      <c r="B31" s="25">
        <v>0</v>
      </c>
      <c r="C31" s="25">
        <v>20</v>
      </c>
      <c r="D31" s="25">
        <v>0</v>
      </c>
      <c r="E31" s="26">
        <v>0.01</v>
      </c>
      <c r="F31" s="26">
        <v>0</v>
      </c>
      <c r="G31" s="25">
        <v>0</v>
      </c>
      <c r="H31" s="27">
        <v>4034.36</v>
      </c>
    </row>
    <row r="32" spans="1:8" x14ac:dyDescent="0.3">
      <c r="A32" s="12">
        <v>43099</v>
      </c>
      <c r="B32" s="25">
        <v>0</v>
      </c>
      <c r="C32" s="25">
        <v>20</v>
      </c>
      <c r="D32" s="25">
        <v>0</v>
      </c>
      <c r="E32" s="26" t="s">
        <v>43</v>
      </c>
      <c r="F32" s="26">
        <v>0</v>
      </c>
      <c r="G32" s="25">
        <v>0</v>
      </c>
      <c r="H32" s="27">
        <v>4034.37</v>
      </c>
    </row>
    <row r="33" spans="1:15" ht="15" thickBot="1" x14ac:dyDescent="0.35">
      <c r="A33" s="12">
        <v>43100</v>
      </c>
      <c r="B33" s="25">
        <v>0</v>
      </c>
      <c r="C33" s="25">
        <v>20</v>
      </c>
      <c r="D33" s="25">
        <v>0</v>
      </c>
      <c r="E33" s="88">
        <v>0</v>
      </c>
      <c r="F33" s="26">
        <v>0</v>
      </c>
      <c r="G33" s="25">
        <v>0</v>
      </c>
      <c r="H33" s="27">
        <v>4034.38</v>
      </c>
    </row>
    <row r="34" spans="1:15" s="11" customFormat="1" ht="15" thickTop="1" x14ac:dyDescent="0.3">
      <c r="A34" s="16" t="s">
        <v>8</v>
      </c>
      <c r="B34" s="17">
        <f t="shared" ref="B34:G34" si="0">SUM(B3:B33)</f>
        <v>0</v>
      </c>
      <c r="C34" s="17">
        <f t="shared" si="0"/>
        <v>650</v>
      </c>
      <c r="D34" s="17">
        <f t="shared" si="0"/>
        <v>0</v>
      </c>
      <c r="E34" s="18">
        <f t="shared" si="0"/>
        <v>0.49000000000000005</v>
      </c>
      <c r="F34" s="18">
        <f t="shared" si="0"/>
        <v>1.5</v>
      </c>
      <c r="G34" s="17">
        <f t="shared" si="0"/>
        <v>0</v>
      </c>
      <c r="H34" s="18"/>
    </row>
    <row r="35" spans="1:15" s="11" customFormat="1" x14ac:dyDescent="0.3">
      <c r="A35" s="19" t="s">
        <v>9</v>
      </c>
      <c r="B35" s="20">
        <f>SUM(B34+'Nov 2017'!B34)</f>
        <v>979</v>
      </c>
      <c r="C35" s="20">
        <f>SUM(C34+'Nov 2017'!C34)</f>
        <v>2012</v>
      </c>
      <c r="D35" s="20">
        <f>SUM(D34+'Nov 2017'!D34)</f>
        <v>3860</v>
      </c>
      <c r="E35" s="21">
        <f>SUM(E34+'Nov 2017'!E34)</f>
        <v>3.2000000000000006</v>
      </c>
      <c r="F35" s="21">
        <f>SUM(F34+'Nov 2017'!F34)</f>
        <v>2.5</v>
      </c>
      <c r="G35" s="20">
        <f>SUM(G34+'Nov 2017'!G34)</f>
        <v>12412</v>
      </c>
      <c r="H35" s="21"/>
    </row>
    <row r="37" spans="1:15" x14ac:dyDescent="0.3">
      <c r="A37" t="s">
        <v>10</v>
      </c>
      <c r="B37" s="23">
        <f>SUM(B3:B33)*1.9835</f>
        <v>0</v>
      </c>
      <c r="C37" s="23">
        <f>SUM(C3:C33)*1.9835</f>
        <v>1289.2750000000001</v>
      </c>
      <c r="D37" s="23">
        <f>SUM(D3:D33)*1.9835</f>
        <v>0</v>
      </c>
      <c r="E37" s="23"/>
      <c r="F37" s="23"/>
      <c r="G37" s="23"/>
      <c r="I37" s="22"/>
    </row>
    <row r="39" spans="1:15" x14ac:dyDescent="0.3">
      <c r="A39" t="s">
        <v>24</v>
      </c>
      <c r="B39" s="23">
        <f>SUM('Nov 2017'!B38+B37)</f>
        <v>1941.8465000000001</v>
      </c>
      <c r="C39" s="23">
        <f>SUM('Nov 2017'!C38+C37)</f>
        <v>3990.8020000000001</v>
      </c>
      <c r="D39" s="23">
        <f>SUM('Nov 2017'!D38+D37)</f>
        <v>7656.3099999999995</v>
      </c>
      <c r="E39" s="23"/>
      <c r="F39" s="23"/>
      <c r="G39" s="23"/>
      <c r="I39" s="22"/>
    </row>
    <row r="40" spans="1:15" x14ac:dyDescent="0.3">
      <c r="B40" s="23"/>
      <c r="C40" s="23"/>
      <c r="D40" s="24"/>
      <c r="E40" s="23"/>
      <c r="F40" s="23"/>
      <c r="G40" s="23"/>
      <c r="I40" s="22"/>
    </row>
    <row r="41" spans="1:15" ht="17.399999999999999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  <c r="K41" s="30"/>
      <c r="L41" s="30"/>
      <c r="M41" s="30"/>
      <c r="N41" s="31"/>
      <c r="O41" s="30"/>
    </row>
    <row r="42" spans="1:15" ht="16.95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0"/>
      <c r="N42" s="31"/>
      <c r="O42" s="30"/>
    </row>
    <row r="43" spans="1:15" ht="13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2"/>
      <c r="L43" s="32"/>
      <c r="M43" s="32"/>
      <c r="N43" s="33"/>
      <c r="O43" s="34"/>
    </row>
    <row r="44" spans="1:15" ht="15.6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2" customHeight="1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6" x14ac:dyDescent="0.3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3">
      <c r="A54" s="67"/>
      <c r="B54" s="68"/>
      <c r="C54" s="69"/>
      <c r="D54" s="61"/>
      <c r="E54" s="70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x14ac:dyDescent="0.3">
      <c r="A56" s="67"/>
      <c r="B56" s="68"/>
      <c r="C56" s="69"/>
      <c r="D56" s="61"/>
      <c r="E56" s="72"/>
      <c r="F56" s="71"/>
      <c r="G56" s="64"/>
      <c r="H56" s="65"/>
    </row>
    <row r="57" spans="1:15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3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57"/>
  <sheetViews>
    <sheetView topLeftCell="A4" workbookViewId="0">
      <selection activeCell="I30" sqref="I30"/>
    </sheetView>
  </sheetViews>
  <sheetFormatPr defaultRowHeight="14.4" x14ac:dyDescent="0.3"/>
  <cols>
    <col min="1" max="1" width="13.5546875" style="2" bestFit="1" customWidth="1"/>
    <col min="2" max="4" width="11.6640625" style="6" customWidth="1"/>
    <col min="5" max="6" width="11.6640625" customWidth="1"/>
    <col min="7" max="7" width="11.6640625" style="6" customWidth="1"/>
    <col min="8" max="8" width="11.6640625" customWidth="1"/>
    <col min="9" max="9" width="29" bestFit="1" customWidth="1"/>
  </cols>
  <sheetData>
    <row r="1" spans="1:9" s="1" customFormat="1" ht="28.8" x14ac:dyDescent="0.3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3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3">
      <c r="A3" s="12">
        <v>43040</v>
      </c>
      <c r="B3" s="89">
        <v>66</v>
      </c>
      <c r="C3" s="89">
        <v>0</v>
      </c>
      <c r="D3" s="89">
        <v>78</v>
      </c>
      <c r="E3" s="26">
        <v>0</v>
      </c>
      <c r="F3" s="26">
        <v>0</v>
      </c>
      <c r="G3" s="89">
        <v>318</v>
      </c>
      <c r="H3" s="26">
        <v>4034.44</v>
      </c>
      <c r="I3" s="107" t="s">
        <v>36</v>
      </c>
    </row>
    <row r="4" spans="1:9" x14ac:dyDescent="0.3">
      <c r="A4" s="12">
        <v>43041</v>
      </c>
      <c r="B4" s="89">
        <v>50</v>
      </c>
      <c r="C4" s="89">
        <v>0</v>
      </c>
      <c r="D4" s="89">
        <v>63</v>
      </c>
      <c r="E4" s="26">
        <v>0</v>
      </c>
      <c r="F4" s="26">
        <v>0</v>
      </c>
      <c r="G4" s="89">
        <v>217</v>
      </c>
      <c r="H4" s="26">
        <v>4034.44</v>
      </c>
      <c r="I4" s="107"/>
    </row>
    <row r="5" spans="1:9" x14ac:dyDescent="0.3">
      <c r="A5" s="12">
        <v>43042</v>
      </c>
      <c r="B5" s="89">
        <v>27</v>
      </c>
      <c r="C5" s="89">
        <v>0</v>
      </c>
      <c r="D5" s="89">
        <v>62</v>
      </c>
      <c r="E5" s="26">
        <v>0.22</v>
      </c>
      <c r="F5" s="26">
        <v>0</v>
      </c>
      <c r="G5" s="89">
        <v>153</v>
      </c>
      <c r="H5" s="26">
        <v>4034.42</v>
      </c>
      <c r="I5" s="107" t="s">
        <v>37</v>
      </c>
    </row>
    <row r="6" spans="1:9" x14ac:dyDescent="0.3">
      <c r="A6" s="12">
        <v>43043</v>
      </c>
      <c r="B6" s="89">
        <v>8</v>
      </c>
      <c r="C6" s="89">
        <v>0</v>
      </c>
      <c r="D6" s="89">
        <v>53</v>
      </c>
      <c r="E6" s="26">
        <v>0.34</v>
      </c>
      <c r="F6" s="26">
        <v>0.5</v>
      </c>
      <c r="G6" s="89">
        <v>100</v>
      </c>
      <c r="H6" s="26">
        <v>4034.42</v>
      </c>
      <c r="I6" s="107" t="s">
        <v>38</v>
      </c>
    </row>
    <row r="7" spans="1:9" x14ac:dyDescent="0.3">
      <c r="A7" s="12">
        <v>43044</v>
      </c>
      <c r="B7" s="89">
        <v>28</v>
      </c>
      <c r="C7" s="89">
        <v>0</v>
      </c>
      <c r="D7" s="89">
        <v>53</v>
      </c>
      <c r="E7" s="26">
        <v>0.02</v>
      </c>
      <c r="F7" s="26">
        <v>0</v>
      </c>
      <c r="G7" s="89">
        <v>159</v>
      </c>
      <c r="H7" s="26">
        <v>4034.42</v>
      </c>
      <c r="I7" s="107" t="s">
        <v>39</v>
      </c>
    </row>
    <row r="8" spans="1:9" x14ac:dyDescent="0.3">
      <c r="A8" s="12">
        <v>43045</v>
      </c>
      <c r="B8" s="89">
        <v>40</v>
      </c>
      <c r="C8" s="89">
        <v>0</v>
      </c>
      <c r="D8" s="89">
        <v>56</v>
      </c>
      <c r="E8" s="26">
        <v>0.1</v>
      </c>
      <c r="F8" s="26">
        <v>0</v>
      </c>
      <c r="G8" s="89">
        <v>159</v>
      </c>
      <c r="H8" s="26">
        <v>4034.42</v>
      </c>
      <c r="I8" s="108" t="s">
        <v>40</v>
      </c>
    </row>
    <row r="9" spans="1:9" x14ac:dyDescent="0.3">
      <c r="A9" s="12">
        <v>43046</v>
      </c>
      <c r="B9" s="89">
        <v>25</v>
      </c>
      <c r="C9" s="89">
        <v>0</v>
      </c>
      <c r="D9" s="89">
        <v>53</v>
      </c>
      <c r="E9" s="26" t="s">
        <v>43</v>
      </c>
      <c r="F9" s="26">
        <v>0</v>
      </c>
      <c r="G9" s="89">
        <v>256</v>
      </c>
      <c r="H9" s="26">
        <v>4034.42</v>
      </c>
      <c r="I9" s="107" t="s">
        <v>41</v>
      </c>
    </row>
    <row r="10" spans="1:9" x14ac:dyDescent="0.3">
      <c r="A10" s="12">
        <v>43047</v>
      </c>
      <c r="B10" s="89">
        <v>25</v>
      </c>
      <c r="C10" s="89">
        <v>0</v>
      </c>
      <c r="D10" s="89">
        <v>51</v>
      </c>
      <c r="E10" s="26">
        <v>0</v>
      </c>
      <c r="F10" s="26">
        <v>0</v>
      </c>
      <c r="G10" s="89">
        <v>222</v>
      </c>
      <c r="H10" s="26">
        <v>4034.4</v>
      </c>
      <c r="I10" s="107" t="s">
        <v>42</v>
      </c>
    </row>
    <row r="11" spans="1:9" x14ac:dyDescent="0.3">
      <c r="A11" s="12">
        <v>43048</v>
      </c>
      <c r="B11" s="89">
        <v>25</v>
      </c>
      <c r="C11" s="89">
        <v>0</v>
      </c>
      <c r="D11" s="89">
        <v>48</v>
      </c>
      <c r="E11" s="26">
        <v>0.31</v>
      </c>
      <c r="F11" s="26">
        <v>0</v>
      </c>
      <c r="G11" s="89">
        <v>159</v>
      </c>
      <c r="H11" s="26">
        <v>4034.4</v>
      </c>
      <c r="I11" s="107"/>
    </row>
    <row r="12" spans="1:9" x14ac:dyDescent="0.3">
      <c r="A12" s="12">
        <v>43049</v>
      </c>
      <c r="B12" s="89">
        <v>25</v>
      </c>
      <c r="C12" s="89">
        <v>0</v>
      </c>
      <c r="D12" s="89">
        <v>48</v>
      </c>
      <c r="E12" s="26">
        <v>7.0000000000000007E-2</v>
      </c>
      <c r="F12" s="26">
        <v>0</v>
      </c>
      <c r="G12" s="89">
        <v>159</v>
      </c>
      <c r="H12" s="26">
        <v>4034.4</v>
      </c>
      <c r="I12" s="107"/>
    </row>
    <row r="13" spans="1:9" x14ac:dyDescent="0.3">
      <c r="A13" s="12">
        <v>43050</v>
      </c>
      <c r="B13" s="89">
        <v>25</v>
      </c>
      <c r="C13" s="89">
        <v>0</v>
      </c>
      <c r="D13" s="89">
        <v>48</v>
      </c>
      <c r="E13" s="26">
        <v>0.02</v>
      </c>
      <c r="F13" s="26">
        <v>0</v>
      </c>
      <c r="G13" s="89">
        <v>159</v>
      </c>
      <c r="H13" s="26">
        <v>4034.4</v>
      </c>
      <c r="I13" s="107"/>
    </row>
    <row r="14" spans="1:9" x14ac:dyDescent="0.3">
      <c r="A14" s="12">
        <v>43051</v>
      </c>
      <c r="B14" s="89">
        <v>25</v>
      </c>
      <c r="C14" s="89">
        <v>0</v>
      </c>
      <c r="D14" s="89">
        <v>48</v>
      </c>
      <c r="E14" s="26">
        <v>0</v>
      </c>
      <c r="F14" s="26">
        <v>0</v>
      </c>
      <c r="G14" s="89">
        <v>159</v>
      </c>
      <c r="H14" s="26">
        <v>4034.38</v>
      </c>
      <c r="I14" s="107"/>
    </row>
    <row r="15" spans="1:9" x14ac:dyDescent="0.3">
      <c r="A15" s="12">
        <v>43052</v>
      </c>
      <c r="B15" s="89">
        <v>9</v>
      </c>
      <c r="C15" s="89">
        <v>0</v>
      </c>
      <c r="D15" s="89">
        <v>25</v>
      </c>
      <c r="E15" s="26">
        <v>0</v>
      </c>
      <c r="F15" s="26">
        <v>0</v>
      </c>
      <c r="G15" s="89">
        <v>172</v>
      </c>
      <c r="H15" s="26">
        <v>4034.36</v>
      </c>
      <c r="I15" s="107" t="s">
        <v>44</v>
      </c>
    </row>
    <row r="16" spans="1:9" x14ac:dyDescent="0.3">
      <c r="A16" s="12">
        <v>43053</v>
      </c>
      <c r="B16" s="89">
        <v>0</v>
      </c>
      <c r="C16" s="89">
        <v>12</v>
      </c>
      <c r="D16" s="89">
        <v>10</v>
      </c>
      <c r="E16" s="26">
        <v>0</v>
      </c>
      <c r="F16" s="26">
        <v>0</v>
      </c>
      <c r="G16" s="89">
        <v>159</v>
      </c>
      <c r="H16" s="26">
        <v>4034.36</v>
      </c>
      <c r="I16" s="107"/>
    </row>
    <row r="17" spans="1:9" x14ac:dyDescent="0.3">
      <c r="A17" s="12">
        <v>43054</v>
      </c>
      <c r="B17" s="89">
        <v>0</v>
      </c>
      <c r="C17" s="89">
        <v>20</v>
      </c>
      <c r="D17" s="89">
        <v>0</v>
      </c>
      <c r="E17" s="26">
        <v>0.01</v>
      </c>
      <c r="F17" s="26">
        <v>0</v>
      </c>
      <c r="G17" s="89">
        <v>159</v>
      </c>
      <c r="H17" s="26">
        <v>4034.36</v>
      </c>
      <c r="I17" s="107"/>
    </row>
    <row r="18" spans="1:9" x14ac:dyDescent="0.3">
      <c r="A18" s="12">
        <v>43055</v>
      </c>
      <c r="B18" s="89">
        <v>0</v>
      </c>
      <c r="C18" s="89">
        <v>33</v>
      </c>
      <c r="D18" s="89">
        <v>0</v>
      </c>
      <c r="E18" s="26">
        <v>0.03</v>
      </c>
      <c r="F18" s="26">
        <v>0</v>
      </c>
      <c r="G18" s="89">
        <v>159</v>
      </c>
      <c r="H18" s="26">
        <v>4034.34</v>
      </c>
      <c r="I18" s="107"/>
    </row>
    <row r="19" spans="1:9" x14ac:dyDescent="0.3">
      <c r="A19" s="12">
        <v>43056</v>
      </c>
      <c r="B19" s="89">
        <v>0</v>
      </c>
      <c r="C19" s="89">
        <v>40</v>
      </c>
      <c r="D19" s="89">
        <v>0</v>
      </c>
      <c r="E19" s="26">
        <v>0.02</v>
      </c>
      <c r="F19" s="26">
        <v>0</v>
      </c>
      <c r="G19" s="89">
        <v>159</v>
      </c>
      <c r="H19" s="26">
        <v>4034.32</v>
      </c>
      <c r="I19" s="107"/>
    </row>
    <row r="20" spans="1:9" x14ac:dyDescent="0.3">
      <c r="A20" s="12">
        <v>43057</v>
      </c>
      <c r="B20" s="89">
        <v>0</v>
      </c>
      <c r="C20" s="89">
        <v>40</v>
      </c>
      <c r="D20" s="89">
        <v>0</v>
      </c>
      <c r="E20" s="26">
        <v>0</v>
      </c>
      <c r="F20" s="26">
        <v>0</v>
      </c>
      <c r="G20" s="89">
        <v>159</v>
      </c>
      <c r="H20" s="26">
        <v>4034.32</v>
      </c>
      <c r="I20" s="107"/>
    </row>
    <row r="21" spans="1:9" x14ac:dyDescent="0.3">
      <c r="A21" s="12">
        <v>43058</v>
      </c>
      <c r="B21" s="89">
        <v>0</v>
      </c>
      <c r="C21" s="89">
        <v>40</v>
      </c>
      <c r="D21" s="89">
        <v>0</v>
      </c>
      <c r="E21" s="26">
        <v>0.01</v>
      </c>
      <c r="F21" s="26">
        <v>0</v>
      </c>
      <c r="G21" s="89">
        <v>159</v>
      </c>
      <c r="H21" s="26">
        <v>4034.3</v>
      </c>
      <c r="I21" s="107"/>
    </row>
    <row r="22" spans="1:9" x14ac:dyDescent="0.3">
      <c r="A22" s="12">
        <v>43059</v>
      </c>
      <c r="B22" s="89">
        <v>0</v>
      </c>
      <c r="C22" s="89">
        <v>40</v>
      </c>
      <c r="D22" s="89">
        <v>0</v>
      </c>
      <c r="E22" s="26">
        <v>0.2</v>
      </c>
      <c r="F22" s="26">
        <v>0</v>
      </c>
      <c r="G22" s="89">
        <v>159</v>
      </c>
      <c r="H22" s="26">
        <v>4034.3</v>
      </c>
      <c r="I22" s="107"/>
    </row>
    <row r="23" spans="1:9" x14ac:dyDescent="0.3">
      <c r="A23" s="12">
        <v>43060</v>
      </c>
      <c r="B23" s="89">
        <v>0</v>
      </c>
      <c r="C23" s="89">
        <v>40</v>
      </c>
      <c r="D23" s="89">
        <v>0</v>
      </c>
      <c r="E23" s="26">
        <v>0.06</v>
      </c>
      <c r="F23" s="26">
        <v>0</v>
      </c>
      <c r="G23" s="89">
        <v>159</v>
      </c>
      <c r="H23" s="26">
        <v>4034.3</v>
      </c>
      <c r="I23" s="107"/>
    </row>
    <row r="24" spans="1:9" x14ac:dyDescent="0.3">
      <c r="A24" s="12">
        <v>43061</v>
      </c>
      <c r="B24" s="89">
        <v>0</v>
      </c>
      <c r="C24" s="89">
        <v>40</v>
      </c>
      <c r="D24" s="89">
        <v>0</v>
      </c>
      <c r="E24" s="26">
        <v>0.01</v>
      </c>
      <c r="F24" s="26">
        <v>0</v>
      </c>
      <c r="G24" s="89">
        <v>60</v>
      </c>
      <c r="H24" s="26">
        <v>4034.3</v>
      </c>
      <c r="I24" s="107"/>
    </row>
    <row r="25" spans="1:9" x14ac:dyDescent="0.3">
      <c r="A25" s="12">
        <v>43062</v>
      </c>
      <c r="B25" s="89">
        <v>0</v>
      </c>
      <c r="C25" s="89">
        <v>40</v>
      </c>
      <c r="D25" s="89">
        <v>0</v>
      </c>
      <c r="E25" s="26">
        <v>0</v>
      </c>
      <c r="F25" s="26">
        <v>0</v>
      </c>
      <c r="G25" s="89">
        <v>0</v>
      </c>
      <c r="H25" s="26">
        <v>4034.32</v>
      </c>
      <c r="I25" s="107"/>
    </row>
    <row r="26" spans="1:9" x14ac:dyDescent="0.3">
      <c r="A26" s="12">
        <v>43063</v>
      </c>
      <c r="B26" s="89">
        <v>0</v>
      </c>
      <c r="C26" s="89">
        <v>40</v>
      </c>
      <c r="D26" s="89">
        <v>0</v>
      </c>
      <c r="E26" s="26">
        <v>0.14000000000000001</v>
      </c>
      <c r="F26" s="26">
        <v>0</v>
      </c>
      <c r="G26" s="89">
        <v>0</v>
      </c>
      <c r="H26" s="26">
        <v>4034.32</v>
      </c>
      <c r="I26" s="107"/>
    </row>
    <row r="27" spans="1:9" x14ac:dyDescent="0.3">
      <c r="A27" s="12">
        <v>43064</v>
      </c>
      <c r="B27" s="89">
        <v>0</v>
      </c>
      <c r="C27" s="89">
        <v>40</v>
      </c>
      <c r="D27" s="89">
        <v>0</v>
      </c>
      <c r="E27" s="26" t="s">
        <v>43</v>
      </c>
      <c r="F27" s="26">
        <v>0</v>
      </c>
      <c r="G27" s="89">
        <v>0</v>
      </c>
      <c r="H27" s="26">
        <v>4034.34</v>
      </c>
      <c r="I27" s="107"/>
    </row>
    <row r="28" spans="1:9" x14ac:dyDescent="0.3">
      <c r="A28" s="12">
        <v>43065</v>
      </c>
      <c r="B28" s="89">
        <v>0</v>
      </c>
      <c r="C28" s="89">
        <v>40</v>
      </c>
      <c r="D28" s="89">
        <v>0</v>
      </c>
      <c r="E28" s="26">
        <v>0.08</v>
      </c>
      <c r="F28" s="26">
        <v>0</v>
      </c>
      <c r="G28" s="89">
        <v>0</v>
      </c>
      <c r="H28" s="26">
        <v>4034.34</v>
      </c>
      <c r="I28" s="107"/>
    </row>
    <row r="29" spans="1:9" x14ac:dyDescent="0.3">
      <c r="A29" s="12">
        <v>43066</v>
      </c>
      <c r="B29" s="89">
        <v>0</v>
      </c>
      <c r="C29" s="89">
        <v>20</v>
      </c>
      <c r="D29" s="89">
        <v>0</v>
      </c>
      <c r="E29" s="26">
        <v>0.14000000000000001</v>
      </c>
      <c r="F29" s="26">
        <v>0</v>
      </c>
      <c r="G29" s="89">
        <v>0</v>
      </c>
      <c r="H29" s="26">
        <v>4034.36</v>
      </c>
      <c r="I29" s="107"/>
    </row>
    <row r="30" spans="1:9" x14ac:dyDescent="0.3">
      <c r="A30" s="12">
        <v>43067</v>
      </c>
      <c r="B30" s="89">
        <v>0</v>
      </c>
      <c r="C30" s="89">
        <v>20</v>
      </c>
      <c r="D30" s="89">
        <v>0</v>
      </c>
      <c r="E30" s="26">
        <v>0.02</v>
      </c>
      <c r="F30" s="26">
        <v>0</v>
      </c>
      <c r="G30" s="89">
        <v>0</v>
      </c>
      <c r="H30" s="26">
        <v>4034.37</v>
      </c>
      <c r="I30" s="107"/>
    </row>
    <row r="31" spans="1:9" x14ac:dyDescent="0.3">
      <c r="A31" s="12">
        <v>43068</v>
      </c>
      <c r="B31" s="89">
        <v>0</v>
      </c>
      <c r="C31" s="89">
        <v>20</v>
      </c>
      <c r="D31" s="89">
        <v>0</v>
      </c>
      <c r="E31" s="26">
        <v>0</v>
      </c>
      <c r="F31" s="26">
        <v>0</v>
      </c>
      <c r="G31" s="89">
        <v>0</v>
      </c>
      <c r="H31" s="26">
        <v>4034.37</v>
      </c>
      <c r="I31" s="107"/>
    </row>
    <row r="32" spans="1:9" ht="15" thickBot="1" x14ac:dyDescent="0.35">
      <c r="A32" s="12">
        <v>43069</v>
      </c>
      <c r="B32" s="89">
        <v>0</v>
      </c>
      <c r="C32" s="89">
        <v>20</v>
      </c>
      <c r="D32" s="89">
        <v>0</v>
      </c>
      <c r="E32" s="88">
        <v>0</v>
      </c>
      <c r="F32" s="88">
        <v>0</v>
      </c>
      <c r="G32" s="90">
        <v>0</v>
      </c>
      <c r="H32" s="26">
        <v>4034.37</v>
      </c>
      <c r="I32" s="107"/>
    </row>
    <row r="33" spans="1:15" s="11" customFormat="1" ht="15" thickTop="1" x14ac:dyDescent="0.3">
      <c r="A33" s="16" t="s">
        <v>8</v>
      </c>
      <c r="B33" s="17">
        <f t="shared" ref="B33:G33" si="0">SUM(B3:B32)</f>
        <v>378</v>
      </c>
      <c r="C33" s="17">
        <f t="shared" si="0"/>
        <v>545</v>
      </c>
      <c r="D33" s="17">
        <f t="shared" si="0"/>
        <v>696</v>
      </c>
      <c r="E33" s="18">
        <f t="shared" si="0"/>
        <v>1.8000000000000003</v>
      </c>
      <c r="F33" s="18">
        <f t="shared" si="0"/>
        <v>0.5</v>
      </c>
      <c r="G33" s="17">
        <f t="shared" si="0"/>
        <v>3724</v>
      </c>
      <c r="H33" s="18"/>
      <c r="I33"/>
    </row>
    <row r="34" spans="1:15" s="11" customFormat="1" x14ac:dyDescent="0.3">
      <c r="A34" s="19" t="s">
        <v>9</v>
      </c>
      <c r="B34" s="20">
        <f>SUM(B33+'Oct 2017'!B35)</f>
        <v>979</v>
      </c>
      <c r="C34" s="20">
        <f>SUM(C33+'Oct 2017'!C35)</f>
        <v>1362</v>
      </c>
      <c r="D34" s="20">
        <f>SUM(D33+'Oct 2017'!D35)</f>
        <v>3860</v>
      </c>
      <c r="E34" s="21">
        <f>SUM(E33+'Oct 2017'!E35)</f>
        <v>2.7100000000000004</v>
      </c>
      <c r="F34" s="21">
        <f>SUM(F33+'Oct 2017'!F35)</f>
        <v>1</v>
      </c>
      <c r="G34" s="20">
        <f>SUM(G33+'Oct 2017'!G35)</f>
        <v>12412</v>
      </c>
      <c r="H34" s="21"/>
    </row>
    <row r="35" spans="1:15" x14ac:dyDescent="0.3">
      <c r="I35" s="11"/>
    </row>
    <row r="36" spans="1:15" x14ac:dyDescent="0.3">
      <c r="A36" t="s">
        <v>10</v>
      </c>
      <c r="B36" s="23">
        <f>SUM(B3:B32)*1.9835</f>
        <v>749.76300000000003</v>
      </c>
      <c r="C36" s="23">
        <f>SUM(C3:C32)*1.9835</f>
        <v>1081.0074999999999</v>
      </c>
      <c r="D36" s="23">
        <f>SUM(D3:D32)*1.9835</f>
        <v>1380.5160000000001</v>
      </c>
      <c r="E36" s="23"/>
      <c r="F36" s="23"/>
      <c r="G36" s="23"/>
      <c r="I36" s="22"/>
    </row>
    <row r="37" spans="1:15" x14ac:dyDescent="0.3">
      <c r="A37"/>
      <c r="B37"/>
      <c r="C37"/>
      <c r="D37"/>
      <c r="G37"/>
    </row>
    <row r="38" spans="1:15" x14ac:dyDescent="0.3">
      <c r="A38" t="s">
        <v>24</v>
      </c>
      <c r="B38" s="23">
        <f>SUM('Oct 2017'!B39+B36)</f>
        <v>1941.8465000000001</v>
      </c>
      <c r="C38" s="23">
        <f>SUM('Oct 2017'!C39+C36)</f>
        <v>2701.527</v>
      </c>
      <c r="D38" s="23">
        <f>SUM('Oct 2017'!D39+D36)</f>
        <v>7656.3099999999995</v>
      </c>
      <c r="E38" s="23"/>
      <c r="F38" s="23"/>
      <c r="G38" s="23"/>
      <c r="I38" s="22"/>
    </row>
    <row r="39" spans="1:15" x14ac:dyDescent="0.3">
      <c r="A39"/>
      <c r="B39" s="23"/>
      <c r="C39" s="23"/>
      <c r="D39" s="24"/>
      <c r="E39" s="23"/>
      <c r="F39" s="23"/>
      <c r="G39" s="23"/>
      <c r="I39" s="22"/>
    </row>
    <row r="40" spans="1:15" ht="17.399999999999999" customHeight="1" x14ac:dyDescent="0.3">
      <c r="A40" s="125"/>
      <c r="B40" s="125"/>
      <c r="C40" s="125"/>
      <c r="D40" s="125"/>
      <c r="E40" s="125"/>
      <c r="F40" s="126"/>
      <c r="G40" s="127" t="s">
        <v>12</v>
      </c>
      <c r="H40" s="128"/>
      <c r="I40" s="30"/>
      <c r="J40" s="30"/>
      <c r="K40" s="30"/>
      <c r="L40" s="30"/>
      <c r="M40" s="30"/>
      <c r="N40" s="31"/>
      <c r="O40" s="30"/>
    </row>
    <row r="41" spans="1:15" ht="16.95" customHeight="1" x14ac:dyDescent="0.3">
      <c r="A41" s="29"/>
      <c r="B41" s="29"/>
      <c r="C41" s="29"/>
      <c r="D41" s="29"/>
      <c r="E41" s="29"/>
      <c r="F41" s="29"/>
      <c r="G41" s="127"/>
      <c r="H41" s="128"/>
      <c r="I41" s="30"/>
      <c r="J41" s="30"/>
      <c r="K41" s="30"/>
      <c r="L41" s="30"/>
      <c r="M41" s="30"/>
      <c r="N41" s="31"/>
      <c r="O41" s="30"/>
    </row>
    <row r="42" spans="1:15" ht="13.95" customHeight="1" x14ac:dyDescent="0.3">
      <c r="A42" s="130" t="s">
        <v>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32"/>
      <c r="L42" s="32"/>
      <c r="M42" s="32"/>
      <c r="N42" s="33"/>
      <c r="O42" s="34"/>
    </row>
    <row r="43" spans="1:15" ht="15.6" customHeight="1" x14ac:dyDescent="0.3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3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2" customHeight="1" x14ac:dyDescent="0.3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" thickBot="1" x14ac:dyDescent="0.35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5.8" x14ac:dyDescent="0.3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6" x14ac:dyDescent="0.3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3">
      <c r="A53" s="67"/>
      <c r="B53" s="68"/>
      <c r="C53" s="69"/>
      <c r="D53" s="61"/>
      <c r="E53" s="70"/>
      <c r="F53" s="71"/>
      <c r="G53" s="64"/>
      <c r="H53" s="65"/>
    </row>
    <row r="54" spans="1:15" x14ac:dyDescent="0.3">
      <c r="A54" s="67"/>
      <c r="B54" s="68"/>
      <c r="C54" s="69"/>
      <c r="D54" s="61"/>
      <c r="E54" s="72"/>
      <c r="F54" s="71"/>
      <c r="G54" s="64"/>
      <c r="H54" s="65"/>
    </row>
    <row r="55" spans="1:15" x14ac:dyDescent="0.3">
      <c r="A55" s="67"/>
      <c r="B55" s="68"/>
      <c r="C55" s="69"/>
      <c r="D55" s="61"/>
      <c r="E55" s="72"/>
      <c r="F55" s="71"/>
      <c r="G55" s="64"/>
      <c r="H55" s="65"/>
    </row>
    <row r="56" spans="1:15" ht="15" thickBot="1" x14ac:dyDescent="0.35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3">
      <c r="A57" s="131" t="s">
        <v>21</v>
      </c>
      <c r="B57" s="132"/>
      <c r="C57" s="133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59"/>
  <sheetViews>
    <sheetView zoomScale="90" zoomScaleNormal="9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E34" sqref="E34"/>
    </sheetView>
  </sheetViews>
  <sheetFormatPr defaultRowHeight="14.4" x14ac:dyDescent="0.3"/>
  <cols>
    <col min="1" max="1" width="13.5546875" style="2" bestFit="1" customWidth="1"/>
    <col min="2" max="4" width="11.6640625" style="10" customWidth="1"/>
    <col min="5" max="6" width="11.6640625" style="8" customWidth="1"/>
    <col min="7" max="7" width="11.6640625" style="10" customWidth="1"/>
    <col min="8" max="8" width="11.6640625" style="4" customWidth="1"/>
    <col min="9" max="9" width="27.44140625" customWidth="1"/>
  </cols>
  <sheetData>
    <row r="1" spans="1:9" s="1" customFormat="1" ht="31.2" x14ac:dyDescent="0.3">
      <c r="A1" s="93" t="s">
        <v>0</v>
      </c>
      <c r="B1" s="94" t="s">
        <v>5</v>
      </c>
      <c r="C1" s="94" t="s">
        <v>1</v>
      </c>
      <c r="D1" s="94" t="s">
        <v>2</v>
      </c>
      <c r="E1" s="95" t="s">
        <v>6</v>
      </c>
      <c r="F1" s="95" t="s">
        <v>7</v>
      </c>
      <c r="G1" s="94" t="s">
        <v>3</v>
      </c>
      <c r="H1" s="96" t="s">
        <v>4</v>
      </c>
      <c r="I1" s="3" t="s">
        <v>11</v>
      </c>
    </row>
    <row r="2" spans="1:9" s="1" customFormat="1" ht="15.6" x14ac:dyDescent="0.3">
      <c r="A2" s="97"/>
      <c r="B2" s="94" t="s">
        <v>25</v>
      </c>
      <c r="C2" s="94" t="s">
        <v>25</v>
      </c>
      <c r="D2" s="94" t="s">
        <v>25</v>
      </c>
      <c r="E2" s="95"/>
      <c r="F2" s="95"/>
      <c r="G2" s="94" t="s">
        <v>27</v>
      </c>
      <c r="H2" s="96"/>
      <c r="I2" s="85"/>
    </row>
    <row r="3" spans="1:9" ht="15.6" x14ac:dyDescent="0.3">
      <c r="A3" s="104">
        <v>43009</v>
      </c>
      <c r="B3" s="98">
        <v>0</v>
      </c>
      <c r="C3" s="98">
        <v>83</v>
      </c>
      <c r="D3" s="98">
        <v>94</v>
      </c>
      <c r="E3" s="99">
        <v>0</v>
      </c>
      <c r="F3" s="99">
        <v>0</v>
      </c>
      <c r="G3" s="98">
        <v>318</v>
      </c>
      <c r="H3" s="99">
        <v>4034.8</v>
      </c>
      <c r="I3" s="107"/>
    </row>
    <row r="4" spans="1:9" ht="15.6" x14ac:dyDescent="0.3">
      <c r="A4" s="104">
        <v>43010</v>
      </c>
      <c r="B4" s="98">
        <v>0</v>
      </c>
      <c r="C4" s="98">
        <v>105</v>
      </c>
      <c r="D4" s="98">
        <v>104</v>
      </c>
      <c r="E4" s="99">
        <v>0</v>
      </c>
      <c r="F4" s="99">
        <v>0</v>
      </c>
      <c r="G4" s="98">
        <v>318</v>
      </c>
      <c r="H4" s="99">
        <v>4034.8</v>
      </c>
      <c r="I4" s="107"/>
    </row>
    <row r="5" spans="1:9" ht="15.6" x14ac:dyDescent="0.3">
      <c r="A5" s="104">
        <v>43011</v>
      </c>
      <c r="B5" s="98">
        <v>0</v>
      </c>
      <c r="C5" s="98">
        <v>78</v>
      </c>
      <c r="D5" s="98">
        <v>109</v>
      </c>
      <c r="E5" s="99">
        <v>0</v>
      </c>
      <c r="F5" s="99">
        <v>0</v>
      </c>
      <c r="G5" s="98">
        <v>318</v>
      </c>
      <c r="H5" s="99">
        <v>4034.8</v>
      </c>
      <c r="I5" s="107"/>
    </row>
    <row r="6" spans="1:9" ht="15.6" x14ac:dyDescent="0.3">
      <c r="A6" s="104">
        <v>43012</v>
      </c>
      <c r="B6" s="98">
        <v>0</v>
      </c>
      <c r="C6" s="98">
        <v>62</v>
      </c>
      <c r="D6" s="98">
        <v>130</v>
      </c>
      <c r="E6" s="99">
        <v>0</v>
      </c>
      <c r="F6" s="99">
        <v>0</v>
      </c>
      <c r="G6" s="98">
        <v>318</v>
      </c>
      <c r="H6" s="99">
        <v>4034.79</v>
      </c>
      <c r="I6" s="107"/>
    </row>
    <row r="7" spans="1:9" ht="15.6" x14ac:dyDescent="0.3">
      <c r="A7" s="104">
        <v>43013</v>
      </c>
      <c r="B7" s="98">
        <v>0</v>
      </c>
      <c r="C7" s="98">
        <v>68</v>
      </c>
      <c r="D7" s="98">
        <v>134</v>
      </c>
      <c r="E7" s="99">
        <v>0</v>
      </c>
      <c r="F7" s="99">
        <v>0</v>
      </c>
      <c r="G7" s="98">
        <v>318</v>
      </c>
      <c r="H7" s="99">
        <v>4034.79</v>
      </c>
      <c r="I7" s="107"/>
    </row>
    <row r="8" spans="1:9" ht="15.6" x14ac:dyDescent="0.3">
      <c r="A8" s="104">
        <v>43014</v>
      </c>
      <c r="B8" s="98">
        <v>0</v>
      </c>
      <c r="C8" s="98">
        <v>0</v>
      </c>
      <c r="D8" s="98">
        <v>141</v>
      </c>
      <c r="E8" s="99">
        <v>0</v>
      </c>
      <c r="F8" s="99">
        <v>0</v>
      </c>
      <c r="G8" s="98">
        <v>318</v>
      </c>
      <c r="H8" s="99">
        <v>4034.78</v>
      </c>
      <c r="I8" s="107"/>
    </row>
    <row r="9" spans="1:9" ht="15.6" x14ac:dyDescent="0.3">
      <c r="A9" s="104">
        <v>43015</v>
      </c>
      <c r="B9" s="98">
        <v>0</v>
      </c>
      <c r="C9" s="98">
        <v>0</v>
      </c>
      <c r="D9" s="98">
        <v>147</v>
      </c>
      <c r="E9" s="99">
        <v>0</v>
      </c>
      <c r="F9" s="99">
        <v>0</v>
      </c>
      <c r="G9" s="98">
        <v>318</v>
      </c>
      <c r="H9" s="99">
        <v>4034.77</v>
      </c>
      <c r="I9" s="107"/>
    </row>
    <row r="10" spans="1:9" ht="15.6" x14ac:dyDescent="0.3">
      <c r="A10" s="104">
        <v>43016</v>
      </c>
      <c r="B10" s="98">
        <v>0</v>
      </c>
      <c r="C10" s="98">
        <v>0</v>
      </c>
      <c r="D10" s="98">
        <v>151</v>
      </c>
      <c r="E10" s="99">
        <v>0</v>
      </c>
      <c r="F10" s="99">
        <v>0</v>
      </c>
      <c r="G10" s="98">
        <v>318</v>
      </c>
      <c r="H10" s="99">
        <v>4034.75</v>
      </c>
      <c r="I10" s="107"/>
    </row>
    <row r="11" spans="1:9" ht="15.6" x14ac:dyDescent="0.3">
      <c r="A11" s="104">
        <v>43017</v>
      </c>
      <c r="B11" s="98">
        <v>0</v>
      </c>
      <c r="C11" s="98">
        <v>21</v>
      </c>
      <c r="D11" s="98">
        <v>149</v>
      </c>
      <c r="E11" s="99">
        <v>0</v>
      </c>
      <c r="F11" s="99">
        <v>0</v>
      </c>
      <c r="G11" s="98">
        <v>318</v>
      </c>
      <c r="H11" s="99">
        <v>4034.73</v>
      </c>
      <c r="I11" s="107"/>
    </row>
    <row r="12" spans="1:9" ht="15.6" x14ac:dyDescent="0.3">
      <c r="A12" s="104">
        <v>43018</v>
      </c>
      <c r="B12" s="98">
        <v>0</v>
      </c>
      <c r="C12" s="98">
        <v>35</v>
      </c>
      <c r="D12" s="98">
        <v>133</v>
      </c>
      <c r="E12" s="99">
        <v>0</v>
      </c>
      <c r="F12" s="99">
        <v>0</v>
      </c>
      <c r="G12" s="98">
        <v>318</v>
      </c>
      <c r="H12" s="99">
        <v>4034.7</v>
      </c>
      <c r="I12" s="107"/>
    </row>
    <row r="13" spans="1:9" ht="15.6" x14ac:dyDescent="0.3">
      <c r="A13" s="104">
        <v>43019</v>
      </c>
      <c r="B13" s="98">
        <v>0</v>
      </c>
      <c r="C13" s="98">
        <v>63</v>
      </c>
      <c r="D13" s="98">
        <v>122</v>
      </c>
      <c r="E13" s="99">
        <v>0</v>
      </c>
      <c r="F13" s="99">
        <v>0</v>
      </c>
      <c r="G13" s="98">
        <v>318</v>
      </c>
      <c r="H13" s="99">
        <v>4034.68</v>
      </c>
      <c r="I13" s="107" t="s">
        <v>28</v>
      </c>
    </row>
    <row r="14" spans="1:9" ht="15.6" x14ac:dyDescent="0.3">
      <c r="A14" s="104">
        <v>43020</v>
      </c>
      <c r="B14" s="98">
        <v>0</v>
      </c>
      <c r="C14" s="98">
        <v>57</v>
      </c>
      <c r="D14" s="98">
        <v>114</v>
      </c>
      <c r="E14" s="99">
        <v>0</v>
      </c>
      <c r="F14" s="99">
        <v>0</v>
      </c>
      <c r="G14" s="98">
        <v>223</v>
      </c>
      <c r="H14" s="99">
        <v>4034.66</v>
      </c>
      <c r="I14" s="107"/>
    </row>
    <row r="15" spans="1:9" ht="15.6" x14ac:dyDescent="0.3">
      <c r="A15" s="104">
        <v>43021</v>
      </c>
      <c r="B15" s="98">
        <v>0</v>
      </c>
      <c r="C15" s="98">
        <v>62</v>
      </c>
      <c r="D15" s="98">
        <v>98</v>
      </c>
      <c r="E15" s="99">
        <v>0</v>
      </c>
      <c r="F15" s="99">
        <v>0</v>
      </c>
      <c r="G15" s="98">
        <v>160</v>
      </c>
      <c r="H15" s="99">
        <v>4034.66</v>
      </c>
      <c r="I15" s="107"/>
    </row>
    <row r="16" spans="1:9" ht="15.6" x14ac:dyDescent="0.3">
      <c r="A16" s="104">
        <v>43022</v>
      </c>
      <c r="B16" s="98">
        <v>0</v>
      </c>
      <c r="C16" s="98">
        <v>66</v>
      </c>
      <c r="D16" s="98">
        <v>85</v>
      </c>
      <c r="E16" s="99">
        <v>0</v>
      </c>
      <c r="F16" s="99">
        <v>0</v>
      </c>
      <c r="G16" s="98">
        <v>160</v>
      </c>
      <c r="H16" s="99">
        <v>4034.66</v>
      </c>
      <c r="I16" s="107"/>
    </row>
    <row r="17" spans="1:9" ht="15.6" x14ac:dyDescent="0.3">
      <c r="A17" s="104">
        <v>43023</v>
      </c>
      <c r="B17" s="98">
        <v>0</v>
      </c>
      <c r="C17" s="98">
        <v>56</v>
      </c>
      <c r="D17" s="98">
        <v>92</v>
      </c>
      <c r="E17" s="99">
        <v>0</v>
      </c>
      <c r="F17" s="99">
        <v>0</v>
      </c>
      <c r="G17" s="98">
        <v>160</v>
      </c>
      <c r="H17" s="99">
        <v>4034.66</v>
      </c>
      <c r="I17" s="107"/>
    </row>
    <row r="18" spans="1:9" ht="15.6" x14ac:dyDescent="0.3">
      <c r="A18" s="104">
        <v>43024</v>
      </c>
      <c r="B18" s="98">
        <v>0</v>
      </c>
      <c r="C18" s="98">
        <v>23</v>
      </c>
      <c r="D18" s="98">
        <v>108</v>
      </c>
      <c r="E18" s="99">
        <v>0</v>
      </c>
      <c r="F18" s="99">
        <v>0</v>
      </c>
      <c r="G18" s="98">
        <v>262</v>
      </c>
      <c r="H18" s="99">
        <v>4034.68</v>
      </c>
      <c r="I18" s="107" t="s">
        <v>30</v>
      </c>
    </row>
    <row r="19" spans="1:9" ht="15.6" x14ac:dyDescent="0.3">
      <c r="A19" s="104">
        <v>43025</v>
      </c>
      <c r="B19" s="98">
        <v>31</v>
      </c>
      <c r="C19" s="98">
        <v>0</v>
      </c>
      <c r="D19" s="98">
        <v>114</v>
      </c>
      <c r="E19" s="99">
        <v>0</v>
      </c>
      <c r="F19" s="99">
        <v>0</v>
      </c>
      <c r="G19" s="98">
        <v>318</v>
      </c>
      <c r="H19" s="99">
        <v>4034.68</v>
      </c>
      <c r="I19" s="108" t="s">
        <v>29</v>
      </c>
    </row>
    <row r="20" spans="1:9" ht="15.6" x14ac:dyDescent="0.3">
      <c r="A20" s="104">
        <v>43026</v>
      </c>
      <c r="B20" s="98">
        <v>66</v>
      </c>
      <c r="C20" s="98">
        <v>0</v>
      </c>
      <c r="D20" s="98">
        <v>116</v>
      </c>
      <c r="E20" s="99">
        <v>0</v>
      </c>
      <c r="F20" s="99">
        <v>0</v>
      </c>
      <c r="G20" s="98">
        <v>318</v>
      </c>
      <c r="H20" s="99">
        <v>4034.68</v>
      </c>
      <c r="I20" s="107" t="s">
        <v>31</v>
      </c>
    </row>
    <row r="21" spans="1:9" ht="15.6" x14ac:dyDescent="0.3">
      <c r="A21" s="104">
        <v>43027</v>
      </c>
      <c r="B21" s="98">
        <v>75</v>
      </c>
      <c r="C21" s="98">
        <v>0</v>
      </c>
      <c r="D21" s="98">
        <v>105</v>
      </c>
      <c r="E21" s="99">
        <v>0</v>
      </c>
      <c r="F21" s="99">
        <v>0</v>
      </c>
      <c r="G21" s="98">
        <v>305</v>
      </c>
      <c r="H21" s="99">
        <v>4034.68</v>
      </c>
      <c r="I21" s="107"/>
    </row>
    <row r="22" spans="1:9" ht="15.6" x14ac:dyDescent="0.3">
      <c r="A22" s="104">
        <v>43028</v>
      </c>
      <c r="B22" s="98">
        <v>75</v>
      </c>
      <c r="C22" s="98">
        <v>0</v>
      </c>
      <c r="D22" s="98">
        <v>99</v>
      </c>
      <c r="E22" s="99">
        <v>0.74</v>
      </c>
      <c r="F22" s="99">
        <v>0.25</v>
      </c>
      <c r="G22" s="98">
        <v>160</v>
      </c>
      <c r="H22" s="99">
        <v>4034.68</v>
      </c>
      <c r="I22" s="107"/>
    </row>
    <row r="23" spans="1:9" ht="15.6" x14ac:dyDescent="0.3">
      <c r="A23" s="104">
        <v>43029</v>
      </c>
      <c r="B23" s="98">
        <v>45</v>
      </c>
      <c r="C23" s="98">
        <v>10</v>
      </c>
      <c r="D23" s="98">
        <v>75</v>
      </c>
      <c r="E23" s="99">
        <v>0.15</v>
      </c>
      <c r="F23" s="99">
        <v>0.25</v>
      </c>
      <c r="G23" s="98">
        <v>160</v>
      </c>
      <c r="H23" s="99">
        <v>4034.68</v>
      </c>
      <c r="I23" s="107" t="s">
        <v>32</v>
      </c>
    </row>
    <row r="24" spans="1:9" ht="15.6" x14ac:dyDescent="0.3">
      <c r="A24" s="104">
        <v>43030</v>
      </c>
      <c r="B24" s="98">
        <v>25</v>
      </c>
      <c r="C24" s="98">
        <v>20</v>
      </c>
      <c r="D24" s="98">
        <v>65</v>
      </c>
      <c r="E24" s="99">
        <v>0.01</v>
      </c>
      <c r="F24" s="99">
        <v>0</v>
      </c>
      <c r="G24" s="98">
        <v>160</v>
      </c>
      <c r="H24" s="99">
        <v>4034.68</v>
      </c>
      <c r="I24" s="107"/>
    </row>
    <row r="25" spans="1:9" ht="15.6" x14ac:dyDescent="0.3">
      <c r="A25" s="104">
        <v>43031</v>
      </c>
      <c r="B25" s="98">
        <v>25</v>
      </c>
      <c r="C25" s="98">
        <v>8</v>
      </c>
      <c r="D25" s="98">
        <v>100</v>
      </c>
      <c r="E25" s="99">
        <v>0.01</v>
      </c>
      <c r="F25" s="99">
        <v>0</v>
      </c>
      <c r="G25" s="98">
        <v>260</v>
      </c>
      <c r="H25" s="99">
        <v>4034.66</v>
      </c>
      <c r="I25" s="107"/>
    </row>
    <row r="26" spans="1:9" ht="15.6" x14ac:dyDescent="0.3">
      <c r="A26" s="104">
        <v>43032</v>
      </c>
      <c r="B26" s="98">
        <v>25</v>
      </c>
      <c r="C26" s="98">
        <v>0</v>
      </c>
      <c r="D26" s="98">
        <v>95</v>
      </c>
      <c r="E26" s="99">
        <v>0</v>
      </c>
      <c r="F26" s="99">
        <v>0</v>
      </c>
      <c r="G26" s="98">
        <v>318</v>
      </c>
      <c r="H26" s="99">
        <v>4034.64</v>
      </c>
      <c r="I26" s="107"/>
    </row>
    <row r="27" spans="1:9" ht="15.6" x14ac:dyDescent="0.3">
      <c r="A27" s="104">
        <v>43033</v>
      </c>
      <c r="B27" s="98">
        <v>25</v>
      </c>
      <c r="C27" s="98">
        <v>0</v>
      </c>
      <c r="D27" s="98">
        <v>85</v>
      </c>
      <c r="E27" s="99">
        <v>0</v>
      </c>
      <c r="F27" s="99">
        <v>0</v>
      </c>
      <c r="G27" s="98">
        <v>318</v>
      </c>
      <c r="H27" s="99">
        <v>4034.64</v>
      </c>
      <c r="I27" s="107"/>
    </row>
    <row r="28" spans="1:9" ht="15.6" x14ac:dyDescent="0.3">
      <c r="A28" s="104">
        <v>43034</v>
      </c>
      <c r="B28" s="98">
        <v>25</v>
      </c>
      <c r="C28" s="98">
        <v>0</v>
      </c>
      <c r="D28" s="98">
        <v>82</v>
      </c>
      <c r="E28" s="99">
        <v>0</v>
      </c>
      <c r="F28" s="99">
        <v>0</v>
      </c>
      <c r="G28" s="98">
        <v>318</v>
      </c>
      <c r="H28" s="99">
        <v>4034.62</v>
      </c>
      <c r="I28" s="107"/>
    </row>
    <row r="29" spans="1:9" ht="15.6" x14ac:dyDescent="0.3">
      <c r="A29" s="104">
        <v>43035</v>
      </c>
      <c r="B29" s="98">
        <v>25</v>
      </c>
      <c r="C29" s="98">
        <v>0</v>
      </c>
      <c r="D29" s="98">
        <v>79</v>
      </c>
      <c r="E29" s="99">
        <v>0</v>
      </c>
      <c r="F29" s="99">
        <v>0</v>
      </c>
      <c r="G29" s="98">
        <v>318</v>
      </c>
      <c r="H29" s="99">
        <v>4034.6</v>
      </c>
      <c r="I29" s="107"/>
    </row>
    <row r="30" spans="1:9" ht="15.6" x14ac:dyDescent="0.3">
      <c r="A30" s="104">
        <v>43036</v>
      </c>
      <c r="B30" s="98">
        <v>41</v>
      </c>
      <c r="C30" s="98">
        <v>0</v>
      </c>
      <c r="D30" s="98">
        <v>69</v>
      </c>
      <c r="E30" s="99">
        <v>0</v>
      </c>
      <c r="F30" s="99">
        <v>0</v>
      </c>
      <c r="G30" s="98">
        <v>318</v>
      </c>
      <c r="H30" s="99">
        <v>4034.56</v>
      </c>
      <c r="I30" s="107" t="s">
        <v>33</v>
      </c>
    </row>
    <row r="31" spans="1:9" ht="15.6" x14ac:dyDescent="0.3">
      <c r="A31" s="104">
        <v>43037</v>
      </c>
      <c r="B31" s="98">
        <v>38</v>
      </c>
      <c r="C31" s="98">
        <v>0</v>
      </c>
      <c r="D31" s="98">
        <v>50</v>
      </c>
      <c r="E31" s="99">
        <v>0</v>
      </c>
      <c r="F31" s="99">
        <v>0</v>
      </c>
      <c r="G31" s="98">
        <v>318</v>
      </c>
      <c r="H31" s="99">
        <v>4034.54</v>
      </c>
      <c r="I31" s="107" t="s">
        <v>34</v>
      </c>
    </row>
    <row r="32" spans="1:9" ht="15.6" x14ac:dyDescent="0.3">
      <c r="A32" s="104">
        <v>43038</v>
      </c>
      <c r="B32" s="98">
        <v>25</v>
      </c>
      <c r="C32" s="98">
        <v>0</v>
      </c>
      <c r="D32" s="98">
        <v>55</v>
      </c>
      <c r="E32" s="99">
        <v>0</v>
      </c>
      <c r="F32" s="99">
        <v>0</v>
      </c>
      <c r="G32" s="98">
        <v>318</v>
      </c>
      <c r="H32" s="99">
        <v>4034.5</v>
      </c>
      <c r="I32" s="107"/>
    </row>
    <row r="33" spans="1:14" ht="16.2" thickBot="1" x14ac:dyDescent="0.35">
      <c r="A33" s="104">
        <v>43039</v>
      </c>
      <c r="B33" s="98">
        <v>55</v>
      </c>
      <c r="C33" s="98">
        <v>0</v>
      </c>
      <c r="D33" s="98">
        <v>64</v>
      </c>
      <c r="E33" s="99">
        <v>0</v>
      </c>
      <c r="F33" s="99">
        <v>0</v>
      </c>
      <c r="G33" s="98">
        <v>318</v>
      </c>
      <c r="H33" s="99">
        <v>4034.48</v>
      </c>
      <c r="I33" s="107" t="s">
        <v>35</v>
      </c>
    </row>
    <row r="34" spans="1:14" ht="16.2" thickTop="1" x14ac:dyDescent="0.3">
      <c r="A34" s="100" t="s">
        <v>8</v>
      </c>
      <c r="B34" s="98">
        <f t="shared" ref="B34:G34" si="0">SUM(B3:B33)</f>
        <v>601</v>
      </c>
      <c r="C34" s="98">
        <f t="shared" si="0"/>
        <v>817</v>
      </c>
      <c r="D34" s="98">
        <f t="shared" si="0"/>
        <v>3164</v>
      </c>
      <c r="E34" s="98">
        <f t="shared" si="0"/>
        <v>0.91</v>
      </c>
      <c r="F34" s="98">
        <f t="shared" si="0"/>
        <v>0.5</v>
      </c>
      <c r="G34" s="98">
        <f t="shared" si="0"/>
        <v>8688</v>
      </c>
      <c r="H34" s="98"/>
      <c r="J34" s="11"/>
    </row>
    <row r="35" spans="1:14" s="11" customFormat="1" ht="15.6" x14ac:dyDescent="0.3">
      <c r="A35" s="101" t="s">
        <v>9</v>
      </c>
      <c r="B35" s="102">
        <f>SUM(B34+'Oct 2017'!B36)</f>
        <v>601</v>
      </c>
      <c r="C35" s="102">
        <f>SUM(C34+'Oct 2017'!C36)</f>
        <v>817</v>
      </c>
      <c r="D35" s="102">
        <f>SUM(D34+'Oct 2017'!D36)</f>
        <v>3164</v>
      </c>
      <c r="E35" s="103">
        <f>SUM(E34+'Oct 2017'!E36)</f>
        <v>0.91</v>
      </c>
      <c r="F35" s="103">
        <f>SUM(F34+'Oct 2017'!F36)</f>
        <v>0.5</v>
      </c>
      <c r="G35" s="102">
        <f>SUM(G34+'Oct 2017'!G36)</f>
        <v>8688</v>
      </c>
      <c r="H35" s="103"/>
    </row>
    <row r="36" spans="1:14" s="11" customFormat="1" x14ac:dyDescent="0.3">
      <c r="A36" s="2"/>
      <c r="B36" s="6"/>
      <c r="C36" s="6"/>
      <c r="D36" s="6"/>
      <c r="E36"/>
      <c r="F36"/>
      <c r="G36" s="6"/>
      <c r="H36"/>
      <c r="J36"/>
    </row>
    <row r="37" spans="1:14" x14ac:dyDescent="0.3">
      <c r="A37" t="s">
        <v>10</v>
      </c>
      <c r="B37" s="23">
        <f>SUM(B3:B33)*1.9835</f>
        <v>1192.0835</v>
      </c>
      <c r="C37" s="23">
        <f>SUM(C3:C33)*1.9835</f>
        <v>1620.5195000000001</v>
      </c>
      <c r="D37" s="23">
        <f>SUM(D3:D33)*1.9835</f>
        <v>6275.7939999999999</v>
      </c>
      <c r="E37" s="23"/>
      <c r="F37" s="23"/>
      <c r="G37" s="23"/>
      <c r="H37"/>
      <c r="I37" s="22"/>
    </row>
    <row r="38" spans="1:14" x14ac:dyDescent="0.3">
      <c r="A38"/>
      <c r="B38"/>
      <c r="C38"/>
      <c r="D38"/>
      <c r="E38"/>
      <c r="F38"/>
      <c r="G38"/>
      <c r="H38"/>
    </row>
    <row r="39" spans="1:14" x14ac:dyDescent="0.3">
      <c r="A39" t="s">
        <v>24</v>
      </c>
      <c r="B39" s="23">
        <f>SUM('Oct 2017'!B40+B37)</f>
        <v>1192.0835</v>
      </c>
      <c r="C39" s="23">
        <f>SUM('Oct 2017'!C40+C37)</f>
        <v>1620.5195000000001</v>
      </c>
      <c r="D39" s="23">
        <f>SUM('Oct 2017'!D40+D37)</f>
        <v>6275.7939999999999</v>
      </c>
      <c r="E39" s="23"/>
      <c r="F39" s="23"/>
      <c r="G39" s="23"/>
      <c r="H39"/>
      <c r="I39" s="22"/>
    </row>
    <row r="40" spans="1:14" x14ac:dyDescent="0.3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3">
      <c r="A41" s="125"/>
      <c r="B41" s="125"/>
      <c r="C41" s="125"/>
      <c r="D41" s="125"/>
      <c r="E41" s="125"/>
      <c r="F41" s="126"/>
      <c r="G41" s="127" t="s">
        <v>12</v>
      </c>
      <c r="H41" s="128"/>
      <c r="I41" s="30"/>
      <c r="J41" s="30"/>
    </row>
    <row r="42" spans="1:14" ht="17.399999999999999" customHeight="1" x14ac:dyDescent="0.3">
      <c r="A42" s="29"/>
      <c r="B42" s="29"/>
      <c r="C42" s="29"/>
      <c r="D42" s="29"/>
      <c r="E42" s="29"/>
      <c r="F42" s="29"/>
      <c r="G42" s="127"/>
      <c r="H42" s="128"/>
      <c r="I42" s="30"/>
      <c r="J42" s="30"/>
      <c r="K42" s="30"/>
      <c r="L42" s="30"/>
      <c r="M42" s="31"/>
      <c r="N42" s="30"/>
    </row>
    <row r="43" spans="1:14" ht="16.95" customHeight="1" x14ac:dyDescent="0.3">
      <c r="A43" s="130" t="s">
        <v>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30"/>
      <c r="L43" s="30"/>
      <c r="M43" s="31"/>
      <c r="N43" s="30"/>
    </row>
    <row r="44" spans="1:14" ht="13.95" customHeight="1" x14ac:dyDescent="0.3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3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3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3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3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3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3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2" customHeight="1" thickBot="1" x14ac:dyDescent="0.35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5.8" x14ac:dyDescent="0.3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6" x14ac:dyDescent="0.3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3">
      <c r="A54" s="67"/>
      <c r="B54" s="68"/>
      <c r="C54" s="69"/>
      <c r="D54" s="61"/>
      <c r="E54" s="70"/>
      <c r="F54" s="71"/>
      <c r="G54" s="64"/>
      <c r="H54" s="65"/>
    </row>
    <row r="55" spans="1:14" x14ac:dyDescent="0.3">
      <c r="A55" s="67"/>
      <c r="B55" s="68"/>
      <c r="C55" s="69"/>
      <c r="D55" s="61"/>
      <c r="E55" s="72"/>
      <c r="F55" s="71"/>
      <c r="G55" s="64"/>
      <c r="H55" s="65"/>
    </row>
    <row r="56" spans="1:14" x14ac:dyDescent="0.3">
      <c r="A56" s="67"/>
      <c r="B56" s="68"/>
      <c r="C56" s="69"/>
      <c r="D56" s="61"/>
      <c r="E56" s="72"/>
      <c r="F56" s="71"/>
      <c r="G56" s="64"/>
      <c r="H56" s="65"/>
    </row>
    <row r="57" spans="1:14" ht="15" thickBot="1" x14ac:dyDescent="0.35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5.8" thickBot="1" x14ac:dyDescent="0.35">
      <c r="A58" s="131" t="s">
        <v>21</v>
      </c>
      <c r="B58" s="132"/>
      <c r="C58" s="133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3">
      <c r="A59" s="131" t="s">
        <v>21</v>
      </c>
      <c r="B59" s="132"/>
      <c r="C59" s="133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2018</vt:lpstr>
      <vt:lpstr>Aug 2018</vt:lpstr>
      <vt:lpstr>Jul 2018</vt:lpstr>
      <vt:lpstr>Jun 2018</vt:lpstr>
      <vt:lpstr>May 2018</vt:lpstr>
      <vt:lpstr>Apr 2018</vt:lpstr>
      <vt:lpstr>Mar 2018</vt:lpstr>
      <vt:lpstr>Feb 2018</vt:lpstr>
      <vt:lpstr>Jan 2018</vt:lpstr>
      <vt:lpstr>Dec 2017</vt:lpstr>
      <vt:lpstr>Nov 2017</vt:lpstr>
      <vt:lpstr>Oct 2017</vt:lpstr>
      <vt:lpstr>'Apr 2018'!Print_Area</vt:lpstr>
      <vt:lpstr>'Aug 2018'!Print_Area</vt:lpstr>
      <vt:lpstr>'Feb 2018'!Print_Area</vt:lpstr>
      <vt:lpstr>'Jan 2018'!Print_Area</vt:lpstr>
      <vt:lpstr>'Jul 2018'!Print_Area</vt:lpstr>
      <vt:lpstr>'Jun 2018'!Print_Area</vt:lpstr>
      <vt:lpstr>'Mar 2018'!Print_Area</vt:lpstr>
      <vt:lpstr>'Nov 2017'!Print_Area</vt:lpstr>
      <vt:lpstr>'Oct 2017'!Print_Area</vt:lpstr>
      <vt:lpstr>'Sep 2018'!Print_Area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dfelstul</cp:lastModifiedBy>
  <cp:lastPrinted>2018-09-18T17:04:00Z</cp:lastPrinted>
  <dcterms:created xsi:type="dcterms:W3CDTF">2010-05-21T17:05:57Z</dcterms:created>
  <dcterms:modified xsi:type="dcterms:W3CDTF">2019-01-10T21:16:34Z</dcterms:modified>
</cp:coreProperties>
</file>