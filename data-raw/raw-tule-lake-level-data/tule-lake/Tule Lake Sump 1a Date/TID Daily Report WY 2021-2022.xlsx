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0730" windowHeight="11160" tabRatio="868"/>
  </bookViews>
  <sheets>
    <sheet name="Sep 2022" sheetId="12" r:id="rId1"/>
    <sheet name="Aug 2022" sheetId="11" r:id="rId2"/>
    <sheet name="Jul 2022" sheetId="10" r:id="rId3"/>
    <sheet name="Jun 2022" sheetId="9" r:id="rId4"/>
    <sheet name="May 2022" sheetId="8" r:id="rId5"/>
    <sheet name="Apr 2022" sheetId="7" r:id="rId6"/>
    <sheet name="Mar 2022" sheetId="6" r:id="rId7"/>
    <sheet name="Feb 2022" sheetId="5" r:id="rId8"/>
    <sheet name="Jan 2022" sheetId="4" r:id="rId9"/>
    <sheet name="Dec 2021" sheetId="3" r:id="rId10"/>
    <sheet name="Nov 2021" sheetId="2" r:id="rId11"/>
    <sheet name="Oct 2021" sheetId="1" r:id="rId12"/>
  </sheets>
  <definedNames>
    <definedName name="_xlnm.Print_Area" localSheetId="5">'Apr 2022'!$A$1:$I$34</definedName>
    <definedName name="_xlnm.Print_Area" localSheetId="1">'Aug 2022'!$A$1:$I$39</definedName>
    <definedName name="_xlnm.Print_Area" localSheetId="7">'Feb 2022'!$A$1:$I$33</definedName>
    <definedName name="_xlnm.Print_Area" localSheetId="8">'Jan 2022'!$A$1:$I$35</definedName>
    <definedName name="_xlnm.Print_Area" localSheetId="2">'Jul 2022'!$A$1:$I$39</definedName>
    <definedName name="_xlnm.Print_Area" localSheetId="3">'Jun 2022'!$A$1:$I$38</definedName>
    <definedName name="_xlnm.Print_Area" localSheetId="6">'Mar 2022'!$A$1:$I$35</definedName>
    <definedName name="_xlnm.Print_Area" localSheetId="10">'Nov 2021'!$A$1:$I$38</definedName>
    <definedName name="_xlnm.Print_Area" localSheetId="11">'Oct 2021'!$A$1:$I$40</definedName>
    <definedName name="_xlnm.Print_Area" localSheetId="0">'Sep 2022'!$A$1:$I$38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33" i="12" l="1"/>
  <c r="B36" i="12"/>
  <c r="B34" i="11"/>
  <c r="B37" i="11"/>
  <c r="B34" i="10"/>
  <c r="B37" i="10"/>
  <c r="B33" i="9"/>
  <c r="B36" i="9"/>
  <c r="B34" i="8"/>
  <c r="B37" i="8"/>
  <c r="B33" i="7"/>
  <c r="B34" i="6"/>
  <c r="B37" i="6"/>
  <c r="B34" i="1"/>
  <c r="B35" i="1"/>
  <c r="B37" i="1"/>
  <c r="B39" i="1" s="1"/>
  <c r="B38" i="2" s="1"/>
  <c r="B33" i="2"/>
  <c r="B36" i="2"/>
  <c r="B34" i="3"/>
  <c r="B37" i="3"/>
  <c r="B34" i="4"/>
  <c r="B37" i="4"/>
  <c r="B32" i="5"/>
  <c r="B35" i="5"/>
  <c r="B36" i="7" l="1"/>
  <c r="B34" i="2"/>
  <c r="B35" i="3" s="1"/>
  <c r="B35" i="4" s="1"/>
  <c r="B33" i="5" s="1"/>
  <c r="B35" i="6" s="1"/>
  <c r="B34" i="7" s="1"/>
  <c r="B35" i="8" s="1"/>
  <c r="B34" i="9" s="1"/>
  <c r="B35" i="10" s="1"/>
  <c r="B35" i="11" s="1"/>
  <c r="B34" i="12" s="1"/>
  <c r="B39" i="3"/>
  <c r="B39" i="4"/>
  <c r="B37" i="5" s="1"/>
  <c r="B39" i="6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4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4" i="10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4" i="9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4" i="6"/>
  <c r="A5" i="6" s="1"/>
  <c r="A6" i="6" s="1"/>
  <c r="A7" i="6" s="1"/>
  <c r="A8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B38" i="7" l="1"/>
  <c r="B39" i="8" s="1"/>
  <c r="B38" i="9" s="1"/>
  <c r="B39" i="10" s="1"/>
  <c r="B39" i="11" s="1"/>
  <c r="B38" i="12" s="1"/>
  <c r="H33" i="12"/>
  <c r="G33" i="12"/>
  <c r="F33" i="12"/>
  <c r="E33" i="12"/>
  <c r="D33" i="12"/>
  <c r="C33" i="12"/>
  <c r="E37" i="11"/>
  <c r="D37" i="11"/>
  <c r="C37" i="11"/>
  <c r="H33" i="9"/>
  <c r="G33" i="9"/>
  <c r="F33" i="9"/>
  <c r="E33" i="9"/>
  <c r="D33" i="9"/>
  <c r="H33" i="2"/>
  <c r="H34" i="1"/>
  <c r="H35" i="1" s="1"/>
  <c r="D37" i="1" l="1"/>
  <c r="E37" i="1"/>
  <c r="E39" i="1" s="1"/>
  <c r="C37" i="1"/>
  <c r="C39" i="1" s="1"/>
  <c r="H32" i="5" l="1"/>
  <c r="C33" i="7"/>
  <c r="C36" i="7" s="1"/>
  <c r="D33" i="7"/>
  <c r="D36" i="7" s="1"/>
  <c r="E33" i="7"/>
  <c r="E36" i="7" s="1"/>
  <c r="F33" i="7"/>
  <c r="G33" i="7"/>
  <c r="H33" i="7"/>
  <c r="G44" i="7"/>
  <c r="H44" i="7"/>
  <c r="G45" i="7"/>
  <c r="H45" i="7"/>
  <c r="G46" i="7"/>
  <c r="H46" i="7"/>
  <c r="G47" i="7"/>
  <c r="H47" i="7"/>
  <c r="G48" i="7"/>
  <c r="H48" i="7"/>
  <c r="I48" i="7" s="1"/>
  <c r="G52" i="7"/>
  <c r="G53" i="7"/>
  <c r="G54" i="7"/>
  <c r="G55" i="7"/>
  <c r="G56" i="7"/>
  <c r="E57" i="7"/>
  <c r="C34" i="11"/>
  <c r="D34" i="11"/>
  <c r="E34" i="11"/>
  <c r="F34" i="11"/>
  <c r="G34" i="11"/>
  <c r="H34" i="11"/>
  <c r="G45" i="11"/>
  <c r="H45" i="11"/>
  <c r="G46" i="11"/>
  <c r="H46" i="11"/>
  <c r="G47" i="11"/>
  <c r="H47" i="11"/>
  <c r="G48" i="11"/>
  <c r="H48" i="11"/>
  <c r="G49" i="11"/>
  <c r="H49" i="11"/>
  <c r="G53" i="11"/>
  <c r="G54" i="11"/>
  <c r="G55" i="11"/>
  <c r="G56" i="11"/>
  <c r="G57" i="11"/>
  <c r="E58" i="11"/>
  <c r="C34" i="3"/>
  <c r="D34" i="3"/>
  <c r="E34" i="3"/>
  <c r="F34" i="3"/>
  <c r="G34" i="3"/>
  <c r="H34" i="3"/>
  <c r="C37" i="3"/>
  <c r="D37" i="3"/>
  <c r="E37" i="3"/>
  <c r="G45" i="3"/>
  <c r="H45" i="3"/>
  <c r="G46" i="3"/>
  <c r="H46" i="3"/>
  <c r="G47" i="3"/>
  <c r="H47" i="3"/>
  <c r="G48" i="3"/>
  <c r="H48" i="3"/>
  <c r="G49" i="3"/>
  <c r="H49" i="3"/>
  <c r="E58" i="3"/>
  <c r="G58" i="3"/>
  <c r="C32" i="5"/>
  <c r="D32" i="5"/>
  <c r="E32" i="5"/>
  <c r="F32" i="5"/>
  <c r="G32" i="5"/>
  <c r="C35" i="5"/>
  <c r="D35" i="5"/>
  <c r="E35" i="5"/>
  <c r="G43" i="5"/>
  <c r="H43" i="5"/>
  <c r="I43" i="5" s="1"/>
  <c r="G44" i="5"/>
  <c r="H44" i="5"/>
  <c r="G45" i="5"/>
  <c r="H45" i="5"/>
  <c r="I45" i="5" s="1"/>
  <c r="G46" i="5"/>
  <c r="H46" i="5"/>
  <c r="G47" i="5"/>
  <c r="H47" i="5"/>
  <c r="G51" i="5"/>
  <c r="G52" i="5"/>
  <c r="G53" i="5"/>
  <c r="G54" i="5"/>
  <c r="G55" i="5"/>
  <c r="E56" i="5"/>
  <c r="C34" i="4"/>
  <c r="D34" i="4"/>
  <c r="E34" i="4"/>
  <c r="F34" i="4"/>
  <c r="G34" i="4"/>
  <c r="H34" i="4"/>
  <c r="C37" i="4"/>
  <c r="D37" i="4"/>
  <c r="E37" i="4"/>
  <c r="G45" i="4"/>
  <c r="H45" i="4"/>
  <c r="G46" i="4"/>
  <c r="H46" i="4"/>
  <c r="G47" i="4"/>
  <c r="H47" i="4"/>
  <c r="G48" i="4"/>
  <c r="H48" i="4"/>
  <c r="G49" i="4"/>
  <c r="H49" i="4"/>
  <c r="G53" i="4"/>
  <c r="G54" i="4"/>
  <c r="G55" i="4"/>
  <c r="G56" i="4"/>
  <c r="G57" i="4"/>
  <c r="E58" i="4"/>
  <c r="C34" i="10"/>
  <c r="D34" i="10"/>
  <c r="E34" i="10"/>
  <c r="F34" i="10"/>
  <c r="G34" i="10"/>
  <c r="H34" i="10"/>
  <c r="C37" i="10"/>
  <c r="D37" i="10"/>
  <c r="E37" i="10"/>
  <c r="G45" i="10"/>
  <c r="H45" i="10"/>
  <c r="G46" i="10"/>
  <c r="H46" i="10"/>
  <c r="G47" i="10"/>
  <c r="H47" i="10"/>
  <c r="G48" i="10"/>
  <c r="H48" i="10"/>
  <c r="G49" i="10"/>
  <c r="H49" i="10"/>
  <c r="G53" i="10"/>
  <c r="G54" i="10"/>
  <c r="G55" i="10"/>
  <c r="G56" i="10"/>
  <c r="G57" i="10"/>
  <c r="E58" i="10"/>
  <c r="C33" i="9"/>
  <c r="C36" i="9"/>
  <c r="D36" i="9"/>
  <c r="E36" i="9"/>
  <c r="G44" i="9"/>
  <c r="H44" i="9"/>
  <c r="G45" i="9"/>
  <c r="H45" i="9"/>
  <c r="G46" i="9"/>
  <c r="H46" i="9"/>
  <c r="G47" i="9"/>
  <c r="H47" i="9"/>
  <c r="G48" i="9"/>
  <c r="H48" i="9"/>
  <c r="G52" i="9"/>
  <c r="G53" i="9"/>
  <c r="G54" i="9"/>
  <c r="G55" i="9"/>
  <c r="G56" i="9"/>
  <c r="E57" i="9"/>
  <c r="C34" i="6"/>
  <c r="D34" i="6"/>
  <c r="E34" i="6"/>
  <c r="F34" i="6"/>
  <c r="G34" i="6"/>
  <c r="H34" i="6"/>
  <c r="C37" i="6"/>
  <c r="D37" i="6"/>
  <c r="E37" i="6"/>
  <c r="G45" i="6"/>
  <c r="H45" i="6"/>
  <c r="I45" i="6" s="1"/>
  <c r="G46" i="6"/>
  <c r="H46" i="6"/>
  <c r="G47" i="6"/>
  <c r="H47" i="6"/>
  <c r="G48" i="6"/>
  <c r="H48" i="6"/>
  <c r="G49" i="6"/>
  <c r="H49" i="6"/>
  <c r="I49" i="6" s="1"/>
  <c r="G53" i="6"/>
  <c r="G54" i="6"/>
  <c r="G55" i="6"/>
  <c r="G56" i="6"/>
  <c r="G57" i="6"/>
  <c r="E58" i="6"/>
  <c r="C34" i="8"/>
  <c r="D34" i="8"/>
  <c r="E34" i="8"/>
  <c r="F34" i="8"/>
  <c r="G34" i="8"/>
  <c r="H34" i="8"/>
  <c r="C37" i="8"/>
  <c r="D37" i="8"/>
  <c r="E37" i="8"/>
  <c r="G45" i="8"/>
  <c r="H45" i="8"/>
  <c r="G46" i="8"/>
  <c r="H46" i="8"/>
  <c r="G47" i="8"/>
  <c r="H47" i="8"/>
  <c r="G48" i="8"/>
  <c r="H48" i="8"/>
  <c r="G49" i="8"/>
  <c r="H49" i="8"/>
  <c r="G53" i="8"/>
  <c r="G54" i="8"/>
  <c r="G55" i="8"/>
  <c r="G56" i="8"/>
  <c r="G57" i="8"/>
  <c r="E58" i="8"/>
  <c r="C33" i="2"/>
  <c r="D33" i="2"/>
  <c r="E33" i="2"/>
  <c r="F33" i="2"/>
  <c r="G33" i="2"/>
  <c r="H34" i="2"/>
  <c r="C36" i="2"/>
  <c r="D36" i="2"/>
  <c r="E36" i="2"/>
  <c r="E38" i="2" s="1"/>
  <c r="G44" i="2"/>
  <c r="H44" i="2"/>
  <c r="G45" i="2"/>
  <c r="H45" i="2"/>
  <c r="G46" i="2"/>
  <c r="H46" i="2"/>
  <c r="G47" i="2"/>
  <c r="H47" i="2"/>
  <c r="I47" i="2" s="1"/>
  <c r="G48" i="2"/>
  <c r="H48" i="2"/>
  <c r="E57" i="2"/>
  <c r="G57" i="2"/>
  <c r="C34" i="1"/>
  <c r="C35" i="1" s="1"/>
  <c r="D34" i="1"/>
  <c r="D35" i="1" s="1"/>
  <c r="E34" i="1"/>
  <c r="E35" i="1" s="1"/>
  <c r="F34" i="1"/>
  <c r="F35" i="1" s="1"/>
  <c r="G34" i="1"/>
  <c r="G35" i="1" s="1"/>
  <c r="D39" i="1"/>
  <c r="G45" i="1"/>
  <c r="H45" i="1"/>
  <c r="G46" i="1"/>
  <c r="H46" i="1"/>
  <c r="G47" i="1"/>
  <c r="H47" i="1"/>
  <c r="I47" i="1" s="1"/>
  <c r="G48" i="1"/>
  <c r="H48" i="1"/>
  <c r="G49" i="1"/>
  <c r="H49" i="1"/>
  <c r="E58" i="1"/>
  <c r="E59" i="1" s="1"/>
  <c r="G58" i="1"/>
  <c r="G59" i="1" s="1"/>
  <c r="C36" i="12"/>
  <c r="D36" i="12"/>
  <c r="E36" i="12"/>
  <c r="G44" i="12"/>
  <c r="H44" i="12"/>
  <c r="G45" i="12"/>
  <c r="H45" i="12"/>
  <c r="G46" i="12"/>
  <c r="H46" i="12"/>
  <c r="G47" i="12"/>
  <c r="H47" i="12"/>
  <c r="G48" i="12"/>
  <c r="H48" i="12"/>
  <c r="G52" i="12"/>
  <c r="G53" i="12"/>
  <c r="G54" i="12"/>
  <c r="G55" i="12"/>
  <c r="G56" i="12"/>
  <c r="E57" i="12"/>
  <c r="I46" i="1" l="1"/>
  <c r="I46" i="2"/>
  <c r="I48" i="6"/>
  <c r="I49" i="1"/>
  <c r="I47" i="6"/>
  <c r="I44" i="7"/>
  <c r="I49" i="8"/>
  <c r="I45" i="8"/>
  <c r="I47" i="3"/>
  <c r="I45" i="4"/>
  <c r="I47" i="12"/>
  <c r="I44" i="9"/>
  <c r="I46" i="5"/>
  <c r="G58" i="10"/>
  <c r="I47" i="4"/>
  <c r="I46" i="10"/>
  <c r="I45" i="3"/>
  <c r="I44" i="12"/>
  <c r="E39" i="3"/>
  <c r="E39" i="4" s="1"/>
  <c r="E37" i="5" s="1"/>
  <c r="E39" i="6" s="1"/>
  <c r="E38" i="7" s="1"/>
  <c r="E39" i="8" s="1"/>
  <c r="E38" i="9" s="1"/>
  <c r="E39" i="10" s="1"/>
  <c r="E39" i="11" s="1"/>
  <c r="E38" i="12" s="1"/>
  <c r="I47" i="8"/>
  <c r="I46" i="6"/>
  <c r="I47" i="9"/>
  <c r="I45" i="9"/>
  <c r="I45" i="10"/>
  <c r="G56" i="5"/>
  <c r="I48" i="3"/>
  <c r="G57" i="12"/>
  <c r="I45" i="12"/>
  <c r="I48" i="8"/>
  <c r="I46" i="8"/>
  <c r="I48" i="9"/>
  <c r="I45" i="1"/>
  <c r="I48" i="2"/>
  <c r="I45" i="2"/>
  <c r="G57" i="9"/>
  <c r="I46" i="9"/>
  <c r="I48" i="10"/>
  <c r="I49" i="4"/>
  <c r="I49" i="3"/>
  <c r="I44" i="2"/>
  <c r="G58" i="8"/>
  <c r="I49" i="10"/>
  <c r="I47" i="10"/>
  <c r="I48" i="4"/>
  <c r="G57" i="7"/>
  <c r="I46" i="7"/>
  <c r="I48" i="12"/>
  <c r="I46" i="12"/>
  <c r="I48" i="1"/>
  <c r="G58" i="4"/>
  <c r="I46" i="4"/>
  <c r="I47" i="5"/>
  <c r="I44" i="5"/>
  <c r="I46" i="3"/>
  <c r="I47" i="7"/>
  <c r="I45" i="7"/>
  <c r="G58" i="6"/>
  <c r="I46" i="11"/>
  <c r="I49" i="11"/>
  <c r="I47" i="11"/>
  <c r="I45" i="11"/>
  <c r="I48" i="11"/>
  <c r="G58" i="11"/>
  <c r="C34" i="2"/>
  <c r="C35" i="3" s="1"/>
  <c r="C35" i="4" s="1"/>
  <c r="C33" i="5" s="1"/>
  <c r="C35" i="6" s="1"/>
  <c r="C34" i="7" s="1"/>
  <c r="C35" i="8" s="1"/>
  <c r="C34" i="9" s="1"/>
  <c r="C35" i="10" s="1"/>
  <c r="C35" i="11" s="1"/>
  <c r="C34" i="12" s="1"/>
  <c r="C38" i="2"/>
  <c r="C39" i="3" s="1"/>
  <c r="C39" i="4" s="1"/>
  <c r="C37" i="5" s="1"/>
  <c r="C39" i="6" s="1"/>
  <c r="C38" i="7" s="1"/>
  <c r="C39" i="8" s="1"/>
  <c r="C38" i="9" s="1"/>
  <c r="C39" i="10" s="1"/>
  <c r="C39" i="11" s="1"/>
  <c r="C38" i="12" s="1"/>
  <c r="D38" i="2"/>
  <c r="D39" i="3" s="1"/>
  <c r="D39" i="4" s="1"/>
  <c r="D37" i="5" s="1"/>
  <c r="D39" i="6" s="1"/>
  <c r="D38" i="7" s="1"/>
  <c r="D39" i="8" s="1"/>
  <c r="D38" i="9" s="1"/>
  <c r="D39" i="10" s="1"/>
  <c r="D39" i="11" s="1"/>
  <c r="D38" i="12" s="1"/>
  <c r="D34" i="2"/>
  <c r="D35" i="3" s="1"/>
  <c r="D35" i="4" s="1"/>
  <c r="D33" i="5" s="1"/>
  <c r="D35" i="6" s="1"/>
  <c r="D34" i="7" s="1"/>
  <c r="D35" i="8" s="1"/>
  <c r="D34" i="9" s="1"/>
  <c r="D35" i="10" s="1"/>
  <c r="D35" i="11" s="1"/>
  <c r="D34" i="12" s="1"/>
  <c r="G34" i="2"/>
  <c r="G35" i="3" s="1"/>
  <c r="G35" i="4" s="1"/>
  <c r="G33" i="5" s="1"/>
  <c r="G35" i="6" s="1"/>
  <c r="G34" i="7" s="1"/>
  <c r="G35" i="8" s="1"/>
  <c r="G34" i="9" s="1"/>
  <c r="G35" i="10" s="1"/>
  <c r="G35" i="11" s="1"/>
  <c r="G34" i="12" s="1"/>
  <c r="H35" i="3"/>
  <c r="H35" i="4" s="1"/>
  <c r="H33" i="5" s="1"/>
  <c r="H35" i="6" s="1"/>
  <c r="H34" i="7" s="1"/>
  <c r="H35" i="8" s="1"/>
  <c r="H34" i="9" s="1"/>
  <c r="H35" i="10" s="1"/>
  <c r="H35" i="11" s="1"/>
  <c r="H34" i="12" s="1"/>
  <c r="F34" i="2"/>
  <c r="F35" i="3" s="1"/>
  <c r="F35" i="4" s="1"/>
  <c r="F33" i="5" s="1"/>
  <c r="F35" i="6" s="1"/>
  <c r="F34" i="7" s="1"/>
  <c r="F35" i="8" s="1"/>
  <c r="F34" i="9" s="1"/>
  <c r="F35" i="10" s="1"/>
  <c r="F35" i="11" s="1"/>
  <c r="F34" i="12" s="1"/>
  <c r="E34" i="2"/>
  <c r="E35" i="3" s="1"/>
  <c r="E35" i="4" s="1"/>
  <c r="E33" i="5" s="1"/>
  <c r="E35" i="6" s="1"/>
  <c r="E34" i="7" s="1"/>
  <c r="E35" i="8" s="1"/>
  <c r="E34" i="9" s="1"/>
  <c r="E35" i="10" s="1"/>
  <c r="E35" i="11" s="1"/>
  <c r="E34" i="12" s="1"/>
</calcChain>
</file>

<file path=xl/sharedStrings.xml><?xml version="1.0" encoding="utf-8"?>
<sst xmlns="http://schemas.openxmlformats.org/spreadsheetml/2006/main" count="812" uniqueCount="85">
  <si>
    <t>DATE</t>
  </si>
  <si>
    <t>ANDERSON-ROSE</t>
  </si>
  <si>
    <t>J CANAL</t>
  </si>
  <si>
    <t>D PLANT</t>
  </si>
  <si>
    <t>TULE LAKE ELEV.</t>
  </si>
  <si>
    <t>STATION 48</t>
  </si>
  <si>
    <t>TULE LAKE PRECIP</t>
  </si>
  <si>
    <t>TULE LAKE SNOW</t>
  </si>
  <si>
    <t>Monthly Total</t>
  </si>
  <si>
    <t>WY Total</t>
  </si>
  <si>
    <t>Acre Feet</t>
  </si>
  <si>
    <t>CHANGES @ STATION 48</t>
  </si>
  <si>
    <t>*  COMPUTATIONAL PURPOSES ONLY!  Do Not Enter Data in the Red Columns</t>
  </si>
  <si>
    <t>Time</t>
  </si>
  <si>
    <t>Current CFS</t>
  </si>
  <si>
    <t>Hours Run</t>
  </si>
  <si>
    <t>+/- cfs</t>
  </si>
  <si>
    <t>Sta 48</t>
  </si>
  <si>
    <t>Use for more than 1 change in a day.</t>
  </si>
  <si>
    <t>**Station 48:</t>
  </si>
  <si>
    <t>Sub-total cfs</t>
  </si>
  <si>
    <t>Total Hours Run</t>
  </si>
  <si>
    <t>Total/Day cfs</t>
  </si>
  <si>
    <t>*This is computation purposes only for Station 48</t>
  </si>
  <si>
    <t>WY AF Total</t>
  </si>
  <si>
    <t>(in CFS)</t>
  </si>
  <si>
    <t>(in AF)</t>
  </si>
  <si>
    <t xml:space="preserve"> </t>
  </si>
  <si>
    <t>* 08:30 0/14</t>
  </si>
  <si>
    <t>T</t>
  </si>
  <si>
    <t>-</t>
  </si>
  <si>
    <t>* 10:00 14/40</t>
  </si>
  <si>
    <t>* 08:00 40/30 * 13:30 30/20</t>
  </si>
  <si>
    <t>* 09:00 20/25</t>
  </si>
  <si>
    <t>* 12:00 25/30</t>
  </si>
  <si>
    <t>* 08:00 30/25</t>
  </si>
  <si>
    <t>* 12:00 25/5</t>
  </si>
  <si>
    <t>* 12:00 5/20</t>
  </si>
  <si>
    <t>* 00:00 20/0</t>
  </si>
  <si>
    <t>* 13:00 0/35</t>
  </si>
  <si>
    <t>* 16:00 35/25</t>
  </si>
  <si>
    <t>* 12:00 25/35</t>
  </si>
  <si>
    <t>* 12:00 35/28</t>
  </si>
  <si>
    <t>LRDC</t>
  </si>
  <si>
    <t>*12:00 28/33</t>
  </si>
  <si>
    <t>* 10:00 33/35</t>
  </si>
  <si>
    <t>* 12:00 35/25</t>
  </si>
  <si>
    <t>* 11:00 25/20</t>
  </si>
  <si>
    <t>*11:00 25/75</t>
  </si>
  <si>
    <t>* 15:00 75/50</t>
  </si>
  <si>
    <t>* 10:00 50/40</t>
  </si>
  <si>
    <t>* 08:00 40/30</t>
  </si>
  <si>
    <t>*13:00 30/40</t>
  </si>
  <si>
    <t>* 12:00 40/30</t>
  </si>
  <si>
    <t>* 08:30 30/48 increase due to 18 cfs adams pump going on</t>
  </si>
  <si>
    <t>*07:00 48/75 *13:00 75/100       * 18:00 100/40</t>
  </si>
  <si>
    <t>* 09:00 40/30</t>
  </si>
  <si>
    <t>* 09:00 30/40 due to AR dropping below 30 cfs</t>
  </si>
  <si>
    <t>* 10:00 30/40</t>
  </si>
  <si>
    <t>* 09:00 40/50</t>
  </si>
  <si>
    <t>* 03:00 50/40</t>
  </si>
  <si>
    <t>*15:00 40/30  J canal corrected from 41 to 40 cfs</t>
  </si>
  <si>
    <t>* 21:30 30/50</t>
  </si>
  <si>
    <t>* 13:00 50/30</t>
  </si>
  <si>
    <t>* 14:00 30/50 * 18:00 corrected J canal corrected from 52 to 55</t>
  </si>
  <si>
    <t>* 07:30 50/75 * 13:00 75/100</t>
  </si>
  <si>
    <t>* 17:30 100/150</t>
  </si>
  <si>
    <t>* 14:00 150/200</t>
  </si>
  <si>
    <t>* 15:30 200/150</t>
  </si>
  <si>
    <t>*15:30 150/175</t>
  </si>
  <si>
    <t>*11:00 175/125</t>
  </si>
  <si>
    <t>*14:30 125/100</t>
  </si>
  <si>
    <t>*15:00 100/150</t>
  </si>
  <si>
    <t>*19:00 150/200</t>
  </si>
  <si>
    <t>*12:00 200/150</t>
  </si>
  <si>
    <t>* 12:00 150/200</t>
  </si>
  <si>
    <t>* 13:00 200/250</t>
  </si>
  <si>
    <t>* 15:00 250/200</t>
  </si>
  <si>
    <t>* 18:30 150/250</t>
  </si>
  <si>
    <t xml:space="preserve">* 22:00 250/30  </t>
  </si>
  <si>
    <t>* 07:30 30/0 * 18:30 0/100</t>
  </si>
  <si>
    <t>* 16:30 100/25</t>
  </si>
  <si>
    <t>* 10:00 15/20</t>
  </si>
  <si>
    <t>* 08:30 17/22</t>
  </si>
  <si>
    <t>LRDC Below Sill Sta 48 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</si>
</sst>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0.0"/>
    <numFmt numFmtId="166" formatCode="0_);[Red]\(0\)"/>
    <numFmt numFmtId="167" formatCode="h:mm;@"/>
  </numFmts>
  <fonts count="2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b/>
      <sz val="10"/>
      <color indexed="10"/>
      <name val="MS Sans Serif"/>
      <family val="2"/>
    </font>
    <font>
      <b/>
      <sz val="8"/>
      <color indexed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b/>
      <sz val="10"/>
      <color indexed="12"/>
      <name val="MS Sans Serif"/>
      <family val="2"/>
    </font>
    <font>
      <b/>
      <sz val="10"/>
      <color indexed="58"/>
      <name val="MS Sans Serif"/>
      <family val="2"/>
    </font>
    <font>
      <b/>
      <sz val="10"/>
      <color indexed="8"/>
      <name val="MS Sans Serif"/>
      <family val="2"/>
    </font>
    <font>
      <sz val="10"/>
      <color indexed="10"/>
      <name val="MS Sans Serif"/>
      <family val="2"/>
    </font>
    <font>
      <sz val="10"/>
      <name val="MS Sans Serif"/>
      <family val="2"/>
    </font>
    <font>
      <b/>
      <sz val="12"/>
      <color indexed="12"/>
      <name val="MS Sans Serif"/>
      <family val="2"/>
    </font>
    <font>
      <sz val="10"/>
      <color indexed="12"/>
      <name val="MS Sans Serif"/>
      <family val="2"/>
    </font>
    <font>
      <sz val="10"/>
      <color indexed="58"/>
      <name val="MS Sans Serif"/>
      <family val="2"/>
    </font>
    <font>
      <sz val="12"/>
      <color indexed="12"/>
      <name val="MS Sans Serif"/>
      <family val="2"/>
    </font>
    <font>
      <b/>
      <sz val="10"/>
      <color indexed="12"/>
      <name val="MS Sans Serif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13"/>
        <bgColor indexed="64"/>
      </patternFill>
    </fill>
  </fills>
  <borders count="3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5" fillId="0" borderId="0"/>
    <xf numFmtId="0" fontId="2" fillId="0" borderId="0"/>
  </cellStyleXfs>
  <cellXfs count="120">
    <xf numFmtId="0" fontId="0" fillId="0" borderId="0" xfId="0"/>
    <xf numFmtId="0" fontId="6" fillId="0" borderId="0" xfId="0" applyFont="1" applyAlignment="1">
      <alignment wrapText="1"/>
    </xf>
    <xf numFmtId="14" fontId="0" fillId="0" borderId="0" xfId="0" applyNumberFormat="1"/>
    <xf numFmtId="4" fontId="3" fillId="2" borderId="1" xfId="1" applyNumberFormat="1" applyFont="1" applyFill="1" applyBorder="1" applyAlignment="1">
      <alignment horizontal="center" wrapText="1"/>
    </xf>
    <xf numFmtId="4" fontId="0" fillId="0" borderId="0" xfId="0" applyNumberFormat="1"/>
    <xf numFmtId="3" fontId="3" fillId="2" borderId="1" xfId="1" applyNumberFormat="1" applyFont="1" applyFill="1" applyBorder="1" applyAlignment="1">
      <alignment horizontal="center" wrapText="1"/>
    </xf>
    <xf numFmtId="3" fontId="0" fillId="0" borderId="0" xfId="0" applyNumberFormat="1"/>
    <xf numFmtId="2" fontId="3" fillId="2" borderId="1" xfId="1" applyNumberFormat="1" applyFont="1" applyFill="1" applyBorder="1" applyAlignment="1">
      <alignment horizontal="center" wrapText="1"/>
    </xf>
    <xf numFmtId="2" fontId="0" fillId="0" borderId="0" xfId="0" applyNumberFormat="1"/>
    <xf numFmtId="1" fontId="3" fillId="2" borderId="1" xfId="1" applyNumberFormat="1" applyFont="1" applyFill="1" applyBorder="1" applyAlignment="1">
      <alignment horizontal="center" wrapText="1"/>
    </xf>
    <xf numFmtId="1" fontId="0" fillId="0" borderId="0" xfId="0" applyNumberFormat="1"/>
    <xf numFmtId="0" fontId="6" fillId="0" borderId="0" xfId="0" applyFont="1"/>
    <xf numFmtId="14" fontId="4" fillId="0" borderId="1" xfId="2" applyNumberFormat="1" applyFont="1" applyFill="1" applyBorder="1" applyAlignment="1">
      <alignment horizontal="right" wrapText="1"/>
    </xf>
    <xf numFmtId="1" fontId="4" fillId="0" borderId="1" xfId="2" applyNumberFormat="1" applyFont="1" applyFill="1" applyBorder="1" applyAlignment="1">
      <alignment horizontal="right" wrapText="1"/>
    </xf>
    <xf numFmtId="2" fontId="4" fillId="0" borderId="1" xfId="2" applyNumberFormat="1" applyFont="1" applyFill="1" applyBorder="1" applyAlignment="1">
      <alignment horizontal="right" wrapText="1"/>
    </xf>
    <xf numFmtId="14" fontId="6" fillId="0" borderId="2" xfId="0" applyNumberFormat="1" applyFont="1" applyBorder="1"/>
    <xf numFmtId="3" fontId="6" fillId="0" borderId="2" xfId="0" applyNumberFormat="1" applyFont="1" applyBorder="1"/>
    <xf numFmtId="4" fontId="6" fillId="0" borderId="2" xfId="0" applyNumberFormat="1" applyFont="1" applyBorder="1"/>
    <xf numFmtId="14" fontId="6" fillId="0" borderId="1" xfId="0" applyNumberFormat="1" applyFont="1" applyBorder="1"/>
    <xf numFmtId="3" fontId="6" fillId="0" borderId="1" xfId="0" applyNumberFormat="1" applyFont="1" applyBorder="1"/>
    <xf numFmtId="4" fontId="6" fillId="0" borderId="1" xfId="0" applyNumberFormat="1" applyFont="1" applyBorder="1"/>
    <xf numFmtId="165" fontId="0" fillId="0" borderId="0" xfId="0" applyNumberFormat="1"/>
    <xf numFmtId="165" fontId="0" fillId="0" borderId="0" xfId="0" applyNumberFormat="1" applyAlignment="1">
      <alignment horizontal="center"/>
    </xf>
    <xf numFmtId="165" fontId="0" fillId="0" borderId="0" xfId="0" applyNumberFormat="1" applyFill="1" applyAlignment="1">
      <alignment horizontal="center"/>
    </xf>
    <xf numFmtId="4" fontId="1" fillId="0" borderId="1" xfId="3" applyNumberFormat="1" applyFont="1" applyFill="1" applyBorder="1" applyAlignment="1">
      <alignment horizontal="right" wrapText="1"/>
    </xf>
    <xf numFmtId="14" fontId="1" fillId="0" borderId="1" xfId="3" applyNumberFormat="1" applyFont="1" applyFill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0" fontId="9" fillId="0" borderId="0" xfId="2" applyFont="1" applyBorder="1" applyProtection="1"/>
    <xf numFmtId="166" fontId="9" fillId="0" borderId="0" xfId="2" applyNumberFormat="1" applyFont="1" applyBorder="1" applyProtection="1"/>
    <xf numFmtId="0" fontId="10" fillId="0" borderId="0" xfId="0" applyFont="1" applyBorder="1"/>
    <xf numFmtId="166" fontId="10" fillId="0" borderId="0" xfId="0" applyNumberFormat="1" applyFont="1"/>
    <xf numFmtId="0" fontId="10" fillId="0" borderId="0" xfId="0" applyFont="1"/>
    <xf numFmtId="14" fontId="10" fillId="0" borderId="3" xfId="0" applyNumberFormat="1" applyFont="1" applyBorder="1" applyAlignment="1">
      <alignment horizontal="right"/>
    </xf>
    <xf numFmtId="167" fontId="10" fillId="0" borderId="4" xfId="0" applyNumberFormat="1" applyFont="1" applyFill="1" applyBorder="1" applyAlignment="1">
      <alignment horizontal="right"/>
    </xf>
    <xf numFmtId="0" fontId="10" fillId="0" borderId="4" xfId="0" applyFont="1" applyBorder="1"/>
    <xf numFmtId="38" fontId="10" fillId="0" borderId="5" xfId="0" applyNumberFormat="1" applyFont="1" applyFill="1" applyBorder="1" applyAlignment="1">
      <alignment horizontal="right"/>
    </xf>
    <xf numFmtId="0" fontId="14" fillId="0" borderId="3" xfId="0" applyFont="1" applyBorder="1"/>
    <xf numFmtId="1" fontId="14" fillId="0" borderId="4" xfId="0" applyNumberFormat="1" applyFont="1" applyBorder="1"/>
    <xf numFmtId="1" fontId="14" fillId="0" borderId="6" xfId="0" applyNumberFormat="1" applyFont="1" applyBorder="1"/>
    <xf numFmtId="14" fontId="11" fillId="0" borderId="3" xfId="0" applyNumberFormat="1" applyFont="1" applyBorder="1" applyAlignment="1">
      <alignment horizontal="left"/>
    </xf>
    <xf numFmtId="38" fontId="10" fillId="0" borderId="6" xfId="0" applyNumberFormat="1" applyFont="1" applyFill="1" applyBorder="1" applyAlignment="1">
      <alignment horizontal="right"/>
    </xf>
    <xf numFmtId="14" fontId="15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1" fontId="10" fillId="0" borderId="0" xfId="0" applyNumberFormat="1" applyFont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4" fontId="11" fillId="0" borderId="8" xfId="0" applyNumberFormat="1" applyFont="1" applyBorder="1" applyAlignment="1">
      <alignment horizontal="center" wrapText="1"/>
    </xf>
    <xf numFmtId="167" fontId="11" fillId="0" borderId="9" xfId="0" applyNumberFormat="1" applyFont="1" applyFill="1" applyBorder="1" applyAlignment="1">
      <alignment horizontal="center" wrapText="1"/>
    </xf>
    <xf numFmtId="0" fontId="11" fillId="0" borderId="9" xfId="0" applyFont="1" applyBorder="1" applyAlignment="1">
      <alignment horizontal="center" wrapText="1"/>
    </xf>
    <xf numFmtId="0" fontId="11" fillId="0" borderId="9" xfId="0" quotePrefix="1" applyFont="1" applyFill="1" applyBorder="1" applyAlignment="1">
      <alignment horizontal="center" wrapText="1"/>
    </xf>
    <xf numFmtId="0" fontId="11" fillId="0" borderId="10" xfId="0" applyFont="1" applyBorder="1" applyAlignment="1">
      <alignment horizontal="center" wrapText="1"/>
    </xf>
    <xf numFmtId="166" fontId="12" fillId="0" borderId="11" xfId="0" applyNumberFormat="1" applyFont="1" applyBorder="1" applyAlignment="1">
      <alignment horizontal="center" wrapText="1"/>
    </xf>
    <xf numFmtId="0" fontId="12" fillId="0" borderId="0" xfId="0" applyFont="1" applyBorder="1" applyAlignment="1">
      <alignment horizontal="center" wrapText="1"/>
    </xf>
    <xf numFmtId="0" fontId="16" fillId="0" borderId="0" xfId="0" applyFont="1" applyAlignment="1">
      <alignment horizontal="center" wrapText="1"/>
    </xf>
    <xf numFmtId="14" fontId="15" fillId="0" borderId="12" xfId="0" applyNumberFormat="1" applyFont="1" applyBorder="1" applyAlignment="1">
      <alignment horizontal="right"/>
    </xf>
    <xf numFmtId="167" fontId="15" fillId="0" borderId="4" xfId="0" applyNumberFormat="1" applyFont="1" applyFill="1" applyBorder="1" applyAlignment="1">
      <alignment horizontal="right"/>
    </xf>
    <xf numFmtId="0" fontId="15" fillId="0" borderId="4" xfId="0" applyFont="1" applyBorder="1"/>
    <xf numFmtId="0" fontId="17" fillId="0" borderId="4" xfId="0" applyFont="1" applyBorder="1"/>
    <xf numFmtId="38" fontId="15" fillId="0" borderId="4" xfId="0" applyNumberFormat="1" applyFont="1" applyFill="1" applyBorder="1" applyAlignment="1">
      <alignment horizontal="right"/>
    </xf>
    <xf numFmtId="164" fontId="17" fillId="0" borderId="13" xfId="0" applyNumberFormat="1" applyFont="1" applyBorder="1"/>
    <xf numFmtId="166" fontId="18" fillId="0" borderId="11" xfId="0" applyNumberFormat="1" applyFont="1" applyBorder="1"/>
    <xf numFmtId="164" fontId="18" fillId="0" borderId="0" xfId="0" applyNumberFormat="1" applyFont="1" applyBorder="1"/>
    <xf numFmtId="0" fontId="19" fillId="0" borderId="0" xfId="0" applyFont="1"/>
    <xf numFmtId="14" fontId="15" fillId="0" borderId="3" xfId="0" applyNumberFormat="1" applyFont="1" applyBorder="1"/>
    <xf numFmtId="20" fontId="15" fillId="0" borderId="4" xfId="0" applyNumberFormat="1" applyFont="1" applyBorder="1"/>
    <xf numFmtId="1" fontId="15" fillId="0" borderId="4" xfId="0" applyNumberFormat="1" applyFont="1" applyBorder="1"/>
    <xf numFmtId="38" fontId="15" fillId="0" borderId="4" xfId="0" applyNumberFormat="1" applyFont="1" applyBorder="1"/>
    <xf numFmtId="164" fontId="17" fillId="0" borderId="6" xfId="0" applyNumberFormat="1" applyFont="1" applyBorder="1"/>
    <xf numFmtId="38" fontId="15" fillId="0" borderId="14" xfId="0" applyNumberFormat="1" applyFont="1" applyBorder="1"/>
    <xf numFmtId="0" fontId="15" fillId="0" borderId="15" xfId="0" applyFont="1" applyBorder="1"/>
    <xf numFmtId="20" fontId="15" fillId="0" borderId="16" xfId="0" applyNumberFormat="1" applyFont="1" applyBorder="1"/>
    <xf numFmtId="1" fontId="15" fillId="0" borderId="16" xfId="0" applyNumberFormat="1" applyFont="1" applyBorder="1"/>
    <xf numFmtId="0" fontId="17" fillId="0" borderId="16" xfId="0" applyFont="1" applyBorder="1"/>
    <xf numFmtId="164" fontId="17" fillId="0" borderId="17" xfId="0" applyNumberFormat="1" applyFont="1" applyBorder="1"/>
    <xf numFmtId="0" fontId="0" fillId="0" borderId="0" xfId="0" applyBorder="1"/>
    <xf numFmtId="1" fontId="20" fillId="0" borderId="9" xfId="0" applyNumberFormat="1" applyFont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164" fontId="17" fillId="3" borderId="18" xfId="0" applyNumberFormat="1" applyFont="1" applyFill="1" applyBorder="1" applyAlignment="1">
      <alignment vertical="center"/>
    </xf>
    <xf numFmtId="166" fontId="18" fillId="0" borderId="11" xfId="0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" fontId="3" fillId="2" borderId="0" xfId="1" applyNumberFormat="1" applyFont="1" applyFill="1" applyBorder="1" applyAlignment="1">
      <alignment horizontal="center" wrapText="1"/>
    </xf>
    <xf numFmtId="14" fontId="3" fillId="2" borderId="19" xfId="1" applyNumberFormat="1" applyFont="1" applyFill="1" applyBorder="1" applyAlignment="1">
      <alignment wrapText="1"/>
    </xf>
    <xf numFmtId="14" fontId="3" fillId="2" borderId="20" xfId="1" applyNumberFormat="1" applyFont="1" applyFill="1" applyBorder="1" applyAlignment="1">
      <alignment horizontal="center" wrapText="1"/>
    </xf>
    <xf numFmtId="3" fontId="22" fillId="0" borderId="1" xfId="3" applyNumberFormat="1" applyFont="1" applyFill="1" applyBorder="1" applyAlignment="1">
      <alignment horizontal="right" wrapText="1"/>
    </xf>
    <xf numFmtId="14" fontId="21" fillId="0" borderId="2" xfId="0" applyNumberFormat="1" applyFont="1" applyBorder="1"/>
    <xf numFmtId="14" fontId="21" fillId="0" borderId="1" xfId="0" applyNumberFormat="1" applyFont="1" applyBorder="1"/>
    <xf numFmtId="3" fontId="21" fillId="0" borderId="1" xfId="0" applyNumberFormat="1" applyFont="1" applyBorder="1"/>
    <xf numFmtId="4" fontId="21" fillId="0" borderId="1" xfId="0" applyNumberFormat="1" applyFont="1" applyBorder="1"/>
    <xf numFmtId="14" fontId="22" fillId="0" borderId="1" xfId="3" applyNumberFormat="1" applyFont="1" applyFill="1" applyBorder="1" applyAlignment="1">
      <alignment horizontal="right" wrapText="1"/>
    </xf>
    <xf numFmtId="1" fontId="1" fillId="0" borderId="1" xfId="2" applyNumberFormat="1" applyFont="1" applyFill="1" applyBorder="1" applyAlignment="1">
      <alignment horizontal="right" wrapText="1"/>
    </xf>
    <xf numFmtId="0" fontId="23" fillId="0" borderId="0" xfId="0" applyFont="1"/>
    <xf numFmtId="0" fontId="24" fillId="0" borderId="27" xfId="0" applyFont="1" applyBorder="1" applyAlignment="1">
      <alignment horizontal="right" wrapText="1"/>
    </xf>
    <xf numFmtId="4" fontId="24" fillId="0" borderId="27" xfId="0" applyNumberFormat="1" applyFont="1" applyBorder="1" applyAlignment="1">
      <alignment horizontal="right" wrapText="1"/>
    </xf>
    <xf numFmtId="0" fontId="24" fillId="0" borderId="0" xfId="0" applyFont="1"/>
    <xf numFmtId="0" fontId="25" fillId="0" borderId="27" xfId="0" applyFont="1" applyBorder="1" applyAlignment="1">
      <alignment horizontal="right"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4" fillId="0" borderId="27" xfId="0" applyFont="1" applyBorder="1" applyAlignment="1">
      <alignment horizontal="right"/>
    </xf>
    <xf numFmtId="0" fontId="24" fillId="0" borderId="28" xfId="0" applyFont="1" applyBorder="1" applyAlignment="1">
      <alignment horizontal="right"/>
    </xf>
    <xf numFmtId="0" fontId="24" fillId="0" borderId="28" xfId="0" applyFont="1" applyBorder="1" applyAlignment="1">
      <alignment horizontal="right" wrapText="1"/>
    </xf>
    <xf numFmtId="14" fontId="24" fillId="0" borderId="27" xfId="0" applyNumberFormat="1" applyFont="1" applyBorder="1" applyAlignment="1">
      <alignment horizontal="right" wrapText="1"/>
    </xf>
    <xf numFmtId="0" fontId="7" fillId="0" borderId="0" xfId="0" applyFont="1" applyBorder="1" applyAlignment="1">
      <alignment horizontal="center"/>
    </xf>
    <xf numFmtId="14" fontId="11" fillId="0" borderId="29" xfId="0" applyNumberFormat="1" applyFont="1" applyBorder="1" applyAlignment="1">
      <alignment horizontal="left"/>
    </xf>
    <xf numFmtId="14" fontId="10" fillId="0" borderId="29" xfId="0" applyNumberFormat="1" applyFont="1" applyBorder="1" applyAlignment="1">
      <alignment horizontal="right"/>
    </xf>
    <xf numFmtId="14" fontId="11" fillId="0" borderId="26" xfId="0" applyNumberFormat="1" applyFont="1" applyBorder="1" applyAlignment="1">
      <alignment horizontal="center" wrapText="1"/>
    </xf>
    <xf numFmtId="14" fontId="15" fillId="0" borderId="30" xfId="0" applyNumberFormat="1" applyFont="1" applyBorder="1" applyAlignment="1">
      <alignment horizontal="right"/>
    </xf>
    <xf numFmtId="14" fontId="15" fillId="0" borderId="29" xfId="0" applyNumberFormat="1" applyFont="1" applyBorder="1"/>
    <xf numFmtId="0" fontId="15" fillId="0" borderId="31" xfId="0" applyFont="1" applyBorder="1"/>
    <xf numFmtId="0" fontId="7" fillId="0" borderId="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8" fillId="0" borderId="22" xfId="2" applyFont="1" applyBorder="1" applyAlignment="1" applyProtection="1">
      <alignment horizontal="center" wrapText="1"/>
    </xf>
    <xf numFmtId="0" fontId="8" fillId="0" borderId="21" xfId="2" applyFont="1" applyBorder="1" applyAlignment="1" applyProtection="1">
      <alignment horizontal="center" wrapText="1"/>
    </xf>
    <xf numFmtId="14" fontId="7" fillId="0" borderId="23" xfId="0" applyNumberFormat="1" applyFont="1" applyBorder="1" applyAlignment="1">
      <alignment horizontal="center"/>
    </xf>
    <xf numFmtId="14" fontId="7" fillId="0" borderId="0" xfId="0" applyNumberFormat="1" applyFont="1" applyBorder="1" applyAlignment="1">
      <alignment horizontal="center"/>
    </xf>
    <xf numFmtId="1" fontId="13" fillId="0" borderId="24" xfId="0" applyNumberFormat="1" applyFont="1" applyBorder="1" applyAlignment="1">
      <alignment horizontal="right" vertical="center" wrapText="1"/>
    </xf>
    <xf numFmtId="1" fontId="13" fillId="0" borderId="25" xfId="0" applyNumberFormat="1" applyFont="1" applyBorder="1" applyAlignment="1">
      <alignment horizontal="right" vertical="center" wrapText="1"/>
    </xf>
    <xf numFmtId="1" fontId="13" fillId="0" borderId="26" xfId="0" applyNumberFormat="1" applyFont="1" applyBorder="1" applyAlignment="1">
      <alignment horizontal="right" vertical="center" wrapText="1"/>
    </xf>
    <xf numFmtId="4" fontId="1" fillId="0" borderId="1" xfId="2" applyNumberFormat="1" applyFont="1" applyFill="1" applyBorder="1" applyAlignment="1">
      <alignment horizontal="right" wrapText="1"/>
    </xf>
  </cellXfs>
  <cellStyles count="4">
    <cellStyle name="Normal" xfId="0" builtinId="0"/>
    <cellStyle name="Normal_Sheet1" xfId="1"/>
    <cellStyle name="Normal_Sheet1_1" xfId="2"/>
    <cellStyle name="Normal_Sheet1_1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2" sqref="I32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6.28515625" bestFit="1" customWidth="1"/>
  </cols>
  <sheetData>
    <row r="1" spans="1:12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2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2" x14ac:dyDescent="0.25">
      <c r="A3" s="25">
        <v>44805</v>
      </c>
      <c r="B3" s="93">
        <v>0</v>
      </c>
      <c r="C3" s="93">
        <v>16</v>
      </c>
      <c r="D3" s="93">
        <v>0</v>
      </c>
      <c r="E3" s="93">
        <v>3</v>
      </c>
      <c r="F3" s="93">
        <v>0</v>
      </c>
      <c r="G3" s="93">
        <v>0</v>
      </c>
      <c r="H3" s="93">
        <v>0</v>
      </c>
      <c r="I3" s="94" t="s">
        <v>30</v>
      </c>
      <c r="J3" s="92"/>
      <c r="K3" s="92"/>
      <c r="L3" s="95"/>
    </row>
    <row r="4" spans="1:12" x14ac:dyDescent="0.25">
      <c r="A4" s="25">
        <f>A3+1</f>
        <v>44806</v>
      </c>
      <c r="B4" s="93">
        <v>0</v>
      </c>
      <c r="C4" s="93">
        <v>18</v>
      </c>
      <c r="D4" s="93">
        <v>0</v>
      </c>
      <c r="E4" s="93">
        <v>8</v>
      </c>
      <c r="F4" s="93">
        <v>0</v>
      </c>
      <c r="G4" s="93">
        <v>0</v>
      </c>
      <c r="H4" s="93">
        <v>0</v>
      </c>
      <c r="I4" s="94" t="s">
        <v>30</v>
      </c>
      <c r="J4" s="92" t="s">
        <v>82</v>
      </c>
      <c r="K4" s="92"/>
      <c r="L4" s="95"/>
    </row>
    <row r="5" spans="1:12" x14ac:dyDescent="0.25">
      <c r="A5" s="25">
        <f t="shared" ref="A5:A32" si="0">A4+1</f>
        <v>44807</v>
      </c>
      <c r="B5" s="93">
        <v>0</v>
      </c>
      <c r="C5" s="93">
        <v>20</v>
      </c>
      <c r="D5" s="93">
        <v>0</v>
      </c>
      <c r="E5" s="93">
        <v>12</v>
      </c>
      <c r="F5" s="93">
        <v>0</v>
      </c>
      <c r="G5" s="93">
        <v>0</v>
      </c>
      <c r="H5" s="93">
        <v>0</v>
      </c>
      <c r="I5" s="94" t="s">
        <v>30</v>
      </c>
      <c r="J5" s="92" t="s">
        <v>83</v>
      </c>
      <c r="K5" s="92"/>
      <c r="L5" s="95"/>
    </row>
    <row r="6" spans="1:12" x14ac:dyDescent="0.25">
      <c r="A6" s="25">
        <f t="shared" si="0"/>
        <v>44808</v>
      </c>
      <c r="B6" s="93">
        <v>0</v>
      </c>
      <c r="C6" s="93">
        <v>21</v>
      </c>
      <c r="D6" s="93">
        <v>0</v>
      </c>
      <c r="E6" s="93">
        <v>0</v>
      </c>
      <c r="F6" s="93">
        <v>0</v>
      </c>
      <c r="G6" s="93">
        <v>0</v>
      </c>
      <c r="H6" s="93">
        <v>0</v>
      </c>
      <c r="I6" s="94" t="s">
        <v>30</v>
      </c>
      <c r="J6" s="92"/>
      <c r="K6" s="92"/>
      <c r="L6" s="95"/>
    </row>
    <row r="7" spans="1:12" x14ac:dyDescent="0.25">
      <c r="A7" s="25">
        <f t="shared" si="0"/>
        <v>44809</v>
      </c>
      <c r="B7" s="93">
        <v>0</v>
      </c>
      <c r="C7" s="93">
        <v>20</v>
      </c>
      <c r="D7" s="93">
        <v>0</v>
      </c>
      <c r="E7" s="93">
        <v>12</v>
      </c>
      <c r="F7" s="93">
        <v>0</v>
      </c>
      <c r="G7" s="93">
        <v>0</v>
      </c>
      <c r="H7" s="93">
        <v>0</v>
      </c>
      <c r="I7" s="94" t="s">
        <v>30</v>
      </c>
      <c r="J7" s="92"/>
      <c r="K7" s="92"/>
      <c r="L7" s="95"/>
    </row>
    <row r="8" spans="1:12" x14ac:dyDescent="0.25">
      <c r="A8" s="25">
        <f t="shared" si="0"/>
        <v>44810</v>
      </c>
      <c r="B8" s="93">
        <v>0</v>
      </c>
      <c r="C8" s="93">
        <v>19</v>
      </c>
      <c r="D8" s="93">
        <v>0</v>
      </c>
      <c r="E8" s="93">
        <v>25</v>
      </c>
      <c r="F8" s="93">
        <v>0</v>
      </c>
      <c r="G8" s="93">
        <v>0</v>
      </c>
      <c r="H8" s="93">
        <v>0</v>
      </c>
      <c r="I8" s="94" t="s">
        <v>30</v>
      </c>
      <c r="J8" s="92"/>
      <c r="K8" s="92"/>
      <c r="L8" s="95"/>
    </row>
    <row r="9" spans="1:12" x14ac:dyDescent="0.25">
      <c r="A9" s="25">
        <f t="shared" si="0"/>
        <v>44811</v>
      </c>
      <c r="B9" s="93">
        <v>0</v>
      </c>
      <c r="C9" s="93">
        <v>17</v>
      </c>
      <c r="D9" s="93">
        <v>0</v>
      </c>
      <c r="E9" s="93">
        <v>15</v>
      </c>
      <c r="F9" s="93">
        <v>0</v>
      </c>
      <c r="G9" s="93">
        <v>0</v>
      </c>
      <c r="H9" s="93">
        <v>0</v>
      </c>
      <c r="I9" s="94" t="s">
        <v>30</v>
      </c>
      <c r="J9" s="92"/>
      <c r="K9" s="92"/>
      <c r="L9" s="95"/>
    </row>
    <row r="10" spans="1:12" x14ac:dyDescent="0.25">
      <c r="A10" s="25">
        <f t="shared" si="0"/>
        <v>44812</v>
      </c>
      <c r="B10" s="93">
        <v>0</v>
      </c>
      <c r="C10" s="93">
        <v>16</v>
      </c>
      <c r="D10" s="93">
        <v>0</v>
      </c>
      <c r="E10" s="93">
        <v>25</v>
      </c>
      <c r="F10" s="93">
        <v>0</v>
      </c>
      <c r="G10" s="93">
        <v>0</v>
      </c>
      <c r="H10" s="93">
        <v>0</v>
      </c>
      <c r="I10" s="94" t="s">
        <v>30</v>
      </c>
      <c r="J10" s="92"/>
      <c r="K10" s="92"/>
      <c r="L10" s="95"/>
    </row>
    <row r="11" spans="1:12" x14ac:dyDescent="0.25">
      <c r="A11" s="25">
        <f t="shared" si="0"/>
        <v>44813</v>
      </c>
      <c r="B11" s="93">
        <v>0</v>
      </c>
      <c r="C11" s="93">
        <v>14</v>
      </c>
      <c r="D11" s="93">
        <v>0</v>
      </c>
      <c r="E11" s="93">
        <v>28</v>
      </c>
      <c r="F11" s="93">
        <v>0</v>
      </c>
      <c r="G11" s="93">
        <v>0</v>
      </c>
      <c r="H11" s="93">
        <v>0</v>
      </c>
      <c r="I11" s="94" t="s">
        <v>30</v>
      </c>
      <c r="J11" s="92"/>
      <c r="K11" s="92"/>
      <c r="L11" s="95"/>
    </row>
    <row r="12" spans="1:12" x14ac:dyDescent="0.25">
      <c r="A12" s="25">
        <f t="shared" si="0"/>
        <v>44814</v>
      </c>
      <c r="B12" s="93">
        <v>0</v>
      </c>
      <c r="C12" s="93">
        <v>12</v>
      </c>
      <c r="D12" s="93">
        <v>0</v>
      </c>
      <c r="E12" s="93">
        <v>41</v>
      </c>
      <c r="F12" s="93">
        <v>0</v>
      </c>
      <c r="G12" s="93">
        <v>0</v>
      </c>
      <c r="H12" s="93">
        <v>0</v>
      </c>
      <c r="I12" s="94" t="s">
        <v>30</v>
      </c>
      <c r="J12" s="92"/>
      <c r="K12" s="92"/>
      <c r="L12" s="95"/>
    </row>
    <row r="13" spans="1:12" x14ac:dyDescent="0.25">
      <c r="A13" s="25">
        <f t="shared" si="0"/>
        <v>44815</v>
      </c>
      <c r="B13" s="93">
        <v>0</v>
      </c>
      <c r="C13" s="93">
        <v>10</v>
      </c>
      <c r="D13" s="93">
        <v>0</v>
      </c>
      <c r="E13" s="93">
        <v>30</v>
      </c>
      <c r="F13" s="93">
        <v>0</v>
      </c>
      <c r="G13" s="93">
        <v>0</v>
      </c>
      <c r="H13" s="93">
        <v>0</v>
      </c>
      <c r="I13" s="94" t="s">
        <v>30</v>
      </c>
      <c r="J13" s="92"/>
      <c r="K13" s="92"/>
      <c r="L13" s="95"/>
    </row>
    <row r="14" spans="1:12" x14ac:dyDescent="0.25">
      <c r="A14" s="25">
        <f t="shared" si="0"/>
        <v>44816</v>
      </c>
      <c r="B14" s="93">
        <v>0</v>
      </c>
      <c r="C14" s="93">
        <v>7</v>
      </c>
      <c r="D14" s="93">
        <v>0</v>
      </c>
      <c r="E14" s="93">
        <v>19</v>
      </c>
      <c r="F14" s="93">
        <v>0.02</v>
      </c>
      <c r="G14" s="93">
        <v>0</v>
      </c>
      <c r="H14" s="93">
        <v>0</v>
      </c>
      <c r="I14" s="94" t="s">
        <v>30</v>
      </c>
      <c r="J14" s="92"/>
      <c r="K14" s="92"/>
      <c r="L14" s="95"/>
    </row>
    <row r="15" spans="1:12" x14ac:dyDescent="0.25">
      <c r="A15" s="25">
        <f t="shared" si="0"/>
        <v>44817</v>
      </c>
      <c r="B15" s="93">
        <v>0</v>
      </c>
      <c r="C15" s="93">
        <v>0</v>
      </c>
      <c r="D15" s="93">
        <v>0</v>
      </c>
      <c r="E15" s="93">
        <v>17</v>
      </c>
      <c r="F15" s="93">
        <v>0.13</v>
      </c>
      <c r="G15" s="93">
        <v>0</v>
      </c>
      <c r="H15" s="93">
        <v>0</v>
      </c>
      <c r="I15" s="94" t="s">
        <v>30</v>
      </c>
      <c r="J15" s="92" t="s">
        <v>84</v>
      </c>
      <c r="K15" s="92"/>
      <c r="L15" s="95"/>
    </row>
    <row r="16" spans="1:12" x14ac:dyDescent="0.25">
      <c r="A16" s="25">
        <f t="shared" si="0"/>
        <v>44818</v>
      </c>
      <c r="B16" s="93">
        <v>0</v>
      </c>
      <c r="C16" s="93">
        <v>0</v>
      </c>
      <c r="D16" s="93">
        <v>0</v>
      </c>
      <c r="E16" s="93">
        <v>13</v>
      </c>
      <c r="F16" s="93">
        <v>0</v>
      </c>
      <c r="G16" s="93">
        <v>0</v>
      </c>
      <c r="H16" s="93">
        <v>0</v>
      </c>
      <c r="I16" s="94" t="s">
        <v>30</v>
      </c>
      <c r="J16" s="92"/>
      <c r="K16" s="92"/>
      <c r="L16" s="95"/>
    </row>
    <row r="17" spans="1:12" x14ac:dyDescent="0.25">
      <c r="A17" s="25">
        <f t="shared" si="0"/>
        <v>44819</v>
      </c>
      <c r="B17" s="93">
        <v>0</v>
      </c>
      <c r="C17" s="93">
        <v>0</v>
      </c>
      <c r="D17" s="93">
        <v>0</v>
      </c>
      <c r="E17" s="93">
        <v>1</v>
      </c>
      <c r="F17" s="93">
        <v>0</v>
      </c>
      <c r="G17" s="93">
        <v>0</v>
      </c>
      <c r="H17" s="93">
        <v>0</v>
      </c>
      <c r="I17" s="94" t="s">
        <v>30</v>
      </c>
      <c r="J17" s="92"/>
      <c r="K17" s="92"/>
      <c r="L17" s="95"/>
    </row>
    <row r="18" spans="1:12" x14ac:dyDescent="0.25">
      <c r="A18" s="25">
        <f t="shared" si="0"/>
        <v>44820</v>
      </c>
      <c r="B18" s="93">
        <v>0</v>
      </c>
      <c r="C18" s="93">
        <v>0</v>
      </c>
      <c r="D18" s="93">
        <v>0</v>
      </c>
      <c r="E18" s="93">
        <v>0</v>
      </c>
      <c r="F18" s="93">
        <v>0</v>
      </c>
      <c r="G18" s="93">
        <v>0</v>
      </c>
      <c r="H18" s="93">
        <v>0</v>
      </c>
      <c r="I18" s="94" t="s">
        <v>30</v>
      </c>
      <c r="J18" s="92"/>
      <c r="K18" s="92"/>
      <c r="L18" s="95"/>
    </row>
    <row r="19" spans="1:12" x14ac:dyDescent="0.25">
      <c r="A19" s="25">
        <f t="shared" si="0"/>
        <v>44821</v>
      </c>
      <c r="B19" s="93">
        <v>0</v>
      </c>
      <c r="C19" s="93">
        <v>0</v>
      </c>
      <c r="D19" s="93">
        <v>0</v>
      </c>
      <c r="E19" s="93">
        <v>1</v>
      </c>
      <c r="F19" s="93">
        <v>0</v>
      </c>
      <c r="G19" s="93">
        <v>0</v>
      </c>
      <c r="H19" s="93">
        <v>0</v>
      </c>
      <c r="I19" s="94" t="s">
        <v>30</v>
      </c>
      <c r="J19" s="92"/>
      <c r="K19" s="92"/>
      <c r="L19" s="95"/>
    </row>
    <row r="20" spans="1:12" x14ac:dyDescent="0.25">
      <c r="A20" s="25">
        <f t="shared" si="0"/>
        <v>44822</v>
      </c>
      <c r="B20" s="93">
        <v>0</v>
      </c>
      <c r="C20" s="93">
        <v>0</v>
      </c>
      <c r="D20" s="93">
        <v>0</v>
      </c>
      <c r="E20" s="93">
        <v>35</v>
      </c>
      <c r="F20" s="93">
        <v>0</v>
      </c>
      <c r="G20" s="93">
        <v>0</v>
      </c>
      <c r="H20" s="93">
        <v>0</v>
      </c>
      <c r="I20" s="94" t="s">
        <v>30</v>
      </c>
      <c r="J20" s="92"/>
      <c r="K20" s="92"/>
      <c r="L20" s="95"/>
    </row>
    <row r="21" spans="1:12" x14ac:dyDescent="0.25">
      <c r="A21" s="25">
        <f t="shared" si="0"/>
        <v>44823</v>
      </c>
      <c r="B21" s="93">
        <v>0</v>
      </c>
      <c r="C21" s="93">
        <v>0</v>
      </c>
      <c r="D21" s="93">
        <v>0</v>
      </c>
      <c r="E21" s="93">
        <v>18</v>
      </c>
      <c r="F21" s="93">
        <v>0</v>
      </c>
      <c r="G21" s="93">
        <v>0</v>
      </c>
      <c r="H21" s="93">
        <v>0</v>
      </c>
      <c r="I21" s="94" t="s">
        <v>30</v>
      </c>
      <c r="J21" s="92"/>
      <c r="K21" s="92"/>
      <c r="L21" s="95"/>
    </row>
    <row r="22" spans="1:12" x14ac:dyDescent="0.25">
      <c r="A22" s="25">
        <f t="shared" si="0"/>
        <v>44824</v>
      </c>
      <c r="B22" s="93">
        <v>0</v>
      </c>
      <c r="C22" s="93">
        <v>0</v>
      </c>
      <c r="D22" s="93">
        <v>0</v>
      </c>
      <c r="E22" s="93">
        <v>16</v>
      </c>
      <c r="F22" s="93">
        <v>0.73</v>
      </c>
      <c r="G22" s="93">
        <v>0</v>
      </c>
      <c r="H22" s="93">
        <v>0</v>
      </c>
      <c r="I22" s="94" t="s">
        <v>30</v>
      </c>
      <c r="J22" s="92"/>
      <c r="K22" s="92"/>
      <c r="L22" s="95"/>
    </row>
    <row r="23" spans="1:12" x14ac:dyDescent="0.25">
      <c r="A23" s="25">
        <f t="shared" si="0"/>
        <v>44825</v>
      </c>
      <c r="B23" s="93">
        <v>0</v>
      </c>
      <c r="C23" s="93">
        <v>0</v>
      </c>
      <c r="D23" s="93">
        <v>0</v>
      </c>
      <c r="E23" s="93">
        <v>15</v>
      </c>
      <c r="F23" s="93">
        <v>0.17</v>
      </c>
      <c r="G23" s="93">
        <v>0</v>
      </c>
      <c r="H23" s="93">
        <v>0</v>
      </c>
      <c r="I23" s="94" t="s">
        <v>30</v>
      </c>
      <c r="J23" s="92"/>
      <c r="K23" s="92"/>
      <c r="L23" s="95"/>
    </row>
    <row r="24" spans="1:12" x14ac:dyDescent="0.25">
      <c r="A24" s="25">
        <f t="shared" si="0"/>
        <v>44826</v>
      </c>
      <c r="B24" s="93">
        <v>0</v>
      </c>
      <c r="C24" s="93">
        <v>0</v>
      </c>
      <c r="D24" s="93">
        <v>0</v>
      </c>
      <c r="E24" s="93">
        <v>11</v>
      </c>
      <c r="F24" s="93">
        <v>0</v>
      </c>
      <c r="G24" s="93">
        <v>0</v>
      </c>
      <c r="H24" s="93">
        <v>0</v>
      </c>
      <c r="I24" s="94" t="s">
        <v>30</v>
      </c>
      <c r="J24" s="92"/>
      <c r="K24" s="92"/>
      <c r="L24" s="95"/>
    </row>
    <row r="25" spans="1:12" x14ac:dyDescent="0.25">
      <c r="A25" s="25">
        <f t="shared" si="0"/>
        <v>44827</v>
      </c>
      <c r="B25" s="93">
        <v>0</v>
      </c>
      <c r="C25" s="93">
        <v>0</v>
      </c>
      <c r="D25" s="93">
        <v>0</v>
      </c>
      <c r="E25" s="93">
        <v>8</v>
      </c>
      <c r="F25" s="93">
        <v>0</v>
      </c>
      <c r="G25" s="93">
        <v>0</v>
      </c>
      <c r="H25" s="93">
        <v>0</v>
      </c>
      <c r="I25" s="94" t="s">
        <v>30</v>
      </c>
      <c r="J25" s="92"/>
      <c r="K25" s="92"/>
      <c r="L25" s="95"/>
    </row>
    <row r="26" spans="1:12" x14ac:dyDescent="0.25">
      <c r="A26" s="25">
        <f t="shared" si="0"/>
        <v>44828</v>
      </c>
      <c r="B26" s="93">
        <v>0</v>
      </c>
      <c r="C26" s="93">
        <v>0</v>
      </c>
      <c r="D26" s="93">
        <v>0</v>
      </c>
      <c r="E26" s="93">
        <v>10</v>
      </c>
      <c r="F26" s="93">
        <v>0</v>
      </c>
      <c r="G26" s="93">
        <v>0</v>
      </c>
      <c r="H26" s="93">
        <v>0</v>
      </c>
      <c r="I26" s="94" t="s">
        <v>30</v>
      </c>
      <c r="J26" s="92"/>
      <c r="K26" s="92"/>
      <c r="L26" s="95"/>
    </row>
    <row r="27" spans="1:12" x14ac:dyDescent="0.25">
      <c r="A27" s="25">
        <f t="shared" si="0"/>
        <v>44829</v>
      </c>
      <c r="B27" s="93">
        <v>0</v>
      </c>
      <c r="C27" s="93">
        <v>0</v>
      </c>
      <c r="D27" s="93">
        <v>0</v>
      </c>
      <c r="E27" s="93">
        <v>15</v>
      </c>
      <c r="F27" s="93">
        <v>0</v>
      </c>
      <c r="G27" s="93">
        <v>0</v>
      </c>
      <c r="H27" s="93">
        <v>0</v>
      </c>
      <c r="I27" s="94" t="s">
        <v>30</v>
      </c>
      <c r="J27" s="92"/>
      <c r="K27" s="92"/>
      <c r="L27" s="95"/>
    </row>
    <row r="28" spans="1:12" x14ac:dyDescent="0.25">
      <c r="A28" s="25">
        <f t="shared" si="0"/>
        <v>44830</v>
      </c>
      <c r="B28" s="93">
        <v>0</v>
      </c>
      <c r="C28" s="93">
        <v>0</v>
      </c>
      <c r="D28" s="93">
        <v>0</v>
      </c>
      <c r="E28" s="93">
        <v>29</v>
      </c>
      <c r="F28" s="93">
        <v>0</v>
      </c>
      <c r="G28" s="93">
        <v>0</v>
      </c>
      <c r="H28" s="93">
        <v>0</v>
      </c>
      <c r="I28" s="94" t="s">
        <v>30</v>
      </c>
      <c r="J28" s="92"/>
      <c r="K28" s="92"/>
      <c r="L28" s="95"/>
    </row>
    <row r="29" spans="1:12" x14ac:dyDescent="0.25">
      <c r="A29" s="25">
        <f t="shared" si="0"/>
        <v>44831</v>
      </c>
      <c r="B29" s="93">
        <v>0</v>
      </c>
      <c r="C29" s="93">
        <v>0</v>
      </c>
      <c r="D29" s="93">
        <v>0</v>
      </c>
      <c r="E29" s="93">
        <v>22</v>
      </c>
      <c r="F29" s="93">
        <v>0</v>
      </c>
      <c r="G29" s="93">
        <v>0</v>
      </c>
      <c r="H29" s="93">
        <v>0</v>
      </c>
      <c r="I29" s="94" t="s">
        <v>30</v>
      </c>
      <c r="J29" s="92"/>
      <c r="K29" s="92"/>
    </row>
    <row r="30" spans="1:12" x14ac:dyDescent="0.25">
      <c r="A30" s="25">
        <f t="shared" si="0"/>
        <v>44832</v>
      </c>
      <c r="B30" s="93">
        <v>0</v>
      </c>
      <c r="C30" s="93">
        <v>0</v>
      </c>
      <c r="D30" s="93">
        <v>0</v>
      </c>
      <c r="E30" s="93">
        <v>15</v>
      </c>
      <c r="F30" s="93">
        <v>0</v>
      </c>
      <c r="G30" s="93">
        <v>0</v>
      </c>
      <c r="H30" s="93">
        <v>0</v>
      </c>
      <c r="I30" s="93" t="s">
        <v>30</v>
      </c>
      <c r="J30" s="92"/>
      <c r="K30" s="92"/>
    </row>
    <row r="31" spans="1:12" x14ac:dyDescent="0.25">
      <c r="A31" s="25">
        <f t="shared" si="0"/>
        <v>44833</v>
      </c>
      <c r="B31" s="93">
        <v>0</v>
      </c>
      <c r="C31" s="93">
        <v>0</v>
      </c>
      <c r="D31" s="93">
        <v>0</v>
      </c>
      <c r="E31" s="93">
        <v>26</v>
      </c>
      <c r="F31" s="93">
        <v>0</v>
      </c>
      <c r="G31" s="93">
        <v>0</v>
      </c>
      <c r="H31" s="93">
        <v>0</v>
      </c>
      <c r="I31" s="93" t="s">
        <v>30</v>
      </c>
      <c r="J31" s="92"/>
      <c r="K31" s="92"/>
    </row>
    <row r="32" spans="1:12" ht="15.75" thickBot="1" x14ac:dyDescent="0.3">
      <c r="A32" s="25">
        <f t="shared" si="0"/>
        <v>44834</v>
      </c>
      <c r="B32" s="91">
        <v>0</v>
      </c>
      <c r="C32" s="91">
        <v>0</v>
      </c>
      <c r="D32" s="13">
        <v>0</v>
      </c>
      <c r="E32" s="13">
        <v>26</v>
      </c>
      <c r="F32" s="14">
        <v>0</v>
      </c>
      <c r="G32" s="14">
        <v>0</v>
      </c>
      <c r="H32" s="13">
        <v>0</v>
      </c>
      <c r="I32" s="119" t="s">
        <v>30</v>
      </c>
    </row>
    <row r="33" spans="1:15" s="11" customFormat="1" ht="15.75" thickTop="1" x14ac:dyDescent="0.25">
      <c r="A33" s="15" t="s">
        <v>8</v>
      </c>
      <c r="B33" s="16">
        <f t="shared" ref="B33" si="1">SUM(B3:B32)</f>
        <v>0</v>
      </c>
      <c r="C33" s="16">
        <f t="shared" ref="C33:H33" si="2">SUM(C3:C32)</f>
        <v>190</v>
      </c>
      <c r="D33" s="16">
        <f t="shared" si="2"/>
        <v>0</v>
      </c>
      <c r="E33" s="16">
        <f t="shared" si="2"/>
        <v>496</v>
      </c>
      <c r="F33" s="17">
        <f t="shared" si="2"/>
        <v>1.05</v>
      </c>
      <c r="G33" s="17">
        <f t="shared" si="2"/>
        <v>0</v>
      </c>
      <c r="H33" s="16">
        <f t="shared" si="2"/>
        <v>0</v>
      </c>
      <c r="I33" s="17"/>
    </row>
    <row r="34" spans="1:15" s="11" customFormat="1" x14ac:dyDescent="0.25">
      <c r="A34" s="18" t="s">
        <v>9</v>
      </c>
      <c r="B34" s="19">
        <f>SUM(B33+'Aug 2022'!B35)</f>
        <v>8698</v>
      </c>
      <c r="C34" s="19">
        <f>SUM(C33+'Aug 2022'!C35)</f>
        <v>17367</v>
      </c>
      <c r="D34" s="19">
        <f>SUM(D33+'Aug 2022'!D35)</f>
        <v>0</v>
      </c>
      <c r="E34" s="19">
        <f>SUM(E33+'Aug 2022'!E35)</f>
        <v>17773</v>
      </c>
      <c r="F34" s="20">
        <f>SUM(F33+'Aug 2022'!F35)</f>
        <v>8.2100000000000009</v>
      </c>
      <c r="G34" s="20">
        <f>SUM(G33+'Aug 2022'!G35)</f>
        <v>13.55</v>
      </c>
      <c r="H34" s="19">
        <f>SUM(H33+'Aug 2022'!H35)</f>
        <v>0</v>
      </c>
      <c r="I34" s="20"/>
    </row>
    <row r="36" spans="1:15" x14ac:dyDescent="0.25">
      <c r="A36" t="s">
        <v>10</v>
      </c>
      <c r="B36" s="22">
        <f>SUM(B3:B32)*1.9835</f>
        <v>0</v>
      </c>
      <c r="C36" s="22">
        <f>SUM(C3:C32)*1.9835</f>
        <v>376.86500000000001</v>
      </c>
      <c r="D36" s="22">
        <f>SUM(D3:D32)*1.9835</f>
        <v>0</v>
      </c>
      <c r="E36" s="22">
        <f>SUM(E3:E32)*1.9835</f>
        <v>983.81600000000003</v>
      </c>
      <c r="F36" s="22"/>
      <c r="G36" s="22"/>
      <c r="H36" s="22"/>
    </row>
    <row r="37" spans="1:15" x14ac:dyDescent="0.25">
      <c r="B37" s="22"/>
      <c r="C37" s="22"/>
      <c r="D37" s="22"/>
      <c r="E37" s="23"/>
      <c r="F37" s="22"/>
      <c r="G37" s="22"/>
      <c r="H37" s="22"/>
    </row>
    <row r="38" spans="1:15" x14ac:dyDescent="0.25">
      <c r="A38" t="s">
        <v>24</v>
      </c>
      <c r="B38" s="22">
        <f>SUM(B36+'Aug 2022'!B39)</f>
        <v>18908.705499999996</v>
      </c>
      <c r="C38" s="22">
        <f>SUM(C36+'Aug 2022'!C39)</f>
        <v>36417.06</v>
      </c>
      <c r="D38" s="22">
        <f>SUM(D36+'Aug 2022'!D39)</f>
        <v>0</v>
      </c>
      <c r="E38" s="22">
        <f>SUM(E36+'Aug 2022'!E39)</f>
        <v>37991.958999999995</v>
      </c>
      <c r="F38" s="22"/>
      <c r="G38" s="22"/>
      <c r="H38" s="22"/>
    </row>
    <row r="40" spans="1:15" ht="17.45" customHeight="1" x14ac:dyDescent="0.25">
      <c r="A40" s="110"/>
      <c r="B40" s="110"/>
      <c r="C40" s="110"/>
      <c r="D40" s="110"/>
      <c r="E40" s="110"/>
      <c r="F40" s="110"/>
      <c r="G40" s="111"/>
      <c r="H40" s="112" t="s">
        <v>12</v>
      </c>
      <c r="I40" s="113"/>
      <c r="J40" s="27"/>
      <c r="K40" s="27"/>
      <c r="L40" s="27"/>
      <c r="M40" s="27"/>
      <c r="N40" s="28"/>
      <c r="O40" s="27"/>
    </row>
    <row r="41" spans="1:15" ht="16.899999999999999" customHeight="1" x14ac:dyDescent="0.25">
      <c r="A41" s="26"/>
      <c r="B41" s="103"/>
      <c r="C41" s="26"/>
      <c r="D41" s="26"/>
      <c r="E41" s="26"/>
      <c r="F41" s="26"/>
      <c r="G41" s="26"/>
      <c r="H41" s="112"/>
      <c r="I41" s="113"/>
      <c r="J41" s="27"/>
      <c r="K41" s="27"/>
      <c r="L41" s="27"/>
      <c r="M41" s="27"/>
      <c r="N41" s="28"/>
      <c r="O41" s="27"/>
    </row>
    <row r="42" spans="1:15" ht="13.9" customHeight="1" thickBot="1" x14ac:dyDescent="0.3">
      <c r="A42" s="114" t="s">
        <v>23</v>
      </c>
      <c r="B42" s="114"/>
      <c r="C42" s="114"/>
      <c r="D42" s="114"/>
      <c r="E42" s="114"/>
      <c r="F42" s="114"/>
      <c r="G42" s="114"/>
      <c r="H42" s="114"/>
      <c r="I42" s="114"/>
      <c r="J42" s="115"/>
      <c r="K42" s="29"/>
      <c r="L42" s="29"/>
      <c r="M42" s="29"/>
      <c r="N42" s="30"/>
      <c r="O42" s="31"/>
    </row>
    <row r="43" spans="1:15" ht="15.6" customHeight="1" x14ac:dyDescent="0.25">
      <c r="A43" s="39" t="s">
        <v>17</v>
      </c>
      <c r="B43" s="104"/>
      <c r="C43" s="33"/>
      <c r="D43" s="34"/>
      <c r="E43" s="34"/>
      <c r="F43" s="35"/>
      <c r="G43" s="36"/>
      <c r="H43" s="37"/>
      <c r="I43" s="38"/>
      <c r="J43" s="31"/>
      <c r="K43" s="31"/>
      <c r="L43" s="31"/>
      <c r="M43" s="31"/>
      <c r="N43" s="30"/>
    </row>
    <row r="44" spans="1:15" x14ac:dyDescent="0.25">
      <c r="A44" s="32"/>
      <c r="B44" s="105"/>
      <c r="C44" s="33"/>
      <c r="D44" s="34"/>
      <c r="E44" s="34"/>
      <c r="F44" s="40"/>
      <c r="G44" s="36">
        <f>SUM(24-E44)</f>
        <v>24</v>
      </c>
      <c r="H44" s="37">
        <f>SUM(D44+F44)</f>
        <v>0</v>
      </c>
      <c r="I44" s="38">
        <f>SUM(D44/24*E44+H44/24*G44)</f>
        <v>0</v>
      </c>
      <c r="J44" s="31"/>
      <c r="K44" s="31"/>
      <c r="L44" s="31"/>
      <c r="M44" s="31"/>
      <c r="N44" s="30"/>
    </row>
    <row r="45" spans="1:15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0"/>
    </row>
    <row r="46" spans="1:15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0"/>
    </row>
    <row r="47" spans="1:1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0"/>
    </row>
    <row r="48" spans="1:1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0"/>
    </row>
    <row r="49" spans="1:15" ht="13.15" customHeight="1" x14ac:dyDescent="0.25">
      <c r="A49" s="41"/>
      <c r="B49" s="41"/>
      <c r="C49" s="42"/>
      <c r="D49" s="42"/>
      <c r="E49" s="42"/>
      <c r="F49" s="42"/>
      <c r="G49" s="42"/>
      <c r="H49" s="43"/>
      <c r="I49" s="31"/>
      <c r="J49" s="31"/>
      <c r="K49" s="31"/>
      <c r="L49" s="31"/>
      <c r="M49" s="31"/>
      <c r="N49" s="30"/>
      <c r="O49" s="31"/>
    </row>
    <row r="50" spans="1:15" ht="15.75" thickBot="1" x14ac:dyDescent="0.3">
      <c r="A50" s="44" t="s">
        <v>18</v>
      </c>
      <c r="B50" s="44"/>
      <c r="C50" s="44"/>
      <c r="D50" s="44"/>
      <c r="E50" s="44"/>
      <c r="F50" s="45"/>
      <c r="G50" s="46"/>
      <c r="H50" s="43"/>
      <c r="I50" s="31"/>
      <c r="J50" s="31"/>
      <c r="K50" s="31"/>
      <c r="L50" s="31"/>
      <c r="M50" s="31"/>
      <c r="N50" s="30"/>
      <c r="O50" s="31"/>
    </row>
    <row r="51" spans="1:15" ht="26.25" x14ac:dyDescent="0.25">
      <c r="A51" s="47" t="s">
        <v>19</v>
      </c>
      <c r="B51" s="106"/>
      <c r="C51" s="48" t="s">
        <v>13</v>
      </c>
      <c r="D51" s="49" t="s">
        <v>14</v>
      </c>
      <c r="E51" s="49" t="s">
        <v>15</v>
      </c>
      <c r="F51" s="50" t="s">
        <v>16</v>
      </c>
      <c r="G51" s="51" t="s">
        <v>20</v>
      </c>
      <c r="H51" s="52"/>
      <c r="I51" s="53"/>
      <c r="J51" s="54"/>
    </row>
    <row r="52" spans="1:15" ht="15.75" x14ac:dyDescent="0.25">
      <c r="A52" s="55"/>
      <c r="B52" s="107"/>
      <c r="C52" s="56"/>
      <c r="D52" s="57"/>
      <c r="E52" s="58"/>
      <c r="F52" s="59"/>
      <c r="G52" s="60">
        <f>SUM(D52/24*E52)</f>
        <v>0</v>
      </c>
      <c r="H52" s="61"/>
      <c r="I52" s="62"/>
      <c r="J52" s="63"/>
    </row>
    <row r="53" spans="1:15" x14ac:dyDescent="0.25">
      <c r="A53" s="64"/>
      <c r="B53" s="108"/>
      <c r="C53" s="65"/>
      <c r="D53" s="66"/>
      <c r="E53" s="58"/>
      <c r="F53" s="67"/>
      <c r="G53" s="68">
        <f>SUM(D53/24*E53)</f>
        <v>0</v>
      </c>
      <c r="H53" s="61"/>
      <c r="I53" s="62"/>
    </row>
    <row r="54" spans="1:15" x14ac:dyDescent="0.25">
      <c r="A54" s="64"/>
      <c r="B54" s="108"/>
      <c r="C54" s="65"/>
      <c r="D54" s="66"/>
      <c r="E54" s="58"/>
      <c r="F54" s="69"/>
      <c r="G54" s="68">
        <f>SUM(D54/24*E54)</f>
        <v>0</v>
      </c>
      <c r="H54" s="61"/>
      <c r="I54" s="62"/>
    </row>
    <row r="55" spans="1:15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5" ht="15.75" thickBot="1" x14ac:dyDescent="0.3">
      <c r="A56" s="70"/>
      <c r="B56" s="109"/>
      <c r="C56" s="71"/>
      <c r="D56" s="72"/>
      <c r="E56" s="73"/>
      <c r="F56" s="72"/>
      <c r="G56" s="74">
        <f>SUM(D56/24*E56)</f>
        <v>0</v>
      </c>
      <c r="H56" s="61"/>
      <c r="I56" s="62"/>
      <c r="J56" s="75"/>
    </row>
    <row r="57" spans="1:15" s="81" customFormat="1" ht="30" customHeight="1" x14ac:dyDescent="0.25">
      <c r="A57" s="116" t="s">
        <v>21</v>
      </c>
      <c r="B57" s="117"/>
      <c r="C57" s="117"/>
      <c r="D57" s="118"/>
      <c r="E57" s="76">
        <f>SUM(E52:E56)</f>
        <v>0</v>
      </c>
      <c r="F57" s="77" t="s">
        <v>22</v>
      </c>
      <c r="G57" s="78">
        <f>SUM(G52:G56)</f>
        <v>0</v>
      </c>
      <c r="H57" s="79"/>
      <c r="I57" s="80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28515625" customWidth="1"/>
  </cols>
  <sheetData>
    <row r="1" spans="1:15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5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5" x14ac:dyDescent="0.25">
      <c r="A3" s="12">
        <v>44774</v>
      </c>
      <c r="B3" s="93">
        <v>11</v>
      </c>
      <c r="C3" s="93">
        <v>200</v>
      </c>
      <c r="D3" s="93">
        <v>0</v>
      </c>
      <c r="E3" s="93">
        <v>184</v>
      </c>
      <c r="F3" s="93">
        <v>0</v>
      </c>
      <c r="G3" s="93">
        <v>0</v>
      </c>
      <c r="H3" s="93">
        <v>0</v>
      </c>
      <c r="I3" s="93" t="s">
        <v>30</v>
      </c>
      <c r="J3" s="97"/>
      <c r="K3" s="95"/>
      <c r="L3" s="95"/>
      <c r="M3" s="95"/>
      <c r="N3" s="95"/>
      <c r="O3" s="95"/>
    </row>
    <row r="4" spans="1:15" x14ac:dyDescent="0.25">
      <c r="A4" s="12">
        <f>A3+1</f>
        <v>44775</v>
      </c>
      <c r="B4" s="93">
        <v>15</v>
      </c>
      <c r="C4" s="93">
        <v>200</v>
      </c>
      <c r="D4" s="93">
        <v>0</v>
      </c>
      <c r="E4" s="93">
        <v>201</v>
      </c>
      <c r="F4" s="93">
        <v>0.03</v>
      </c>
      <c r="G4" s="93">
        <v>0</v>
      </c>
      <c r="H4" s="93">
        <v>0</v>
      </c>
      <c r="I4" s="93" t="s">
        <v>30</v>
      </c>
      <c r="J4" s="97"/>
      <c r="K4" s="95"/>
      <c r="L4" s="95"/>
      <c r="M4" s="95"/>
      <c r="N4" s="95"/>
      <c r="O4" s="95"/>
    </row>
    <row r="5" spans="1:15" x14ac:dyDescent="0.25">
      <c r="A5" s="12">
        <f t="shared" ref="A5:A33" si="0">A4+1</f>
        <v>44776</v>
      </c>
      <c r="B5" s="93">
        <v>14</v>
      </c>
      <c r="C5" s="93">
        <v>200</v>
      </c>
      <c r="D5" s="93">
        <v>0</v>
      </c>
      <c r="E5" s="93">
        <v>197</v>
      </c>
      <c r="F5" s="93">
        <v>0.1</v>
      </c>
      <c r="G5" s="93">
        <v>0</v>
      </c>
      <c r="H5" s="93">
        <v>0</v>
      </c>
      <c r="I5" s="93" t="s">
        <v>30</v>
      </c>
      <c r="J5" s="97"/>
      <c r="K5" s="95"/>
      <c r="L5" s="95"/>
      <c r="M5" s="95"/>
      <c r="N5" s="95"/>
      <c r="O5" s="95"/>
    </row>
    <row r="6" spans="1:15" x14ac:dyDescent="0.25">
      <c r="A6" s="12">
        <f t="shared" si="0"/>
        <v>44777</v>
      </c>
      <c r="B6" s="93">
        <v>5</v>
      </c>
      <c r="C6" s="93">
        <v>175</v>
      </c>
      <c r="D6" s="93">
        <v>0</v>
      </c>
      <c r="E6" s="93">
        <v>154</v>
      </c>
      <c r="F6" s="93">
        <v>0</v>
      </c>
      <c r="G6" s="93">
        <v>0</v>
      </c>
      <c r="H6" s="93">
        <v>0</v>
      </c>
      <c r="I6" s="93" t="s">
        <v>30</v>
      </c>
      <c r="J6" s="97" t="s">
        <v>74</v>
      </c>
      <c r="K6" s="95"/>
      <c r="L6" s="95"/>
      <c r="M6" s="95"/>
      <c r="N6" s="95"/>
      <c r="O6" s="95"/>
    </row>
    <row r="7" spans="1:15" x14ac:dyDescent="0.25">
      <c r="A7" s="12">
        <f t="shared" si="0"/>
        <v>44778</v>
      </c>
      <c r="B7" s="93">
        <v>7</v>
      </c>
      <c r="C7" s="93">
        <v>150</v>
      </c>
      <c r="D7" s="93">
        <v>0</v>
      </c>
      <c r="E7" s="93">
        <v>118</v>
      </c>
      <c r="F7" s="93">
        <v>0.06</v>
      </c>
      <c r="G7" s="93">
        <v>0</v>
      </c>
      <c r="H7" s="93">
        <v>0</v>
      </c>
      <c r="I7" s="93" t="s">
        <v>30</v>
      </c>
      <c r="J7" s="97"/>
      <c r="K7" s="95"/>
      <c r="L7" s="95"/>
      <c r="M7" s="95"/>
      <c r="N7" s="95"/>
      <c r="O7" s="95"/>
    </row>
    <row r="8" spans="1:15" x14ac:dyDescent="0.25">
      <c r="A8" s="12">
        <f t="shared" si="0"/>
        <v>44779</v>
      </c>
      <c r="B8" s="93">
        <v>4</v>
      </c>
      <c r="C8" s="93">
        <v>150</v>
      </c>
      <c r="D8" s="93">
        <v>0</v>
      </c>
      <c r="E8" s="93">
        <v>118</v>
      </c>
      <c r="F8" s="93">
        <v>0</v>
      </c>
      <c r="G8" s="93">
        <v>0</v>
      </c>
      <c r="H8" s="93">
        <v>0</v>
      </c>
      <c r="I8" s="93" t="s">
        <v>30</v>
      </c>
      <c r="J8" s="97"/>
      <c r="K8" s="95"/>
      <c r="L8" s="95"/>
      <c r="M8" s="95"/>
      <c r="N8" s="95"/>
      <c r="O8" s="95"/>
    </row>
    <row r="9" spans="1:15" x14ac:dyDescent="0.25">
      <c r="A9" s="12">
        <f t="shared" si="0"/>
        <v>44780</v>
      </c>
      <c r="B9" s="93">
        <v>11</v>
      </c>
      <c r="C9" s="93">
        <v>150</v>
      </c>
      <c r="D9" s="93">
        <v>0</v>
      </c>
      <c r="E9" s="93">
        <v>113</v>
      </c>
      <c r="F9" s="93">
        <v>0</v>
      </c>
      <c r="G9" s="93">
        <v>0</v>
      </c>
      <c r="H9" s="93">
        <v>0</v>
      </c>
      <c r="I9" s="93" t="s">
        <v>30</v>
      </c>
      <c r="J9" s="97"/>
      <c r="K9" s="95"/>
      <c r="L9" s="95"/>
      <c r="M9" s="95"/>
      <c r="N9" s="95"/>
      <c r="O9" s="95"/>
    </row>
    <row r="10" spans="1:15" x14ac:dyDescent="0.25">
      <c r="A10" s="12">
        <f t="shared" si="0"/>
        <v>44781</v>
      </c>
      <c r="B10" s="93">
        <v>15</v>
      </c>
      <c r="C10" s="93">
        <v>150</v>
      </c>
      <c r="D10" s="93">
        <v>0</v>
      </c>
      <c r="E10" s="93">
        <v>100</v>
      </c>
      <c r="F10" s="93">
        <v>0</v>
      </c>
      <c r="G10" s="93">
        <v>0</v>
      </c>
      <c r="H10" s="93">
        <v>0</v>
      </c>
      <c r="I10" s="93" t="s">
        <v>30</v>
      </c>
      <c r="J10" s="97"/>
      <c r="K10" s="95"/>
      <c r="L10" s="95"/>
      <c r="M10" s="95"/>
      <c r="N10" s="95"/>
      <c r="O10" s="95"/>
    </row>
    <row r="11" spans="1:15" x14ac:dyDescent="0.25">
      <c r="A11" s="12">
        <f t="shared" si="0"/>
        <v>44782</v>
      </c>
      <c r="B11" s="93">
        <v>14</v>
      </c>
      <c r="C11" s="93">
        <v>150</v>
      </c>
      <c r="D11" s="93">
        <v>0</v>
      </c>
      <c r="E11" s="93">
        <v>108</v>
      </c>
      <c r="F11" s="93">
        <v>0.06</v>
      </c>
      <c r="G11" s="93">
        <v>0</v>
      </c>
      <c r="H11" s="93">
        <v>0</v>
      </c>
      <c r="I11" s="93" t="s">
        <v>30</v>
      </c>
      <c r="J11" s="97"/>
      <c r="K11" s="95"/>
      <c r="L11" s="95"/>
      <c r="M11" s="95"/>
      <c r="N11" s="95"/>
      <c r="O11" s="95"/>
    </row>
    <row r="12" spans="1:15" x14ac:dyDescent="0.25">
      <c r="A12" s="12">
        <f t="shared" si="0"/>
        <v>44783</v>
      </c>
      <c r="B12" s="93">
        <v>1</v>
      </c>
      <c r="C12" s="93">
        <v>150</v>
      </c>
      <c r="D12" s="93">
        <v>0</v>
      </c>
      <c r="E12" s="93">
        <v>110</v>
      </c>
      <c r="F12" s="93">
        <v>0</v>
      </c>
      <c r="G12" s="93">
        <v>0</v>
      </c>
      <c r="H12" s="93">
        <v>0</v>
      </c>
      <c r="I12" s="93" t="s">
        <v>30</v>
      </c>
      <c r="J12" s="92"/>
      <c r="K12" s="95"/>
      <c r="L12" s="95"/>
      <c r="M12" s="95"/>
      <c r="N12" s="95"/>
      <c r="O12" s="95"/>
    </row>
    <row r="13" spans="1:15" x14ac:dyDescent="0.25">
      <c r="A13" s="12">
        <f t="shared" si="0"/>
        <v>44784</v>
      </c>
      <c r="B13" s="93">
        <v>9</v>
      </c>
      <c r="C13" s="93">
        <v>150</v>
      </c>
      <c r="D13" s="93">
        <v>0</v>
      </c>
      <c r="E13" s="93">
        <v>109</v>
      </c>
      <c r="F13" s="93">
        <v>0</v>
      </c>
      <c r="G13" s="93">
        <v>0</v>
      </c>
      <c r="H13" s="93">
        <v>0</v>
      </c>
      <c r="I13" s="93" t="s">
        <v>30</v>
      </c>
      <c r="J13" s="92"/>
      <c r="K13" s="92"/>
      <c r="L13" s="95"/>
      <c r="M13" s="95"/>
      <c r="N13" s="95"/>
      <c r="O13" s="95"/>
    </row>
    <row r="14" spans="1:15" x14ac:dyDescent="0.25">
      <c r="A14" s="12">
        <f t="shared" si="0"/>
        <v>44785</v>
      </c>
      <c r="B14" s="93">
        <v>4</v>
      </c>
      <c r="C14" s="93">
        <v>179</v>
      </c>
      <c r="D14" s="93">
        <v>0</v>
      </c>
      <c r="E14" s="93">
        <v>122</v>
      </c>
      <c r="F14" s="93">
        <v>0</v>
      </c>
      <c r="G14" s="93">
        <v>0</v>
      </c>
      <c r="H14" s="93">
        <v>0</v>
      </c>
      <c r="I14" s="93" t="s">
        <v>30</v>
      </c>
      <c r="J14" s="92" t="s">
        <v>78</v>
      </c>
      <c r="K14" s="92"/>
      <c r="L14" s="95"/>
      <c r="M14" s="95"/>
      <c r="N14" s="95"/>
      <c r="O14" s="95"/>
    </row>
    <row r="15" spans="1:15" x14ac:dyDescent="0.25">
      <c r="A15" s="12">
        <f t="shared" si="0"/>
        <v>44786</v>
      </c>
      <c r="B15" s="93">
        <v>3</v>
      </c>
      <c r="C15" s="93">
        <v>250</v>
      </c>
      <c r="D15" s="93">
        <v>0</v>
      </c>
      <c r="E15" s="93">
        <v>107</v>
      </c>
      <c r="F15" s="93">
        <v>0</v>
      </c>
      <c r="G15" s="93">
        <v>0</v>
      </c>
      <c r="H15" s="93">
        <v>0</v>
      </c>
      <c r="I15" s="93" t="s">
        <v>30</v>
      </c>
      <c r="J15" s="92"/>
      <c r="K15" s="92"/>
      <c r="L15" s="95"/>
      <c r="M15" s="95"/>
      <c r="N15" s="95"/>
      <c r="O15" s="95"/>
    </row>
    <row r="16" spans="1:15" x14ac:dyDescent="0.25">
      <c r="A16" s="12">
        <f t="shared" si="0"/>
        <v>44787</v>
      </c>
      <c r="B16" s="93">
        <v>12</v>
      </c>
      <c r="C16" s="93">
        <v>232</v>
      </c>
      <c r="D16" s="93">
        <v>0</v>
      </c>
      <c r="E16" s="93">
        <v>126</v>
      </c>
      <c r="F16" s="93">
        <v>0</v>
      </c>
      <c r="G16" s="93">
        <v>0</v>
      </c>
      <c r="H16" s="93">
        <v>0</v>
      </c>
      <c r="I16" s="93" t="s">
        <v>30</v>
      </c>
      <c r="J16" s="92" t="s">
        <v>79</v>
      </c>
      <c r="K16" s="92"/>
      <c r="L16" s="95"/>
      <c r="M16" s="95"/>
      <c r="N16" s="95"/>
      <c r="O16" s="95"/>
    </row>
    <row r="17" spans="1:15" x14ac:dyDescent="0.25">
      <c r="A17" s="12">
        <f t="shared" si="0"/>
        <v>44788</v>
      </c>
      <c r="B17" s="93">
        <v>6</v>
      </c>
      <c r="C17" s="93">
        <v>32</v>
      </c>
      <c r="D17" s="93">
        <v>0</v>
      </c>
      <c r="E17" s="93">
        <v>138</v>
      </c>
      <c r="F17" s="93">
        <v>0</v>
      </c>
      <c r="G17" s="93">
        <v>0</v>
      </c>
      <c r="H17" s="93">
        <v>0</v>
      </c>
      <c r="I17" s="94" t="s">
        <v>30</v>
      </c>
      <c r="J17" s="92" t="s">
        <v>80</v>
      </c>
      <c r="K17" s="92"/>
      <c r="L17" s="95"/>
      <c r="M17" s="95"/>
      <c r="N17" s="95"/>
      <c r="O17" s="95"/>
    </row>
    <row r="18" spans="1:15" x14ac:dyDescent="0.25">
      <c r="A18" s="12">
        <f t="shared" si="0"/>
        <v>44789</v>
      </c>
      <c r="B18" s="93">
        <v>8</v>
      </c>
      <c r="C18" s="93">
        <v>100</v>
      </c>
      <c r="D18" s="93">
        <v>0</v>
      </c>
      <c r="E18" s="93">
        <v>137</v>
      </c>
      <c r="F18" s="93">
        <v>0</v>
      </c>
      <c r="G18" s="93">
        <v>0</v>
      </c>
      <c r="H18" s="93">
        <v>0</v>
      </c>
      <c r="I18" s="94" t="s">
        <v>30</v>
      </c>
      <c r="J18" s="92"/>
      <c r="K18" s="92"/>
      <c r="L18" s="95"/>
      <c r="M18" s="95"/>
      <c r="N18" s="95"/>
      <c r="O18" s="95"/>
    </row>
    <row r="19" spans="1:15" x14ac:dyDescent="0.25">
      <c r="A19" s="12">
        <f t="shared" si="0"/>
        <v>44790</v>
      </c>
      <c r="B19" s="93">
        <v>9</v>
      </c>
      <c r="C19" s="93">
        <v>100</v>
      </c>
      <c r="D19" s="93">
        <v>0</v>
      </c>
      <c r="E19" s="93">
        <v>68</v>
      </c>
      <c r="F19" s="93" t="s">
        <v>29</v>
      </c>
      <c r="G19" s="93">
        <v>0</v>
      </c>
      <c r="H19" s="93">
        <v>0</v>
      </c>
      <c r="I19" s="94" t="s">
        <v>30</v>
      </c>
      <c r="J19" s="92"/>
      <c r="K19" s="92"/>
      <c r="L19" s="95"/>
      <c r="M19" s="95"/>
      <c r="N19" s="95"/>
      <c r="O19" s="95"/>
    </row>
    <row r="20" spans="1:15" x14ac:dyDescent="0.25">
      <c r="A20" s="12">
        <f t="shared" si="0"/>
        <v>44791</v>
      </c>
      <c r="B20" s="93">
        <v>7</v>
      </c>
      <c r="C20" s="93">
        <v>100</v>
      </c>
      <c r="D20" s="93">
        <v>0</v>
      </c>
      <c r="E20" s="93">
        <v>41</v>
      </c>
      <c r="F20" s="93">
        <v>0.05</v>
      </c>
      <c r="G20" s="93">
        <v>0</v>
      </c>
      <c r="H20" s="93">
        <v>0</v>
      </c>
      <c r="I20" s="94" t="s">
        <v>30</v>
      </c>
      <c r="J20" s="92"/>
      <c r="K20" s="92"/>
      <c r="L20" s="95"/>
      <c r="M20" s="95"/>
      <c r="N20" s="95"/>
      <c r="O20" s="95"/>
    </row>
    <row r="21" spans="1:15" x14ac:dyDescent="0.25">
      <c r="A21" s="12">
        <f t="shared" si="0"/>
        <v>44792</v>
      </c>
      <c r="B21" s="93">
        <v>3</v>
      </c>
      <c r="C21" s="93">
        <v>77</v>
      </c>
      <c r="D21" s="93">
        <v>0</v>
      </c>
      <c r="E21" s="93">
        <v>30</v>
      </c>
      <c r="F21" s="93">
        <v>0</v>
      </c>
      <c r="G21" s="93">
        <v>0</v>
      </c>
      <c r="H21" s="93">
        <v>0</v>
      </c>
      <c r="I21" s="94" t="s">
        <v>30</v>
      </c>
      <c r="J21" s="92" t="s">
        <v>81</v>
      </c>
      <c r="K21" s="92"/>
      <c r="L21" s="95"/>
      <c r="M21" s="95"/>
      <c r="N21" s="95"/>
      <c r="O21" s="95"/>
    </row>
    <row r="22" spans="1:15" x14ac:dyDescent="0.25">
      <c r="A22" s="12">
        <f t="shared" si="0"/>
        <v>44793</v>
      </c>
      <c r="B22" s="93">
        <v>3</v>
      </c>
      <c r="C22" s="93">
        <v>25</v>
      </c>
      <c r="D22" s="93">
        <v>0</v>
      </c>
      <c r="E22" s="93">
        <v>31</v>
      </c>
      <c r="F22" s="93">
        <v>0</v>
      </c>
      <c r="G22" s="93">
        <v>0</v>
      </c>
      <c r="H22" s="93">
        <v>0</v>
      </c>
      <c r="I22" s="94" t="s">
        <v>30</v>
      </c>
      <c r="J22" s="92"/>
      <c r="K22" s="92"/>
      <c r="L22" s="95"/>
      <c r="M22" s="95"/>
      <c r="N22" s="95"/>
      <c r="O22" s="95"/>
    </row>
    <row r="23" spans="1:15" x14ac:dyDescent="0.25">
      <c r="A23" s="12">
        <f t="shared" si="0"/>
        <v>44794</v>
      </c>
      <c r="B23" s="93">
        <v>4</v>
      </c>
      <c r="C23" s="93">
        <v>25</v>
      </c>
      <c r="D23" s="93">
        <v>0</v>
      </c>
      <c r="E23" s="93">
        <v>16</v>
      </c>
      <c r="F23" s="93">
        <v>0</v>
      </c>
      <c r="G23" s="93">
        <v>0</v>
      </c>
      <c r="H23" s="93">
        <v>0</v>
      </c>
      <c r="I23" s="94" t="s">
        <v>30</v>
      </c>
      <c r="J23" s="92"/>
      <c r="K23" s="92"/>
      <c r="L23" s="95"/>
      <c r="M23" s="95"/>
      <c r="N23" s="95"/>
      <c r="O23" s="95"/>
    </row>
    <row r="24" spans="1:15" x14ac:dyDescent="0.25">
      <c r="A24" s="12">
        <f t="shared" si="0"/>
        <v>44795</v>
      </c>
      <c r="B24" s="93">
        <v>5</v>
      </c>
      <c r="C24" s="93">
        <v>25</v>
      </c>
      <c r="D24" s="93">
        <v>0</v>
      </c>
      <c r="E24" s="93">
        <v>9</v>
      </c>
      <c r="F24" s="93">
        <v>0</v>
      </c>
      <c r="G24" s="93">
        <v>0</v>
      </c>
      <c r="H24" s="93">
        <v>0</v>
      </c>
      <c r="I24" s="94" t="s">
        <v>30</v>
      </c>
      <c r="J24" s="92"/>
      <c r="K24" s="92"/>
      <c r="L24" s="95"/>
      <c r="M24" s="95"/>
      <c r="N24" s="95"/>
      <c r="O24" s="95"/>
    </row>
    <row r="25" spans="1:15" x14ac:dyDescent="0.25">
      <c r="A25" s="12">
        <f t="shared" si="0"/>
        <v>44796</v>
      </c>
      <c r="B25" s="93">
        <v>5</v>
      </c>
      <c r="C25" s="93">
        <v>25</v>
      </c>
      <c r="D25" s="93">
        <v>0</v>
      </c>
      <c r="E25" s="93">
        <v>8</v>
      </c>
      <c r="F25" s="93">
        <v>0</v>
      </c>
      <c r="G25" s="93">
        <v>0</v>
      </c>
      <c r="H25" s="93">
        <v>0</v>
      </c>
      <c r="I25" s="94" t="s">
        <v>30</v>
      </c>
      <c r="J25" s="92"/>
      <c r="K25" s="92"/>
      <c r="L25" s="95"/>
      <c r="M25" s="95"/>
      <c r="N25" s="95"/>
      <c r="O25" s="95"/>
    </row>
    <row r="26" spans="1:15" x14ac:dyDescent="0.25">
      <c r="A26" s="12">
        <f t="shared" si="0"/>
        <v>44797</v>
      </c>
      <c r="B26" s="93">
        <v>17</v>
      </c>
      <c r="C26" s="93">
        <v>24</v>
      </c>
      <c r="D26" s="93">
        <v>0</v>
      </c>
      <c r="E26" s="93">
        <v>7</v>
      </c>
      <c r="F26" s="93">
        <v>0</v>
      </c>
      <c r="G26" s="93">
        <v>0</v>
      </c>
      <c r="H26" s="93">
        <v>0</v>
      </c>
      <c r="I26" s="94" t="s">
        <v>30</v>
      </c>
      <c r="J26" s="92"/>
      <c r="K26" s="92"/>
      <c r="L26" s="95"/>
      <c r="M26" s="95"/>
      <c r="N26" s="95"/>
      <c r="O26" s="95"/>
    </row>
    <row r="27" spans="1:15" x14ac:dyDescent="0.25">
      <c r="A27" s="12">
        <f t="shared" si="0"/>
        <v>44798</v>
      </c>
      <c r="B27" s="93">
        <v>2</v>
      </c>
      <c r="C27" s="93">
        <v>23</v>
      </c>
      <c r="D27" s="93">
        <v>0</v>
      </c>
      <c r="E27" s="93">
        <v>7</v>
      </c>
      <c r="F27" s="93">
        <v>0</v>
      </c>
      <c r="G27" s="93">
        <v>0</v>
      </c>
      <c r="H27" s="93">
        <v>0</v>
      </c>
      <c r="I27" s="94" t="s">
        <v>30</v>
      </c>
      <c r="J27" s="92"/>
      <c r="K27" s="92"/>
      <c r="L27" s="95"/>
      <c r="M27" s="95"/>
      <c r="N27" s="95"/>
      <c r="O27" s="95"/>
    </row>
    <row r="28" spans="1:15" x14ac:dyDescent="0.25">
      <c r="A28" s="12">
        <f t="shared" si="0"/>
        <v>44799</v>
      </c>
      <c r="B28" s="93">
        <v>0</v>
      </c>
      <c r="C28" s="93">
        <v>22</v>
      </c>
      <c r="D28" s="93">
        <v>0</v>
      </c>
      <c r="E28" s="93">
        <v>2</v>
      </c>
      <c r="F28" s="93">
        <v>0</v>
      </c>
      <c r="G28" s="93">
        <v>0</v>
      </c>
      <c r="H28" s="93">
        <v>0</v>
      </c>
      <c r="I28" s="94" t="s">
        <v>30</v>
      </c>
      <c r="J28" s="92"/>
      <c r="K28" s="92"/>
      <c r="L28" s="95"/>
      <c r="M28" s="95"/>
      <c r="N28" s="95"/>
      <c r="O28" s="95"/>
    </row>
    <row r="29" spans="1:15" x14ac:dyDescent="0.25">
      <c r="A29" s="12">
        <f t="shared" si="0"/>
        <v>44800</v>
      </c>
      <c r="B29" s="93">
        <v>0</v>
      </c>
      <c r="C29" s="93">
        <v>21</v>
      </c>
      <c r="D29" s="93">
        <v>0</v>
      </c>
      <c r="E29" s="93">
        <v>13</v>
      </c>
      <c r="F29" s="93">
        <v>0</v>
      </c>
      <c r="G29" s="93">
        <v>0</v>
      </c>
      <c r="H29" s="93">
        <v>0</v>
      </c>
      <c r="I29" s="94" t="s">
        <v>30</v>
      </c>
      <c r="J29" s="92"/>
      <c r="K29" s="92"/>
      <c r="L29" s="95"/>
      <c r="M29" s="95"/>
      <c r="N29" s="95"/>
      <c r="O29" s="95"/>
    </row>
    <row r="30" spans="1:15" x14ac:dyDescent="0.25">
      <c r="A30" s="12">
        <f t="shared" si="0"/>
        <v>44801</v>
      </c>
      <c r="B30" s="93">
        <v>0</v>
      </c>
      <c r="C30" s="93">
        <v>20</v>
      </c>
      <c r="D30" s="93">
        <v>0</v>
      </c>
      <c r="E30" s="93">
        <v>11</v>
      </c>
      <c r="F30" s="93">
        <v>0</v>
      </c>
      <c r="G30" s="93">
        <v>0</v>
      </c>
      <c r="H30" s="93">
        <v>0</v>
      </c>
      <c r="I30" s="94" t="s">
        <v>30</v>
      </c>
      <c r="J30" s="92"/>
      <c r="K30" s="92"/>
      <c r="L30" s="95"/>
      <c r="M30" s="95"/>
      <c r="N30" s="95"/>
      <c r="O30" s="95"/>
    </row>
    <row r="31" spans="1:15" x14ac:dyDescent="0.25">
      <c r="A31" s="12">
        <f t="shared" si="0"/>
        <v>44802</v>
      </c>
      <c r="B31" s="93">
        <v>0</v>
      </c>
      <c r="C31" s="93">
        <v>19</v>
      </c>
      <c r="D31" s="93">
        <v>0</v>
      </c>
      <c r="E31" s="93">
        <v>21</v>
      </c>
      <c r="F31" s="93">
        <v>0</v>
      </c>
      <c r="G31" s="93">
        <v>0</v>
      </c>
      <c r="H31" s="93">
        <v>0</v>
      </c>
      <c r="I31" s="94" t="s">
        <v>30</v>
      </c>
      <c r="J31" s="92"/>
      <c r="K31" s="92"/>
      <c r="L31" s="95"/>
      <c r="M31" s="95"/>
      <c r="N31" s="95"/>
      <c r="O31" s="95"/>
    </row>
    <row r="32" spans="1:15" x14ac:dyDescent="0.25">
      <c r="A32" s="12">
        <f t="shared" si="0"/>
        <v>44803</v>
      </c>
      <c r="B32" s="93">
        <v>0</v>
      </c>
      <c r="C32" s="93">
        <v>18</v>
      </c>
      <c r="D32" s="93">
        <v>0</v>
      </c>
      <c r="E32" s="93">
        <v>22</v>
      </c>
      <c r="F32" s="93">
        <v>0</v>
      </c>
      <c r="G32" s="93">
        <v>0</v>
      </c>
      <c r="H32" s="93">
        <v>0</v>
      </c>
      <c r="I32" s="94" t="s">
        <v>30</v>
      </c>
      <c r="J32" s="92"/>
      <c r="K32" s="92"/>
      <c r="L32" s="95"/>
      <c r="M32" s="95"/>
      <c r="N32" s="95"/>
      <c r="O32" s="95"/>
    </row>
    <row r="33" spans="1:15" ht="15.75" thickBot="1" x14ac:dyDescent="0.3">
      <c r="A33" s="12">
        <f t="shared" si="0"/>
        <v>44804</v>
      </c>
      <c r="B33" s="93">
        <v>0</v>
      </c>
      <c r="C33" s="93">
        <v>17</v>
      </c>
      <c r="D33" s="93">
        <v>0</v>
      </c>
      <c r="E33" s="93">
        <v>9</v>
      </c>
      <c r="F33" s="93">
        <v>0</v>
      </c>
      <c r="G33" s="93">
        <v>0</v>
      </c>
      <c r="H33" s="93">
        <v>0</v>
      </c>
      <c r="I33" s="94" t="s">
        <v>30</v>
      </c>
      <c r="J33" s="92"/>
      <c r="K33" s="92"/>
      <c r="L33" s="95"/>
      <c r="M33" s="95"/>
      <c r="N33" s="95"/>
      <c r="O33" s="95"/>
    </row>
    <row r="34" spans="1:15" s="11" customFormat="1" ht="15.75" collapsed="1" thickTop="1" x14ac:dyDescent="0.25">
      <c r="A34" s="15" t="s">
        <v>8</v>
      </c>
      <c r="B34" s="16">
        <f t="shared" ref="B34" si="1">SUM(B3:B33)</f>
        <v>194</v>
      </c>
      <c r="C34" s="16">
        <f t="shared" ref="C34:H34" si="2">SUM(C3:C33)</f>
        <v>3159</v>
      </c>
      <c r="D34" s="16">
        <f t="shared" si="2"/>
        <v>0</v>
      </c>
      <c r="E34" s="16">
        <f t="shared" si="2"/>
        <v>2437</v>
      </c>
      <c r="F34" s="17">
        <f t="shared" si="2"/>
        <v>0.3</v>
      </c>
      <c r="G34" s="17">
        <f t="shared" si="2"/>
        <v>0</v>
      </c>
      <c r="H34" s="16">
        <f t="shared" si="2"/>
        <v>0</v>
      </c>
      <c r="I34" s="17"/>
    </row>
    <row r="35" spans="1:15" s="11" customFormat="1" x14ac:dyDescent="0.25">
      <c r="A35" s="18" t="s">
        <v>9</v>
      </c>
      <c r="B35" s="19">
        <f>SUM(B34+'Jul 2022'!B35)</f>
        <v>8698</v>
      </c>
      <c r="C35" s="19">
        <f>SUM(C34+'Jul 2022'!C35)</f>
        <v>17177</v>
      </c>
      <c r="D35" s="19">
        <f>SUM(D34+'Jul 2022'!D35)</f>
        <v>0</v>
      </c>
      <c r="E35" s="19">
        <f>SUM(E34+'Jul 2022'!E35)</f>
        <v>17277</v>
      </c>
      <c r="F35" s="20">
        <f>SUM(F34+'Jul 2022'!F35)</f>
        <v>7.160000000000001</v>
      </c>
      <c r="G35" s="20">
        <f>SUM(G34+'Jul 2022'!G35)</f>
        <v>13.55</v>
      </c>
      <c r="H35" s="19">
        <f>SUM(H34+'Jul 2022'!H35)</f>
        <v>0</v>
      </c>
      <c r="I35" s="20"/>
    </row>
    <row r="37" spans="1:15" x14ac:dyDescent="0.25">
      <c r="A37" t="s">
        <v>10</v>
      </c>
      <c r="B37" s="22">
        <f>SUM(B3:B33)*1.9835</f>
        <v>384.79900000000004</v>
      </c>
      <c r="C37" s="22">
        <f>SUM(C3:C33)*1.9835</f>
        <v>6265.8765000000003</v>
      </c>
      <c r="D37" s="22">
        <f>SUM(D3:D33)*1.9835</f>
        <v>0</v>
      </c>
      <c r="E37" s="22">
        <f>SUM(E3:E33)*1.9835</f>
        <v>4833.7894999999999</v>
      </c>
      <c r="F37" s="22"/>
      <c r="G37" s="22"/>
      <c r="H37" s="22"/>
    </row>
    <row r="38" spans="1:15" x14ac:dyDescent="0.25">
      <c r="B38" s="22"/>
      <c r="C38" s="22"/>
      <c r="D38" s="22"/>
      <c r="E38" s="23"/>
      <c r="F38" s="22"/>
      <c r="G38" s="22"/>
      <c r="H38" s="22"/>
    </row>
    <row r="39" spans="1:15" x14ac:dyDescent="0.25">
      <c r="A39" t="s">
        <v>24</v>
      </c>
      <c r="B39" s="22">
        <f>SUM(B37+'Jul 2022'!B39)</f>
        <v>18908.705499999996</v>
      </c>
      <c r="C39" s="22">
        <f>SUM(C37+'Jul 2022'!C39)</f>
        <v>36040.195</v>
      </c>
      <c r="D39" s="22">
        <f>SUM(D37+'Jul 2022'!D39)</f>
        <v>0</v>
      </c>
      <c r="E39" s="22">
        <f>SUM(E37+'Jul 2022'!E39)</f>
        <v>37008.142999999996</v>
      </c>
      <c r="F39" s="22"/>
      <c r="G39" s="22"/>
      <c r="H39" s="22"/>
    </row>
    <row r="41" spans="1:15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  <c r="L41" s="27"/>
      <c r="M41" s="27"/>
      <c r="N41" s="28"/>
      <c r="O41" s="27"/>
    </row>
    <row r="42" spans="1:15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8"/>
      <c r="O42" s="27"/>
    </row>
    <row r="43" spans="1:15" ht="13.9" customHeight="1" thickBot="1" x14ac:dyDescent="0.3">
      <c r="A43" s="114" t="s">
        <v>23</v>
      </c>
      <c r="B43" s="114"/>
      <c r="C43" s="114"/>
      <c r="D43" s="114"/>
      <c r="E43" s="114"/>
      <c r="F43" s="114"/>
      <c r="G43" s="114"/>
      <c r="H43" s="114"/>
      <c r="I43" s="114"/>
      <c r="J43" s="115"/>
      <c r="K43" s="29"/>
      <c r="L43" s="29"/>
      <c r="M43" s="29"/>
      <c r="N43" s="30"/>
      <c r="O43" s="31"/>
    </row>
    <row r="44" spans="1:15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0"/>
    </row>
    <row r="45" spans="1:15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0"/>
    </row>
    <row r="46" spans="1:15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0"/>
    </row>
    <row r="47" spans="1:1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0"/>
    </row>
    <row r="48" spans="1:1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0"/>
    </row>
    <row r="49" spans="1:15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0"/>
    </row>
    <row r="50" spans="1:15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0"/>
      <c r="O50" s="31"/>
    </row>
    <row r="51" spans="1:15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0"/>
      <c r="O51" s="31"/>
    </row>
    <row r="52" spans="1:15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</row>
    <row r="53" spans="1:15" ht="15.75" x14ac:dyDescent="0.25">
      <c r="A53" s="55"/>
      <c r="B53" s="107"/>
      <c r="C53" s="56"/>
      <c r="D53" s="57"/>
      <c r="E53" s="58"/>
      <c r="F53" s="59"/>
      <c r="G53" s="60">
        <f>SUM(D53/24*E53)</f>
        <v>0</v>
      </c>
      <c r="H53" s="61"/>
      <c r="I53" s="62"/>
      <c r="J53" s="63"/>
    </row>
    <row r="54" spans="1:15" x14ac:dyDescent="0.25">
      <c r="A54" s="64"/>
      <c r="B54" s="108"/>
      <c r="C54" s="65"/>
      <c r="D54" s="66"/>
      <c r="E54" s="58"/>
      <c r="F54" s="67"/>
      <c r="G54" s="68">
        <f>SUM(D54/24*E54)</f>
        <v>0</v>
      </c>
      <c r="H54" s="61"/>
      <c r="I54" s="62"/>
    </row>
    <row r="55" spans="1:15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5" x14ac:dyDescent="0.25">
      <c r="A56" s="64"/>
      <c r="B56" s="108"/>
      <c r="C56" s="65"/>
      <c r="D56" s="66"/>
      <c r="E56" s="58"/>
      <c r="F56" s="69"/>
      <c r="G56" s="68">
        <f>SUM(D56/24*E56)</f>
        <v>0</v>
      </c>
      <c r="H56" s="61"/>
      <c r="I56" s="62"/>
    </row>
    <row r="57" spans="1:15" ht="15.75" thickBot="1" x14ac:dyDescent="0.3">
      <c r="A57" s="70"/>
      <c r="B57" s="109"/>
      <c r="C57" s="71"/>
      <c r="D57" s="72"/>
      <c r="E57" s="73"/>
      <c r="F57" s="72"/>
      <c r="G57" s="74">
        <f>SUM(D57/24*E57)</f>
        <v>0</v>
      </c>
      <c r="H57" s="61"/>
      <c r="I57" s="62"/>
      <c r="J57" s="75"/>
    </row>
    <row r="58" spans="1:15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3" sqref="C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30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25">
        <v>44743</v>
      </c>
      <c r="B3" s="93">
        <v>3</v>
      </c>
      <c r="C3" s="93">
        <v>150</v>
      </c>
      <c r="D3" s="93">
        <v>0</v>
      </c>
      <c r="E3" s="93">
        <v>126</v>
      </c>
      <c r="F3" s="93">
        <v>0</v>
      </c>
      <c r="G3" s="93">
        <v>0</v>
      </c>
      <c r="H3" s="93">
        <v>0</v>
      </c>
      <c r="I3" s="94" t="s">
        <v>30</v>
      </c>
      <c r="J3" s="92"/>
    </row>
    <row r="4" spans="1:10" x14ac:dyDescent="0.25">
      <c r="A4" s="25">
        <f>A3+1</f>
        <v>44744</v>
      </c>
      <c r="B4" s="93">
        <v>4</v>
      </c>
      <c r="C4" s="93">
        <v>159</v>
      </c>
      <c r="D4" s="93">
        <v>0</v>
      </c>
      <c r="E4" s="93">
        <v>157</v>
      </c>
      <c r="F4" s="93">
        <v>0</v>
      </c>
      <c r="G4" s="93">
        <v>0</v>
      </c>
      <c r="H4" s="93">
        <v>0</v>
      </c>
      <c r="I4" s="94" t="s">
        <v>30</v>
      </c>
      <c r="J4" s="92" t="s">
        <v>69</v>
      </c>
    </row>
    <row r="5" spans="1:10" x14ac:dyDescent="0.25">
      <c r="A5" s="25">
        <f t="shared" ref="A5:A33" si="0">A4+1</f>
        <v>44745</v>
      </c>
      <c r="B5" s="93">
        <v>8</v>
      </c>
      <c r="C5" s="93">
        <v>175</v>
      </c>
      <c r="D5" s="93">
        <v>0</v>
      </c>
      <c r="E5" s="93">
        <v>131</v>
      </c>
      <c r="F5" s="93">
        <v>0.09</v>
      </c>
      <c r="G5" s="93">
        <v>0</v>
      </c>
      <c r="H5" s="93">
        <v>0</v>
      </c>
      <c r="I5" s="94" t="s">
        <v>30</v>
      </c>
      <c r="J5" s="92"/>
    </row>
    <row r="6" spans="1:10" x14ac:dyDescent="0.25">
      <c r="A6" s="25">
        <f t="shared" si="0"/>
        <v>44746</v>
      </c>
      <c r="B6" s="93">
        <v>10</v>
      </c>
      <c r="C6" s="93">
        <v>148</v>
      </c>
      <c r="D6" s="93">
        <v>0</v>
      </c>
      <c r="E6" s="93">
        <v>135</v>
      </c>
      <c r="F6" s="93">
        <v>7.0000000000000007E-2</v>
      </c>
      <c r="G6" s="93">
        <v>0</v>
      </c>
      <c r="H6" s="93">
        <v>0</v>
      </c>
      <c r="I6" s="94" t="s">
        <v>30</v>
      </c>
      <c r="J6" s="92" t="s">
        <v>70</v>
      </c>
    </row>
    <row r="7" spans="1:10" x14ac:dyDescent="0.25">
      <c r="A7" s="25">
        <f t="shared" si="0"/>
        <v>44747</v>
      </c>
      <c r="B7" s="93">
        <v>11</v>
      </c>
      <c r="C7" s="93">
        <v>115</v>
      </c>
      <c r="D7" s="93">
        <v>0</v>
      </c>
      <c r="E7" s="93">
        <v>135</v>
      </c>
      <c r="F7" s="93">
        <v>0.02</v>
      </c>
      <c r="G7" s="93">
        <v>0</v>
      </c>
      <c r="H7" s="93">
        <v>0</v>
      </c>
      <c r="I7" s="94" t="s">
        <v>30</v>
      </c>
      <c r="J7" s="92" t="s">
        <v>71</v>
      </c>
    </row>
    <row r="8" spans="1:10" x14ac:dyDescent="0.25">
      <c r="A8" s="25">
        <f t="shared" si="0"/>
        <v>44748</v>
      </c>
      <c r="B8" s="93">
        <v>8</v>
      </c>
      <c r="C8" s="93">
        <v>119</v>
      </c>
      <c r="D8" s="93">
        <v>0</v>
      </c>
      <c r="E8" s="93">
        <v>150</v>
      </c>
      <c r="F8" s="93">
        <v>0</v>
      </c>
      <c r="G8" s="93">
        <v>0</v>
      </c>
      <c r="H8" s="93">
        <v>0</v>
      </c>
      <c r="I8" s="93" t="s">
        <v>30</v>
      </c>
      <c r="J8" s="92" t="s">
        <v>72</v>
      </c>
    </row>
    <row r="9" spans="1:10" x14ac:dyDescent="0.25">
      <c r="A9" s="25">
        <f t="shared" si="0"/>
        <v>44749</v>
      </c>
      <c r="B9" s="93">
        <v>6</v>
      </c>
      <c r="C9" s="93">
        <v>160</v>
      </c>
      <c r="D9" s="93">
        <v>0</v>
      </c>
      <c r="E9" s="93">
        <v>168</v>
      </c>
      <c r="F9" s="93">
        <v>0</v>
      </c>
      <c r="G9" s="93">
        <v>0</v>
      </c>
      <c r="H9" s="93">
        <v>0</v>
      </c>
      <c r="I9" s="93" t="s">
        <v>30</v>
      </c>
      <c r="J9" s="92" t="s">
        <v>73</v>
      </c>
    </row>
    <row r="10" spans="1:10" x14ac:dyDescent="0.25">
      <c r="A10" s="25">
        <f t="shared" si="0"/>
        <v>44750</v>
      </c>
      <c r="B10" s="93">
        <v>10</v>
      </c>
      <c r="C10" s="93">
        <v>200</v>
      </c>
      <c r="D10" s="93">
        <v>0</v>
      </c>
      <c r="E10" s="93">
        <v>147</v>
      </c>
      <c r="F10" s="93">
        <v>0</v>
      </c>
      <c r="G10" s="93">
        <v>0</v>
      </c>
      <c r="H10" s="93">
        <v>0</v>
      </c>
      <c r="I10" s="93" t="s">
        <v>30</v>
      </c>
      <c r="J10" s="92"/>
    </row>
    <row r="11" spans="1:10" x14ac:dyDescent="0.25">
      <c r="A11" s="25">
        <f t="shared" si="0"/>
        <v>44751</v>
      </c>
      <c r="B11" s="93">
        <v>4</v>
      </c>
      <c r="C11" s="93">
        <v>200</v>
      </c>
      <c r="D11" s="93">
        <v>0</v>
      </c>
      <c r="E11" s="93">
        <v>132</v>
      </c>
      <c r="F11" s="93">
        <v>0</v>
      </c>
      <c r="G11" s="93">
        <v>0</v>
      </c>
      <c r="H11" s="93">
        <v>0</v>
      </c>
      <c r="I11" s="93" t="s">
        <v>30</v>
      </c>
      <c r="J11" s="92"/>
    </row>
    <row r="12" spans="1:10" x14ac:dyDescent="0.25">
      <c r="A12" s="25">
        <f t="shared" si="0"/>
        <v>44752</v>
      </c>
      <c r="B12" s="93">
        <v>3</v>
      </c>
      <c r="C12" s="93">
        <v>175</v>
      </c>
      <c r="D12" s="93">
        <v>0</v>
      </c>
      <c r="E12" s="93">
        <v>132</v>
      </c>
      <c r="F12" s="93">
        <v>0</v>
      </c>
      <c r="G12" s="93">
        <v>0</v>
      </c>
      <c r="H12" s="93">
        <v>0</v>
      </c>
      <c r="I12" s="93" t="s">
        <v>30</v>
      </c>
      <c r="J12" s="92" t="s">
        <v>74</v>
      </c>
    </row>
    <row r="13" spans="1:10" x14ac:dyDescent="0.25">
      <c r="A13" s="25">
        <f t="shared" si="0"/>
        <v>44753</v>
      </c>
      <c r="B13" s="93">
        <v>6</v>
      </c>
      <c r="C13" s="93">
        <v>175</v>
      </c>
      <c r="D13" s="93">
        <v>0</v>
      </c>
      <c r="E13" s="93">
        <v>145</v>
      </c>
      <c r="F13" s="93">
        <v>0</v>
      </c>
      <c r="G13" s="93">
        <v>0</v>
      </c>
      <c r="H13" s="93">
        <v>0</v>
      </c>
      <c r="I13" s="93" t="s">
        <v>30</v>
      </c>
      <c r="J13" s="92" t="s">
        <v>75</v>
      </c>
    </row>
    <row r="14" spans="1:10" x14ac:dyDescent="0.25">
      <c r="A14" s="25">
        <f t="shared" si="0"/>
        <v>44754</v>
      </c>
      <c r="B14" s="93">
        <v>3</v>
      </c>
      <c r="C14" s="93">
        <v>200</v>
      </c>
      <c r="D14" s="93">
        <v>0</v>
      </c>
      <c r="E14" s="93">
        <v>147</v>
      </c>
      <c r="F14" s="93">
        <v>0</v>
      </c>
      <c r="G14" s="93">
        <v>0</v>
      </c>
      <c r="H14" s="93">
        <v>0</v>
      </c>
      <c r="I14" s="94" t="s">
        <v>30</v>
      </c>
      <c r="J14" s="92"/>
    </row>
    <row r="15" spans="1:10" x14ac:dyDescent="0.25">
      <c r="A15" s="25">
        <f t="shared" si="0"/>
        <v>44755</v>
      </c>
      <c r="B15" s="93">
        <v>5</v>
      </c>
      <c r="C15" s="93">
        <v>223</v>
      </c>
      <c r="D15" s="93">
        <v>0</v>
      </c>
      <c r="E15" s="93">
        <v>146</v>
      </c>
      <c r="F15" s="93">
        <v>0</v>
      </c>
      <c r="G15" s="93">
        <v>0</v>
      </c>
      <c r="H15" s="93">
        <v>0</v>
      </c>
      <c r="I15" s="94" t="s">
        <v>30</v>
      </c>
      <c r="J15" s="92" t="s">
        <v>76</v>
      </c>
    </row>
    <row r="16" spans="1:10" x14ac:dyDescent="0.25">
      <c r="A16" s="25">
        <f t="shared" si="0"/>
        <v>44756</v>
      </c>
      <c r="B16" s="93">
        <v>61</v>
      </c>
      <c r="C16" s="93">
        <v>250</v>
      </c>
      <c r="D16" s="93">
        <v>0</v>
      </c>
      <c r="E16" s="93">
        <v>137</v>
      </c>
      <c r="F16" s="93">
        <v>0</v>
      </c>
      <c r="G16" s="93">
        <v>0</v>
      </c>
      <c r="H16" s="93">
        <v>0</v>
      </c>
      <c r="I16" s="94" t="s">
        <v>30</v>
      </c>
      <c r="J16" s="92"/>
    </row>
    <row r="17" spans="1:10" x14ac:dyDescent="0.25">
      <c r="A17" s="25">
        <f t="shared" si="0"/>
        <v>44757</v>
      </c>
      <c r="B17" s="93">
        <v>4</v>
      </c>
      <c r="C17" s="93">
        <v>250</v>
      </c>
      <c r="D17" s="93">
        <v>0</v>
      </c>
      <c r="E17" s="93">
        <v>135</v>
      </c>
      <c r="F17" s="93">
        <v>0</v>
      </c>
      <c r="G17" s="93">
        <v>0</v>
      </c>
      <c r="H17" s="93">
        <v>0</v>
      </c>
      <c r="I17" s="94" t="s">
        <v>30</v>
      </c>
      <c r="J17" s="92"/>
    </row>
    <row r="18" spans="1:10" x14ac:dyDescent="0.25">
      <c r="A18" s="25">
        <f t="shared" si="0"/>
        <v>44758</v>
      </c>
      <c r="B18" s="93">
        <v>1</v>
      </c>
      <c r="C18" s="93">
        <v>250</v>
      </c>
      <c r="D18" s="93">
        <v>0</v>
      </c>
      <c r="E18" s="93">
        <v>156</v>
      </c>
      <c r="F18" s="93">
        <v>0</v>
      </c>
      <c r="G18" s="93">
        <v>0</v>
      </c>
      <c r="H18" s="93">
        <v>0</v>
      </c>
      <c r="I18" s="94" t="s">
        <v>30</v>
      </c>
      <c r="J18" s="92"/>
    </row>
    <row r="19" spans="1:10" x14ac:dyDescent="0.25">
      <c r="A19" s="25">
        <f t="shared" si="0"/>
        <v>44759</v>
      </c>
      <c r="B19" s="93">
        <v>6</v>
      </c>
      <c r="C19" s="93">
        <v>250</v>
      </c>
      <c r="D19" s="93">
        <v>0</v>
      </c>
      <c r="E19" s="93">
        <v>209</v>
      </c>
      <c r="F19" s="93">
        <v>0</v>
      </c>
      <c r="G19" s="93">
        <v>0</v>
      </c>
      <c r="H19" s="93">
        <v>0</v>
      </c>
      <c r="I19" s="94" t="s">
        <v>30</v>
      </c>
      <c r="J19" s="92"/>
    </row>
    <row r="20" spans="1:10" x14ac:dyDescent="0.25">
      <c r="A20" s="25">
        <f t="shared" si="0"/>
        <v>44760</v>
      </c>
      <c r="B20" s="93">
        <v>4</v>
      </c>
      <c r="C20" s="93">
        <v>250</v>
      </c>
      <c r="D20" s="93">
        <v>0</v>
      </c>
      <c r="E20" s="93">
        <v>224</v>
      </c>
      <c r="F20" s="93">
        <v>0</v>
      </c>
      <c r="G20" s="93">
        <v>0</v>
      </c>
      <c r="H20" s="93">
        <v>0</v>
      </c>
      <c r="I20" s="94" t="s">
        <v>30</v>
      </c>
      <c r="J20" s="92"/>
    </row>
    <row r="21" spans="1:10" x14ac:dyDescent="0.25">
      <c r="A21" s="25">
        <f t="shared" si="0"/>
        <v>44761</v>
      </c>
      <c r="B21" s="93">
        <v>5</v>
      </c>
      <c r="C21" s="93">
        <v>250</v>
      </c>
      <c r="D21" s="93">
        <v>0</v>
      </c>
      <c r="E21" s="93">
        <v>217</v>
      </c>
      <c r="F21" s="93">
        <v>0</v>
      </c>
      <c r="G21" s="93">
        <v>0</v>
      </c>
      <c r="H21" s="93">
        <v>0</v>
      </c>
      <c r="I21" s="94" t="s">
        <v>30</v>
      </c>
      <c r="J21" s="92"/>
    </row>
    <row r="22" spans="1:10" x14ac:dyDescent="0.25">
      <c r="A22" s="25">
        <f t="shared" si="0"/>
        <v>44762</v>
      </c>
      <c r="B22" s="93">
        <v>8</v>
      </c>
      <c r="C22" s="93">
        <v>250</v>
      </c>
      <c r="D22" s="93">
        <v>0</v>
      </c>
      <c r="E22" s="93">
        <v>199</v>
      </c>
      <c r="F22" s="93">
        <v>0</v>
      </c>
      <c r="G22" s="93">
        <v>0</v>
      </c>
      <c r="H22" s="93">
        <v>0</v>
      </c>
      <c r="I22" s="94" t="s">
        <v>30</v>
      </c>
      <c r="J22" s="92"/>
    </row>
    <row r="23" spans="1:10" x14ac:dyDescent="0.25">
      <c r="A23" s="25">
        <f t="shared" si="0"/>
        <v>44763</v>
      </c>
      <c r="B23" s="93">
        <v>4</v>
      </c>
      <c r="C23" s="93">
        <v>250</v>
      </c>
      <c r="D23" s="93">
        <v>0</v>
      </c>
      <c r="E23" s="93">
        <v>249</v>
      </c>
      <c r="F23" s="93">
        <v>0</v>
      </c>
      <c r="G23" s="93">
        <v>0</v>
      </c>
      <c r="H23" s="93">
        <v>0</v>
      </c>
      <c r="I23" s="94" t="s">
        <v>30</v>
      </c>
      <c r="J23" s="92"/>
    </row>
    <row r="24" spans="1:10" x14ac:dyDescent="0.25">
      <c r="A24" s="25">
        <f t="shared" si="0"/>
        <v>44764</v>
      </c>
      <c r="B24" s="93">
        <v>4</v>
      </c>
      <c r="C24" s="93">
        <v>250</v>
      </c>
      <c r="D24" s="93">
        <v>0</v>
      </c>
      <c r="E24" s="93">
        <v>208</v>
      </c>
      <c r="F24" s="93">
        <v>0</v>
      </c>
      <c r="G24" s="93">
        <v>0</v>
      </c>
      <c r="H24" s="93">
        <v>0</v>
      </c>
      <c r="I24" s="94" t="s">
        <v>30</v>
      </c>
      <c r="J24" s="92"/>
    </row>
    <row r="25" spans="1:10" x14ac:dyDescent="0.25">
      <c r="A25" s="25">
        <f t="shared" si="0"/>
        <v>44765</v>
      </c>
      <c r="B25" s="93">
        <v>4</v>
      </c>
      <c r="C25" s="93">
        <v>250</v>
      </c>
      <c r="D25" s="93">
        <v>0</v>
      </c>
      <c r="E25" s="93">
        <v>212</v>
      </c>
      <c r="F25" s="93">
        <v>0</v>
      </c>
      <c r="G25" s="93">
        <v>0</v>
      </c>
      <c r="H25" s="93">
        <v>0</v>
      </c>
      <c r="I25" s="94" t="s">
        <v>30</v>
      </c>
      <c r="J25" s="92"/>
    </row>
    <row r="26" spans="1:10" x14ac:dyDescent="0.25">
      <c r="A26" s="25">
        <f t="shared" si="0"/>
        <v>44766</v>
      </c>
      <c r="B26" s="93">
        <v>4</v>
      </c>
      <c r="C26" s="93">
        <v>250</v>
      </c>
      <c r="D26" s="93">
        <v>0</v>
      </c>
      <c r="E26" s="93">
        <v>193</v>
      </c>
      <c r="F26" s="93">
        <v>0</v>
      </c>
      <c r="G26" s="93">
        <v>0</v>
      </c>
      <c r="H26" s="93">
        <v>0</v>
      </c>
      <c r="I26" s="94" t="s">
        <v>30</v>
      </c>
      <c r="J26" s="92"/>
    </row>
    <row r="27" spans="1:10" x14ac:dyDescent="0.25">
      <c r="A27" s="25">
        <f t="shared" si="0"/>
        <v>44767</v>
      </c>
      <c r="B27" s="93">
        <v>2</v>
      </c>
      <c r="C27" s="93">
        <v>250</v>
      </c>
      <c r="D27" s="93">
        <v>0</v>
      </c>
      <c r="E27" s="93">
        <v>176</v>
      </c>
      <c r="F27" s="93">
        <v>0</v>
      </c>
      <c r="G27" s="93">
        <v>0</v>
      </c>
      <c r="H27" s="93">
        <v>0</v>
      </c>
      <c r="I27" s="94" t="s">
        <v>30</v>
      </c>
      <c r="J27" s="92"/>
    </row>
    <row r="28" spans="1:10" x14ac:dyDescent="0.25">
      <c r="A28" s="25">
        <f t="shared" si="0"/>
        <v>44768</v>
      </c>
      <c r="B28" s="93">
        <v>9</v>
      </c>
      <c r="C28" s="93">
        <v>250</v>
      </c>
      <c r="D28" s="93">
        <v>0</v>
      </c>
      <c r="E28" s="93">
        <v>146</v>
      </c>
      <c r="F28" s="93">
        <v>0</v>
      </c>
      <c r="G28" s="93">
        <v>0</v>
      </c>
      <c r="H28" s="93">
        <v>0</v>
      </c>
      <c r="I28" s="94" t="s">
        <v>30</v>
      </c>
      <c r="J28" s="92"/>
    </row>
    <row r="29" spans="1:10" x14ac:dyDescent="0.25">
      <c r="A29" s="25">
        <f t="shared" si="0"/>
        <v>44769</v>
      </c>
      <c r="B29" s="93">
        <v>12</v>
      </c>
      <c r="C29" s="93">
        <v>250</v>
      </c>
      <c r="D29" s="93">
        <v>0</v>
      </c>
      <c r="E29" s="93">
        <v>168</v>
      </c>
      <c r="F29" s="93">
        <v>0</v>
      </c>
      <c r="G29" s="93">
        <v>0</v>
      </c>
      <c r="H29" s="93">
        <v>0</v>
      </c>
      <c r="I29" s="94" t="s">
        <v>30</v>
      </c>
      <c r="J29" s="92"/>
    </row>
    <row r="30" spans="1:10" x14ac:dyDescent="0.25">
      <c r="A30" s="25">
        <f t="shared" si="0"/>
        <v>44770</v>
      </c>
      <c r="B30" s="93">
        <v>10</v>
      </c>
      <c r="C30" s="93">
        <v>231</v>
      </c>
      <c r="D30" s="93">
        <v>0</v>
      </c>
      <c r="E30" s="93">
        <v>188</v>
      </c>
      <c r="F30" s="93">
        <v>0</v>
      </c>
      <c r="G30" s="93">
        <v>0</v>
      </c>
      <c r="H30" s="93">
        <v>0</v>
      </c>
      <c r="I30" s="94" t="s">
        <v>30</v>
      </c>
      <c r="J30" s="92" t="s">
        <v>77</v>
      </c>
    </row>
    <row r="31" spans="1:10" x14ac:dyDescent="0.25">
      <c r="A31" s="25">
        <f t="shared" si="0"/>
        <v>44771</v>
      </c>
      <c r="B31" s="93">
        <v>19</v>
      </c>
      <c r="C31" s="93">
        <v>200</v>
      </c>
      <c r="D31" s="93">
        <v>0</v>
      </c>
      <c r="E31" s="93">
        <v>172</v>
      </c>
      <c r="F31" s="93">
        <v>0</v>
      </c>
      <c r="G31" s="93">
        <v>0</v>
      </c>
      <c r="H31" s="93">
        <v>0</v>
      </c>
      <c r="I31" s="94" t="s">
        <v>30</v>
      </c>
      <c r="J31" s="92"/>
    </row>
    <row r="32" spans="1:10" x14ac:dyDescent="0.25">
      <c r="A32" s="25">
        <f t="shared" si="0"/>
        <v>44772</v>
      </c>
      <c r="B32" s="93">
        <v>13</v>
      </c>
      <c r="C32" s="93">
        <v>200</v>
      </c>
      <c r="D32" s="93">
        <v>0</v>
      </c>
      <c r="E32" s="93">
        <v>155</v>
      </c>
      <c r="F32" s="93" t="s">
        <v>29</v>
      </c>
      <c r="G32" s="93">
        <v>0</v>
      </c>
      <c r="H32" s="93">
        <v>0</v>
      </c>
      <c r="I32" s="94" t="s">
        <v>30</v>
      </c>
      <c r="J32" s="92"/>
    </row>
    <row r="33" spans="1:15" ht="15.75" thickBot="1" x14ac:dyDescent="0.3">
      <c r="A33" s="25">
        <f t="shared" si="0"/>
        <v>44773</v>
      </c>
      <c r="B33" s="93">
        <v>19</v>
      </c>
      <c r="C33" s="93">
        <v>200</v>
      </c>
      <c r="D33" s="93">
        <v>0</v>
      </c>
      <c r="E33" s="93">
        <v>163</v>
      </c>
      <c r="F33" s="93">
        <v>0</v>
      </c>
      <c r="G33" s="93">
        <v>0</v>
      </c>
      <c r="H33" s="93">
        <v>0</v>
      </c>
      <c r="I33" s="94" t="s">
        <v>30</v>
      </c>
      <c r="J33" s="92"/>
    </row>
    <row r="34" spans="1:15" s="11" customFormat="1" ht="15.75" thickTop="1" x14ac:dyDescent="0.25">
      <c r="A34" s="15" t="s">
        <v>8</v>
      </c>
      <c r="B34" s="16">
        <f t="shared" ref="B34" si="1">SUM(B3:B33)</f>
        <v>270</v>
      </c>
      <c r="C34" s="16">
        <f t="shared" ref="C34:H34" si="2">SUM(C3:C33)</f>
        <v>6530</v>
      </c>
      <c r="D34" s="16">
        <f t="shared" si="2"/>
        <v>0</v>
      </c>
      <c r="E34" s="16">
        <f t="shared" si="2"/>
        <v>5158</v>
      </c>
      <c r="F34" s="17">
        <f t="shared" si="2"/>
        <v>0.18</v>
      </c>
      <c r="G34" s="17">
        <f t="shared" si="2"/>
        <v>0</v>
      </c>
      <c r="H34" s="16">
        <f t="shared" si="2"/>
        <v>0</v>
      </c>
      <c r="I34" s="17"/>
    </row>
    <row r="35" spans="1:15" s="11" customFormat="1" x14ac:dyDescent="0.25">
      <c r="A35" s="18" t="s">
        <v>9</v>
      </c>
      <c r="B35" s="19">
        <f>SUM(B34+'Jun 2022'!B34)</f>
        <v>8504</v>
      </c>
      <c r="C35" s="19">
        <f>SUM(C34+'Jun 2022'!C34)</f>
        <v>14018</v>
      </c>
      <c r="D35" s="19">
        <f>SUM(D34+'Jun 2022'!D34)</f>
        <v>0</v>
      </c>
      <c r="E35" s="19">
        <f>SUM(E34+'Jun 2022'!E34)</f>
        <v>14840</v>
      </c>
      <c r="F35" s="20">
        <f>SUM(F34+'Jun 2022'!F34)</f>
        <v>6.8600000000000012</v>
      </c>
      <c r="G35" s="20">
        <f>SUM(G34+'Jun 2022'!G34)</f>
        <v>13.55</v>
      </c>
      <c r="H35" s="19">
        <f>SUM(H34+'Jun 2022'!H34)</f>
        <v>0</v>
      </c>
      <c r="I35" s="20"/>
    </row>
    <row r="37" spans="1:15" x14ac:dyDescent="0.25">
      <c r="A37" t="s">
        <v>10</v>
      </c>
      <c r="B37" s="22">
        <f>SUM(B3:B33)*1.9835</f>
        <v>535.54499999999996</v>
      </c>
      <c r="C37" s="22">
        <f>SUM(C3:C33)*1.9835</f>
        <v>12952.255000000001</v>
      </c>
      <c r="D37" s="22">
        <f>SUM(D3:D33)*1.9835</f>
        <v>0</v>
      </c>
      <c r="E37" s="22">
        <f>SUM(E3:E33)*1.9835</f>
        <v>10230.893</v>
      </c>
      <c r="F37" s="22"/>
      <c r="G37" s="22"/>
      <c r="H37" s="22"/>
    </row>
    <row r="38" spans="1:15" x14ac:dyDescent="0.25">
      <c r="B38" s="22"/>
      <c r="C38" s="22"/>
      <c r="D38" s="22"/>
      <c r="E38" s="23"/>
      <c r="F38" s="22"/>
      <c r="G38" s="22"/>
      <c r="H38" s="22"/>
    </row>
    <row r="39" spans="1:15" x14ac:dyDescent="0.25">
      <c r="A39" t="s">
        <v>24</v>
      </c>
      <c r="B39" s="22">
        <f>SUM(B37+'Jun 2022'!B38)</f>
        <v>18523.906499999997</v>
      </c>
      <c r="C39" s="22">
        <f>SUM(C37+'Jun 2022'!C38)</f>
        <v>29774.318500000001</v>
      </c>
      <c r="D39" s="22">
        <f>SUM(D37+'Jun 2022'!D38)</f>
        <v>0</v>
      </c>
      <c r="E39" s="22">
        <f>SUM(E37+'Jun 2022'!E38)</f>
        <v>32174.353499999997</v>
      </c>
      <c r="F39" s="22"/>
      <c r="G39" s="22"/>
      <c r="H39" s="22"/>
    </row>
    <row r="41" spans="1:15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  <c r="L41" s="27"/>
      <c r="M41" s="27"/>
      <c r="N41" s="28"/>
      <c r="O41" s="27"/>
    </row>
    <row r="42" spans="1:15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8"/>
      <c r="O42" s="27"/>
    </row>
    <row r="43" spans="1:15" ht="13.9" customHeight="1" thickBot="1" x14ac:dyDescent="0.3">
      <c r="A43" s="114" t="s">
        <v>23</v>
      </c>
      <c r="B43" s="114"/>
      <c r="C43" s="114"/>
      <c r="D43" s="114"/>
      <c r="E43" s="114"/>
      <c r="F43" s="114"/>
      <c r="G43" s="114"/>
      <c r="H43" s="114"/>
      <c r="I43" s="114"/>
      <c r="J43" s="115"/>
      <c r="K43" s="29"/>
      <c r="L43" s="29"/>
      <c r="M43" s="29"/>
      <c r="N43" s="30"/>
      <c r="O43" s="31"/>
    </row>
    <row r="44" spans="1:15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0"/>
    </row>
    <row r="45" spans="1:15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0"/>
    </row>
    <row r="46" spans="1:15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0"/>
    </row>
    <row r="47" spans="1:1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0"/>
    </row>
    <row r="48" spans="1:1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0"/>
    </row>
    <row r="49" spans="1:15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0"/>
    </row>
    <row r="50" spans="1:15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0"/>
      <c r="O50" s="31"/>
    </row>
    <row r="51" spans="1:15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0"/>
      <c r="O51" s="31"/>
    </row>
    <row r="52" spans="1:15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</row>
    <row r="53" spans="1:15" ht="15.75" x14ac:dyDescent="0.25">
      <c r="A53" s="55"/>
      <c r="B53" s="107"/>
      <c r="C53" s="56"/>
      <c r="D53" s="57"/>
      <c r="E53" s="58"/>
      <c r="F53" s="59"/>
      <c r="G53" s="60">
        <f>SUM(D53/24*E53)</f>
        <v>0</v>
      </c>
      <c r="H53" s="61"/>
      <c r="I53" s="62"/>
      <c r="J53" s="63"/>
    </row>
    <row r="54" spans="1:15" x14ac:dyDescent="0.25">
      <c r="A54" s="64"/>
      <c r="B54" s="108"/>
      <c r="C54" s="65"/>
      <c r="D54" s="66"/>
      <c r="E54" s="58"/>
      <c r="F54" s="67"/>
      <c r="G54" s="68">
        <f>SUM(D54/24*E54)</f>
        <v>0</v>
      </c>
      <c r="H54" s="61"/>
      <c r="I54" s="62"/>
    </row>
    <row r="55" spans="1:15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5" x14ac:dyDescent="0.25">
      <c r="A56" s="64"/>
      <c r="B56" s="108"/>
      <c r="C56" s="65"/>
      <c r="D56" s="66"/>
      <c r="E56" s="58"/>
      <c r="F56" s="69"/>
      <c r="G56" s="68">
        <f>SUM(D56/24*E56)</f>
        <v>0</v>
      </c>
      <c r="H56" s="61"/>
      <c r="I56" s="62"/>
    </row>
    <row r="57" spans="1:15" ht="15.75" thickBot="1" x14ac:dyDescent="0.3">
      <c r="A57" s="70"/>
      <c r="B57" s="109"/>
      <c r="C57" s="71"/>
      <c r="D57" s="72"/>
      <c r="E57" s="73"/>
      <c r="F57" s="72"/>
      <c r="G57" s="74">
        <f>SUM(D57/24*E57)</f>
        <v>0</v>
      </c>
      <c r="H57" s="61"/>
      <c r="I57" s="62"/>
      <c r="J57" s="75"/>
    </row>
    <row r="58" spans="1:15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</row>
  </sheetData>
  <mergeCells count="4">
    <mergeCell ref="A41:G41"/>
    <mergeCell ref="H41:I42"/>
    <mergeCell ref="A43:J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7"/>
  <sheetViews>
    <sheetView zoomScaleNormal="100"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I33" sqref="I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32.140625" bestFit="1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25">
        <v>44713</v>
      </c>
      <c r="B3" s="93">
        <v>20</v>
      </c>
      <c r="C3" s="93">
        <v>40</v>
      </c>
      <c r="D3" s="93">
        <v>0</v>
      </c>
      <c r="E3" s="93">
        <v>46</v>
      </c>
      <c r="F3" s="93">
        <v>0</v>
      </c>
      <c r="G3" s="93">
        <v>0</v>
      </c>
      <c r="H3" s="93">
        <v>0</v>
      </c>
      <c r="I3" s="94" t="s">
        <v>30</v>
      </c>
      <c r="J3" s="97"/>
    </row>
    <row r="4" spans="1:10" x14ac:dyDescent="0.25">
      <c r="A4" s="25">
        <f>A3+1</f>
        <v>44714</v>
      </c>
      <c r="B4" s="93">
        <v>27</v>
      </c>
      <c r="C4" s="93">
        <v>40</v>
      </c>
      <c r="D4" s="93">
        <v>0</v>
      </c>
      <c r="E4" s="93">
        <v>50</v>
      </c>
      <c r="F4" s="93">
        <v>0</v>
      </c>
      <c r="G4" s="93">
        <v>0</v>
      </c>
      <c r="H4" s="93">
        <v>0</v>
      </c>
      <c r="I4" s="94" t="s">
        <v>30</v>
      </c>
      <c r="J4" s="97"/>
    </row>
    <row r="5" spans="1:10" x14ac:dyDescent="0.25">
      <c r="A5" s="25">
        <f t="shared" ref="A5:A32" si="0">A4+1</f>
        <v>44715</v>
      </c>
      <c r="B5" s="93">
        <v>25</v>
      </c>
      <c r="C5" s="93">
        <v>40</v>
      </c>
      <c r="D5" s="93">
        <v>0</v>
      </c>
      <c r="E5" s="93">
        <v>45</v>
      </c>
      <c r="F5" s="93">
        <v>0</v>
      </c>
      <c r="G5" s="93">
        <v>0</v>
      </c>
      <c r="H5" s="93">
        <v>0</v>
      </c>
      <c r="I5" s="94" t="s">
        <v>30</v>
      </c>
      <c r="J5" s="97"/>
    </row>
    <row r="6" spans="1:10" x14ac:dyDescent="0.25">
      <c r="A6" s="25">
        <f t="shared" si="0"/>
        <v>44716</v>
      </c>
      <c r="B6" s="93">
        <v>27</v>
      </c>
      <c r="C6" s="93">
        <v>40</v>
      </c>
      <c r="D6" s="93">
        <v>0</v>
      </c>
      <c r="E6" s="93">
        <v>45</v>
      </c>
      <c r="F6" s="93">
        <v>0.14000000000000001</v>
      </c>
      <c r="G6" s="93">
        <v>0</v>
      </c>
      <c r="H6" s="93">
        <v>0</v>
      </c>
      <c r="I6" s="94" t="s">
        <v>30</v>
      </c>
      <c r="J6" s="97"/>
    </row>
    <row r="7" spans="1:10" x14ac:dyDescent="0.25">
      <c r="A7" s="25">
        <f t="shared" si="0"/>
        <v>44717</v>
      </c>
      <c r="B7" s="93">
        <v>26</v>
      </c>
      <c r="C7" s="93">
        <v>40</v>
      </c>
      <c r="D7" s="93">
        <v>0</v>
      </c>
      <c r="E7" s="93">
        <v>45</v>
      </c>
      <c r="F7" s="93">
        <v>0.31</v>
      </c>
      <c r="G7" s="93">
        <v>0</v>
      </c>
      <c r="H7" s="93">
        <v>0</v>
      </c>
      <c r="I7" s="94" t="s">
        <v>30</v>
      </c>
      <c r="J7" s="97"/>
    </row>
    <row r="8" spans="1:10" ht="30" x14ac:dyDescent="0.25">
      <c r="A8" s="25">
        <f t="shared" si="0"/>
        <v>44718</v>
      </c>
      <c r="B8" s="93">
        <v>37</v>
      </c>
      <c r="C8" s="93">
        <v>36</v>
      </c>
      <c r="D8" s="93">
        <v>0</v>
      </c>
      <c r="E8" s="93">
        <v>40</v>
      </c>
      <c r="F8" s="93">
        <v>0</v>
      </c>
      <c r="G8" s="93">
        <v>0</v>
      </c>
      <c r="H8" s="93">
        <v>0</v>
      </c>
      <c r="I8" s="94" t="s">
        <v>30</v>
      </c>
      <c r="J8" s="97" t="s">
        <v>61</v>
      </c>
    </row>
    <row r="9" spans="1:10" x14ac:dyDescent="0.25">
      <c r="A9" s="25">
        <f t="shared" si="0"/>
        <v>44719</v>
      </c>
      <c r="B9" s="93">
        <v>55</v>
      </c>
      <c r="C9" s="93">
        <v>30</v>
      </c>
      <c r="D9" s="93">
        <v>0</v>
      </c>
      <c r="E9" s="93">
        <v>28</v>
      </c>
      <c r="F9" s="93">
        <v>0</v>
      </c>
      <c r="G9" s="93">
        <v>0</v>
      </c>
      <c r="H9" s="93">
        <v>0</v>
      </c>
      <c r="I9" s="94" t="s">
        <v>30</v>
      </c>
      <c r="J9" s="97"/>
    </row>
    <row r="10" spans="1:10" x14ac:dyDescent="0.25">
      <c r="A10" s="25">
        <f t="shared" si="0"/>
        <v>44720</v>
      </c>
      <c r="B10" s="93">
        <v>32</v>
      </c>
      <c r="C10" s="93">
        <v>30</v>
      </c>
      <c r="D10" s="93">
        <v>0</v>
      </c>
      <c r="E10" s="93">
        <v>29</v>
      </c>
      <c r="F10" s="93">
        <v>0.01</v>
      </c>
      <c r="G10" s="93">
        <v>0</v>
      </c>
      <c r="H10" s="93">
        <v>0</v>
      </c>
      <c r="I10" s="94" t="s">
        <v>30</v>
      </c>
      <c r="J10" s="97"/>
    </row>
    <row r="11" spans="1:10" x14ac:dyDescent="0.25">
      <c r="A11" s="25">
        <f t="shared" si="0"/>
        <v>44721</v>
      </c>
      <c r="B11" s="93">
        <v>23</v>
      </c>
      <c r="C11" s="93">
        <v>30</v>
      </c>
      <c r="D11" s="93">
        <v>0</v>
      </c>
      <c r="E11" s="93">
        <v>27</v>
      </c>
      <c r="F11" s="93">
        <v>0</v>
      </c>
      <c r="G11" s="93">
        <v>0</v>
      </c>
      <c r="H11" s="93">
        <v>0</v>
      </c>
      <c r="I11" s="94" t="s">
        <v>30</v>
      </c>
      <c r="J11" s="97"/>
    </row>
    <row r="12" spans="1:10" x14ac:dyDescent="0.25">
      <c r="A12" s="25">
        <f t="shared" si="0"/>
        <v>44722</v>
      </c>
      <c r="B12" s="93">
        <v>24</v>
      </c>
      <c r="C12" s="93">
        <v>32</v>
      </c>
      <c r="D12" s="93">
        <v>0</v>
      </c>
      <c r="E12" s="93">
        <v>30</v>
      </c>
      <c r="F12" s="93">
        <v>0</v>
      </c>
      <c r="G12" s="93">
        <v>0</v>
      </c>
      <c r="H12" s="93">
        <v>0</v>
      </c>
      <c r="I12" s="94" t="s">
        <v>30</v>
      </c>
      <c r="J12" s="97" t="s">
        <v>62</v>
      </c>
    </row>
    <row r="13" spans="1:10" x14ac:dyDescent="0.25">
      <c r="A13" s="25">
        <f t="shared" si="0"/>
        <v>44723</v>
      </c>
      <c r="B13" s="93">
        <v>11</v>
      </c>
      <c r="C13" s="93">
        <v>50</v>
      </c>
      <c r="D13" s="93">
        <v>0</v>
      </c>
      <c r="E13" s="93">
        <v>45</v>
      </c>
      <c r="F13" s="93">
        <v>0</v>
      </c>
      <c r="G13" s="93">
        <v>0</v>
      </c>
      <c r="H13" s="93">
        <v>0</v>
      </c>
      <c r="I13" s="94" t="s">
        <v>30</v>
      </c>
      <c r="J13" s="97"/>
    </row>
    <row r="14" spans="1:10" x14ac:dyDescent="0.25">
      <c r="A14" s="25">
        <f t="shared" si="0"/>
        <v>44724</v>
      </c>
      <c r="B14" s="93">
        <v>3</v>
      </c>
      <c r="C14" s="93">
        <v>41</v>
      </c>
      <c r="D14" s="93">
        <v>0</v>
      </c>
      <c r="E14" s="93">
        <v>36</v>
      </c>
      <c r="F14" s="93">
        <v>0.13</v>
      </c>
      <c r="G14" s="93">
        <v>0</v>
      </c>
      <c r="H14" s="93">
        <v>0</v>
      </c>
      <c r="I14" s="94" t="s">
        <v>30</v>
      </c>
      <c r="J14" s="97" t="s">
        <v>63</v>
      </c>
    </row>
    <row r="15" spans="1:10" x14ac:dyDescent="0.25">
      <c r="A15" s="25">
        <f t="shared" si="0"/>
        <v>44725</v>
      </c>
      <c r="B15" s="93">
        <v>3</v>
      </c>
      <c r="C15" s="93">
        <v>30</v>
      </c>
      <c r="D15" s="93">
        <v>0</v>
      </c>
      <c r="E15" s="93">
        <v>42</v>
      </c>
      <c r="F15" s="93" t="s">
        <v>29</v>
      </c>
      <c r="G15" s="93">
        <v>0</v>
      </c>
      <c r="H15" s="93">
        <v>0</v>
      </c>
      <c r="I15" s="94" t="s">
        <v>30</v>
      </c>
      <c r="J15" s="97"/>
    </row>
    <row r="16" spans="1:10" x14ac:dyDescent="0.25">
      <c r="A16" s="25">
        <f t="shared" si="0"/>
        <v>44726</v>
      </c>
      <c r="B16" s="93">
        <v>5</v>
      </c>
      <c r="C16" s="93">
        <v>30</v>
      </c>
      <c r="D16" s="93">
        <v>0</v>
      </c>
      <c r="E16" s="93">
        <v>58</v>
      </c>
      <c r="F16" s="93" t="s">
        <v>29</v>
      </c>
      <c r="G16" s="93">
        <v>0</v>
      </c>
      <c r="H16" s="93">
        <v>0</v>
      </c>
      <c r="I16" s="94" t="s">
        <v>30</v>
      </c>
      <c r="J16" s="97"/>
    </row>
    <row r="17" spans="1:10" x14ac:dyDescent="0.25">
      <c r="A17" s="25">
        <f t="shared" si="0"/>
        <v>44727</v>
      </c>
      <c r="B17" s="93">
        <v>6</v>
      </c>
      <c r="C17" s="93">
        <v>30</v>
      </c>
      <c r="D17" s="93">
        <v>0</v>
      </c>
      <c r="E17" s="93">
        <v>62</v>
      </c>
      <c r="F17" s="93">
        <v>0</v>
      </c>
      <c r="G17" s="93">
        <v>0</v>
      </c>
      <c r="H17" s="93">
        <v>0</v>
      </c>
      <c r="I17" s="94" t="s">
        <v>30</v>
      </c>
      <c r="J17" s="97"/>
    </row>
    <row r="18" spans="1:10" x14ac:dyDescent="0.25">
      <c r="A18" s="25">
        <f t="shared" si="0"/>
        <v>44728</v>
      </c>
      <c r="B18" s="93">
        <v>5</v>
      </c>
      <c r="C18" s="93">
        <v>30</v>
      </c>
      <c r="D18" s="93">
        <v>0</v>
      </c>
      <c r="E18" s="93">
        <v>68</v>
      </c>
      <c r="F18" s="93">
        <v>0</v>
      </c>
      <c r="G18" s="93">
        <v>0</v>
      </c>
      <c r="H18" s="93">
        <v>0</v>
      </c>
      <c r="I18" s="94" t="s">
        <v>30</v>
      </c>
      <c r="J18" s="97"/>
    </row>
    <row r="19" spans="1:10" x14ac:dyDescent="0.25">
      <c r="A19" s="25">
        <f t="shared" si="0"/>
        <v>44729</v>
      </c>
      <c r="B19" s="93">
        <v>5</v>
      </c>
      <c r="C19" s="93">
        <v>30</v>
      </c>
      <c r="D19" s="93">
        <v>0</v>
      </c>
      <c r="E19" s="93">
        <v>70</v>
      </c>
      <c r="F19" s="93">
        <v>0</v>
      </c>
      <c r="G19" s="93">
        <v>0</v>
      </c>
      <c r="H19" s="93">
        <v>0</v>
      </c>
      <c r="I19" s="94" t="s">
        <v>30</v>
      </c>
      <c r="J19" s="97"/>
    </row>
    <row r="20" spans="1:10" x14ac:dyDescent="0.25">
      <c r="A20" s="25">
        <f t="shared" si="0"/>
        <v>44730</v>
      </c>
      <c r="B20" s="93">
        <v>4</v>
      </c>
      <c r="C20" s="93">
        <v>30</v>
      </c>
      <c r="D20" s="93">
        <v>0</v>
      </c>
      <c r="E20" s="93">
        <v>48</v>
      </c>
      <c r="F20" s="93">
        <v>0.19</v>
      </c>
      <c r="G20" s="93">
        <v>0</v>
      </c>
      <c r="H20" s="93">
        <v>0</v>
      </c>
      <c r="I20" s="94" t="s">
        <v>30</v>
      </c>
      <c r="J20" s="97"/>
    </row>
    <row r="21" spans="1:10" x14ac:dyDescent="0.25">
      <c r="A21" s="25">
        <f t="shared" si="0"/>
        <v>44731</v>
      </c>
      <c r="B21" s="93">
        <v>4</v>
      </c>
      <c r="C21" s="93">
        <v>30</v>
      </c>
      <c r="D21" s="93">
        <v>0</v>
      </c>
      <c r="E21" s="93">
        <v>48</v>
      </c>
      <c r="F21" s="93">
        <v>0</v>
      </c>
      <c r="G21" s="93">
        <v>0</v>
      </c>
      <c r="H21" s="93">
        <v>0</v>
      </c>
      <c r="I21" s="94" t="s">
        <v>30</v>
      </c>
      <c r="J21" s="97"/>
    </row>
    <row r="22" spans="1:10" x14ac:dyDescent="0.25">
      <c r="A22" s="25">
        <f t="shared" si="0"/>
        <v>44732</v>
      </c>
      <c r="B22" s="93">
        <v>5</v>
      </c>
      <c r="C22" s="93">
        <v>30</v>
      </c>
      <c r="D22" s="93">
        <v>0</v>
      </c>
      <c r="E22" s="93">
        <v>51</v>
      </c>
      <c r="F22" s="93">
        <v>0</v>
      </c>
      <c r="G22" s="93">
        <v>0</v>
      </c>
      <c r="H22" s="93">
        <v>0</v>
      </c>
      <c r="I22" s="94" t="s">
        <v>30</v>
      </c>
      <c r="J22" s="97"/>
    </row>
    <row r="23" spans="1:10" x14ac:dyDescent="0.25">
      <c r="A23" s="25">
        <f t="shared" si="0"/>
        <v>44733</v>
      </c>
      <c r="B23" s="93">
        <v>18</v>
      </c>
      <c r="C23" s="93">
        <v>30</v>
      </c>
      <c r="D23" s="93">
        <v>0</v>
      </c>
      <c r="E23" s="93">
        <v>52</v>
      </c>
      <c r="F23" s="93">
        <v>0</v>
      </c>
      <c r="G23" s="93">
        <v>0</v>
      </c>
      <c r="H23" s="93">
        <v>0</v>
      </c>
      <c r="I23" s="94" t="s">
        <v>30</v>
      </c>
      <c r="J23" s="92"/>
    </row>
    <row r="24" spans="1:10" x14ac:dyDescent="0.25">
      <c r="A24" s="25">
        <f t="shared" si="0"/>
        <v>44734</v>
      </c>
      <c r="B24" s="93">
        <v>38</v>
      </c>
      <c r="C24" s="93">
        <v>30</v>
      </c>
      <c r="D24" s="93">
        <v>0</v>
      </c>
      <c r="E24" s="93">
        <v>63</v>
      </c>
      <c r="F24" s="93">
        <v>0</v>
      </c>
      <c r="G24" s="93">
        <v>0</v>
      </c>
      <c r="H24" s="93">
        <v>0</v>
      </c>
      <c r="I24" s="94" t="s">
        <v>30</v>
      </c>
      <c r="J24" s="92"/>
    </row>
    <row r="25" spans="1:10" x14ac:dyDescent="0.25">
      <c r="A25" s="25">
        <f t="shared" si="0"/>
        <v>44735</v>
      </c>
      <c r="B25" s="93">
        <v>35</v>
      </c>
      <c r="C25" s="93">
        <v>38</v>
      </c>
      <c r="D25" s="93">
        <v>0</v>
      </c>
      <c r="E25" s="93">
        <v>55</v>
      </c>
      <c r="F25" s="93">
        <v>0</v>
      </c>
      <c r="G25" s="93">
        <v>0</v>
      </c>
      <c r="H25" s="93">
        <v>0</v>
      </c>
      <c r="I25" s="94" t="s">
        <v>30</v>
      </c>
      <c r="J25" s="92" t="s">
        <v>64</v>
      </c>
    </row>
    <row r="26" spans="1:10" x14ac:dyDescent="0.25">
      <c r="A26" s="25">
        <f t="shared" si="0"/>
        <v>44736</v>
      </c>
      <c r="B26" s="93">
        <v>32</v>
      </c>
      <c r="C26" s="93">
        <v>79</v>
      </c>
      <c r="D26" s="93">
        <v>0</v>
      </c>
      <c r="E26" s="93">
        <v>71</v>
      </c>
      <c r="F26" s="93">
        <v>0</v>
      </c>
      <c r="G26" s="93">
        <v>0</v>
      </c>
      <c r="H26" s="93">
        <v>0</v>
      </c>
      <c r="I26" s="94" t="s">
        <v>30</v>
      </c>
      <c r="J26" s="92" t="s">
        <v>65</v>
      </c>
    </row>
    <row r="27" spans="1:10" x14ac:dyDescent="0.25">
      <c r="A27" s="25">
        <f t="shared" si="0"/>
        <v>44737</v>
      </c>
      <c r="B27" s="93">
        <v>30</v>
      </c>
      <c r="C27" s="93">
        <v>114</v>
      </c>
      <c r="D27" s="93">
        <v>0</v>
      </c>
      <c r="E27" s="93">
        <v>73</v>
      </c>
      <c r="F27" s="93">
        <v>0</v>
      </c>
      <c r="G27" s="93">
        <v>0</v>
      </c>
      <c r="H27" s="93">
        <v>0</v>
      </c>
      <c r="I27" s="94" t="s">
        <v>30</v>
      </c>
      <c r="J27" s="92" t="s">
        <v>66</v>
      </c>
    </row>
    <row r="28" spans="1:10" x14ac:dyDescent="0.25">
      <c r="A28" s="25">
        <f t="shared" si="0"/>
        <v>44738</v>
      </c>
      <c r="B28" s="93">
        <v>21</v>
      </c>
      <c r="C28" s="93">
        <v>150</v>
      </c>
      <c r="D28" s="93">
        <v>0</v>
      </c>
      <c r="E28" s="93">
        <v>73</v>
      </c>
      <c r="F28" s="93">
        <v>0</v>
      </c>
      <c r="G28" s="93">
        <v>0</v>
      </c>
      <c r="H28" s="93">
        <v>0</v>
      </c>
      <c r="I28" s="94" t="s">
        <v>30</v>
      </c>
      <c r="J28" s="92"/>
    </row>
    <row r="29" spans="1:10" x14ac:dyDescent="0.25">
      <c r="A29" s="25">
        <f t="shared" si="0"/>
        <v>44739</v>
      </c>
      <c r="B29" s="93">
        <v>8</v>
      </c>
      <c r="C29" s="93">
        <v>150</v>
      </c>
      <c r="D29" s="93">
        <v>0</v>
      </c>
      <c r="E29" s="93">
        <v>93</v>
      </c>
      <c r="F29" s="93">
        <v>0</v>
      </c>
      <c r="G29" s="93">
        <v>0</v>
      </c>
      <c r="H29" s="93">
        <v>0</v>
      </c>
      <c r="I29" s="94" t="s">
        <v>30</v>
      </c>
      <c r="J29" s="92"/>
    </row>
    <row r="30" spans="1:10" x14ac:dyDescent="0.25">
      <c r="A30" s="25">
        <f t="shared" si="0"/>
        <v>44740</v>
      </c>
      <c r="B30" s="93">
        <v>3</v>
      </c>
      <c r="C30" s="93">
        <v>171</v>
      </c>
      <c r="D30" s="93">
        <v>0</v>
      </c>
      <c r="E30" s="93">
        <v>123</v>
      </c>
      <c r="F30" s="93">
        <v>0</v>
      </c>
      <c r="G30" s="93">
        <v>0</v>
      </c>
      <c r="H30" s="93">
        <v>0</v>
      </c>
      <c r="I30" s="94" t="s">
        <v>30</v>
      </c>
      <c r="J30" s="92" t="s">
        <v>67</v>
      </c>
    </row>
    <row r="31" spans="1:10" x14ac:dyDescent="0.25">
      <c r="A31" s="25">
        <f t="shared" si="0"/>
        <v>44741</v>
      </c>
      <c r="B31" s="93">
        <v>3</v>
      </c>
      <c r="C31" s="93">
        <v>200</v>
      </c>
      <c r="D31" s="93">
        <v>0</v>
      </c>
      <c r="E31" s="93">
        <v>142</v>
      </c>
      <c r="F31" s="93">
        <v>0</v>
      </c>
      <c r="G31" s="93">
        <v>0</v>
      </c>
      <c r="H31" s="93">
        <v>0</v>
      </c>
      <c r="I31" s="94" t="s">
        <v>30</v>
      </c>
      <c r="J31" s="92"/>
    </row>
    <row r="32" spans="1:10" ht="15.75" thickBot="1" x14ac:dyDescent="0.3">
      <c r="A32" s="25">
        <f t="shared" si="0"/>
        <v>44742</v>
      </c>
      <c r="B32" s="93">
        <v>3</v>
      </c>
      <c r="C32" s="93">
        <v>182</v>
      </c>
      <c r="D32" s="93">
        <v>0</v>
      </c>
      <c r="E32" s="93">
        <v>135</v>
      </c>
      <c r="F32" s="93">
        <v>0</v>
      </c>
      <c r="G32" s="93">
        <v>0</v>
      </c>
      <c r="H32" s="93">
        <v>0</v>
      </c>
      <c r="I32" s="94" t="s">
        <v>30</v>
      </c>
      <c r="J32" s="92" t="s">
        <v>68</v>
      </c>
    </row>
    <row r="33" spans="1:15" s="11" customFormat="1" ht="15.75" thickTop="1" x14ac:dyDescent="0.25">
      <c r="A33" s="15" t="s">
        <v>8</v>
      </c>
      <c r="B33" s="16">
        <f t="shared" ref="B33" si="1">SUM(B3:B32)</f>
        <v>538</v>
      </c>
      <c r="C33" s="16">
        <f t="shared" ref="C33:H33" si="2">SUM(C3:C32)</f>
        <v>1833</v>
      </c>
      <c r="D33" s="16">
        <f t="shared" si="2"/>
        <v>0</v>
      </c>
      <c r="E33" s="16">
        <f t="shared" si="2"/>
        <v>1793</v>
      </c>
      <c r="F33" s="17">
        <f t="shared" si="2"/>
        <v>0.78</v>
      </c>
      <c r="G33" s="17">
        <f t="shared" si="2"/>
        <v>0</v>
      </c>
      <c r="H33" s="16">
        <f t="shared" si="2"/>
        <v>0</v>
      </c>
      <c r="I33" s="17"/>
    </row>
    <row r="34" spans="1:15" s="11" customFormat="1" x14ac:dyDescent="0.25">
      <c r="A34" s="18" t="s">
        <v>9</v>
      </c>
      <c r="B34" s="19">
        <f>SUM(B33+'May 2022'!B35)</f>
        <v>8234</v>
      </c>
      <c r="C34" s="19">
        <f>SUM(C33+'May 2022'!C35)</f>
        <v>7488</v>
      </c>
      <c r="D34" s="19">
        <f>SUM(D33+'May 2022'!D35)</f>
        <v>0</v>
      </c>
      <c r="E34" s="19">
        <f>SUM(E33+'May 2022'!E35)</f>
        <v>9682</v>
      </c>
      <c r="F34" s="20">
        <f>SUM(F33+'May 2022'!F35)</f>
        <v>6.6800000000000015</v>
      </c>
      <c r="G34" s="20">
        <f>SUM(G33+'May 2022'!G35)</f>
        <v>13.55</v>
      </c>
      <c r="H34" s="19">
        <f>SUM(H33+'May 2022'!H35)</f>
        <v>0</v>
      </c>
      <c r="I34" s="20"/>
    </row>
    <row r="36" spans="1:15" x14ac:dyDescent="0.25">
      <c r="A36" t="s">
        <v>10</v>
      </c>
      <c r="B36" s="22">
        <f>SUM(B3:B32)*1.9835</f>
        <v>1067.123</v>
      </c>
      <c r="C36" s="22">
        <f>SUM(C3:C32)*1.9835</f>
        <v>3635.7555000000002</v>
      </c>
      <c r="D36" s="22">
        <f>SUM(D3:D32)*1.9835</f>
        <v>0</v>
      </c>
      <c r="E36" s="22">
        <f>SUM(E3:E32)*1.9835</f>
        <v>3556.4155000000001</v>
      </c>
      <c r="F36" s="22"/>
      <c r="G36" s="22"/>
      <c r="H36" s="22"/>
      <c r="J36" s="21"/>
    </row>
    <row r="38" spans="1:15" x14ac:dyDescent="0.25">
      <c r="A38" t="s">
        <v>24</v>
      </c>
      <c r="B38" s="22">
        <f>SUM(B36+'May 2022'!B39)</f>
        <v>17988.361499999999</v>
      </c>
      <c r="C38" s="22">
        <f>SUM(C36+'May 2022'!C39)</f>
        <v>16822.0635</v>
      </c>
      <c r="D38" s="22">
        <f>SUM(D36+'May 2022'!D39)</f>
        <v>0</v>
      </c>
      <c r="E38" s="22">
        <f>SUM(E36+'May 2022'!E39)</f>
        <v>21943.460499999997</v>
      </c>
      <c r="F38" s="22"/>
      <c r="G38" s="22"/>
      <c r="H38" s="22"/>
      <c r="J38" s="21"/>
    </row>
    <row r="40" spans="1:15" ht="17.45" customHeight="1" x14ac:dyDescent="0.25">
      <c r="A40" s="110"/>
      <c r="B40" s="110"/>
      <c r="C40" s="110"/>
      <c r="D40" s="110"/>
      <c r="E40" s="110"/>
      <c r="F40" s="110"/>
      <c r="G40" s="111"/>
      <c r="H40" s="112" t="s">
        <v>12</v>
      </c>
      <c r="I40" s="113"/>
      <c r="J40" s="27"/>
      <c r="K40" s="27"/>
      <c r="L40" s="27"/>
      <c r="M40" s="27"/>
      <c r="N40" s="28"/>
      <c r="O40" s="27"/>
    </row>
    <row r="41" spans="1:15" ht="16.899999999999999" customHeight="1" x14ac:dyDescent="0.25">
      <c r="A41" s="26"/>
      <c r="B41" s="103"/>
      <c r="C41" s="26"/>
      <c r="D41" s="26"/>
      <c r="E41" s="26"/>
      <c r="F41" s="26"/>
      <c r="G41" s="26"/>
      <c r="H41" s="112"/>
      <c r="I41" s="113"/>
      <c r="J41" s="27"/>
      <c r="K41" s="27"/>
      <c r="L41" s="27"/>
      <c r="M41" s="27"/>
      <c r="N41" s="28"/>
      <c r="O41" s="27"/>
    </row>
    <row r="42" spans="1:15" ht="13.9" customHeight="1" thickBot="1" x14ac:dyDescent="0.3">
      <c r="A42" s="114" t="s">
        <v>23</v>
      </c>
      <c r="B42" s="114"/>
      <c r="C42" s="114"/>
      <c r="D42" s="114"/>
      <c r="E42" s="114"/>
      <c r="F42" s="114"/>
      <c r="G42" s="114"/>
      <c r="H42" s="114"/>
      <c r="I42" s="114"/>
      <c r="J42" s="115"/>
      <c r="K42" s="29"/>
      <c r="L42" s="29"/>
      <c r="M42" s="29"/>
      <c r="N42" s="30"/>
      <c r="O42" s="31"/>
    </row>
    <row r="43" spans="1:15" ht="15.6" customHeight="1" x14ac:dyDescent="0.25">
      <c r="A43" s="39" t="s">
        <v>17</v>
      </c>
      <c r="B43" s="104"/>
      <c r="C43" s="33"/>
      <c r="D43" s="34"/>
      <c r="E43" s="34"/>
      <c r="F43" s="35"/>
      <c r="G43" s="36"/>
      <c r="H43" s="37"/>
      <c r="I43" s="38"/>
      <c r="J43" s="31"/>
      <c r="K43" s="31"/>
      <c r="L43" s="31"/>
      <c r="M43" s="31"/>
      <c r="N43" s="30"/>
    </row>
    <row r="44" spans="1:15" x14ac:dyDescent="0.25">
      <c r="A44" s="32"/>
      <c r="B44" s="105"/>
      <c r="C44" s="33"/>
      <c r="D44" s="34"/>
      <c r="E44" s="34"/>
      <c r="F44" s="40"/>
      <c r="G44" s="36">
        <f>SUM(24-E44)</f>
        <v>24</v>
      </c>
      <c r="H44" s="37">
        <f>SUM(D44+F44)</f>
        <v>0</v>
      </c>
      <c r="I44" s="38">
        <f>SUM(D44/24*E44+H44/24*G44)</f>
        <v>0</v>
      </c>
      <c r="J44" s="31"/>
      <c r="K44" s="31"/>
      <c r="L44" s="31"/>
      <c r="M44" s="31"/>
      <c r="N44" s="30"/>
    </row>
    <row r="45" spans="1:15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0"/>
    </row>
    <row r="46" spans="1:15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0"/>
    </row>
    <row r="47" spans="1:1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0"/>
    </row>
    <row r="48" spans="1:1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0"/>
    </row>
    <row r="49" spans="1:15" ht="13.15" customHeight="1" x14ac:dyDescent="0.25">
      <c r="A49" s="41"/>
      <c r="B49" s="41"/>
      <c r="C49" s="42"/>
      <c r="D49" s="42"/>
      <c r="E49" s="42"/>
      <c r="F49" s="42"/>
      <c r="G49" s="42"/>
      <c r="H49" s="43"/>
      <c r="I49" s="31"/>
      <c r="J49" s="31"/>
      <c r="K49" s="31"/>
      <c r="L49" s="31"/>
      <c r="M49" s="31"/>
      <c r="N49" s="30"/>
      <c r="O49" s="31"/>
    </row>
    <row r="50" spans="1:15" ht="15.75" thickBot="1" x14ac:dyDescent="0.3">
      <c r="A50" s="44" t="s">
        <v>18</v>
      </c>
      <c r="B50" s="44"/>
      <c r="C50" s="44"/>
      <c r="D50" s="44"/>
      <c r="E50" s="44"/>
      <c r="F50" s="45"/>
      <c r="G50" s="46"/>
      <c r="H50" s="43"/>
      <c r="I50" s="31"/>
      <c r="J50" s="31"/>
      <c r="K50" s="31"/>
      <c r="L50" s="31"/>
      <c r="M50" s="31"/>
      <c r="N50" s="30"/>
      <c r="O50" s="31"/>
    </row>
    <row r="51" spans="1:15" ht="26.25" x14ac:dyDescent="0.25">
      <c r="A51" s="47" t="s">
        <v>19</v>
      </c>
      <c r="B51" s="106"/>
      <c r="C51" s="48" t="s">
        <v>13</v>
      </c>
      <c r="D51" s="49" t="s">
        <v>14</v>
      </c>
      <c r="E51" s="49" t="s">
        <v>15</v>
      </c>
      <c r="F51" s="50" t="s">
        <v>16</v>
      </c>
      <c r="G51" s="51" t="s">
        <v>20</v>
      </c>
      <c r="H51" s="52"/>
      <c r="I51" s="53"/>
      <c r="J51" s="54"/>
    </row>
    <row r="52" spans="1:15" ht="15.75" x14ac:dyDescent="0.25">
      <c r="A52" s="55"/>
      <c r="B52" s="107"/>
      <c r="C52" s="56"/>
      <c r="D52" s="57"/>
      <c r="E52" s="58"/>
      <c r="F52" s="59"/>
      <c r="G52" s="60">
        <f>SUM(D52/24*E52)</f>
        <v>0</v>
      </c>
      <c r="H52" s="61"/>
      <c r="I52" s="62"/>
      <c r="J52" s="63"/>
    </row>
    <row r="53" spans="1:15" x14ac:dyDescent="0.25">
      <c r="A53" s="64"/>
      <c r="B53" s="108"/>
      <c r="C53" s="65"/>
      <c r="D53" s="66"/>
      <c r="E53" s="58"/>
      <c r="F53" s="67"/>
      <c r="G53" s="68">
        <f>SUM(D53/24*E53)</f>
        <v>0</v>
      </c>
      <c r="H53" s="61"/>
      <c r="I53" s="62"/>
    </row>
    <row r="54" spans="1:15" x14ac:dyDescent="0.25">
      <c r="A54" s="64"/>
      <c r="B54" s="108"/>
      <c r="C54" s="65"/>
      <c r="D54" s="66"/>
      <c r="E54" s="58"/>
      <c r="F54" s="69"/>
      <c r="G54" s="68">
        <f>SUM(D54/24*E54)</f>
        <v>0</v>
      </c>
      <c r="H54" s="61"/>
      <c r="I54" s="62"/>
    </row>
    <row r="55" spans="1:15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5" ht="15.75" thickBot="1" x14ac:dyDescent="0.3">
      <c r="A56" s="70"/>
      <c r="B56" s="109"/>
      <c r="C56" s="71"/>
      <c r="D56" s="72"/>
      <c r="E56" s="73"/>
      <c r="F56" s="72"/>
      <c r="G56" s="74">
        <f>SUM(D56/24*E56)</f>
        <v>0</v>
      </c>
      <c r="H56" s="61"/>
      <c r="I56" s="62"/>
      <c r="J56" s="75"/>
    </row>
    <row r="57" spans="1:15" s="81" customFormat="1" ht="30" customHeight="1" x14ac:dyDescent="0.25">
      <c r="A57" s="116" t="s">
        <v>21</v>
      </c>
      <c r="B57" s="117"/>
      <c r="C57" s="117"/>
      <c r="D57" s="118"/>
      <c r="E57" s="76">
        <f>SUM(E52:E56)</f>
        <v>0</v>
      </c>
      <c r="F57" s="77" t="s">
        <v>22</v>
      </c>
      <c r="G57" s="78">
        <f>SUM(G52:G56)</f>
        <v>0</v>
      </c>
      <c r="H57" s="79"/>
      <c r="I57" s="80"/>
    </row>
  </sheetData>
  <mergeCells count="4">
    <mergeCell ref="A40:G40"/>
    <mergeCell ref="H40:I41"/>
    <mergeCell ref="A42:J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33" sqref="H3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44682</v>
      </c>
      <c r="B3" s="93">
        <v>34</v>
      </c>
      <c r="C3" s="93">
        <v>30</v>
      </c>
      <c r="D3" s="93">
        <v>0</v>
      </c>
      <c r="E3" s="93">
        <v>42</v>
      </c>
      <c r="F3" s="93">
        <v>0</v>
      </c>
      <c r="G3" s="93">
        <v>0</v>
      </c>
      <c r="H3" s="93">
        <v>0</v>
      </c>
      <c r="I3" s="94" t="s">
        <v>30</v>
      </c>
      <c r="J3" s="98"/>
    </row>
    <row r="4" spans="1:10" x14ac:dyDescent="0.25">
      <c r="A4" s="12">
        <f>A3+1</f>
        <v>44683</v>
      </c>
      <c r="B4" s="93">
        <v>26</v>
      </c>
      <c r="C4" s="93">
        <v>30</v>
      </c>
      <c r="D4" s="93">
        <v>0</v>
      </c>
      <c r="E4" s="93">
        <v>37</v>
      </c>
      <c r="F4" s="93">
        <v>0.09</v>
      </c>
      <c r="G4" s="93">
        <v>0</v>
      </c>
      <c r="H4" s="93">
        <v>0</v>
      </c>
      <c r="I4" s="94" t="s">
        <v>30</v>
      </c>
      <c r="J4" s="97"/>
    </row>
    <row r="5" spans="1:10" x14ac:dyDescent="0.25">
      <c r="A5" s="12">
        <f t="shared" ref="A5:A33" si="0">A4+1</f>
        <v>44684</v>
      </c>
      <c r="B5" s="93">
        <v>30</v>
      </c>
      <c r="C5" s="93">
        <v>30</v>
      </c>
      <c r="D5" s="93">
        <v>0</v>
      </c>
      <c r="E5" s="93">
        <v>32</v>
      </c>
      <c r="F5" s="93" t="s">
        <v>29</v>
      </c>
      <c r="G5" s="93">
        <v>0</v>
      </c>
      <c r="H5" s="93">
        <v>0</v>
      </c>
      <c r="I5" s="94" t="s">
        <v>30</v>
      </c>
      <c r="J5" s="97"/>
    </row>
    <row r="6" spans="1:10" ht="30" x14ac:dyDescent="0.25">
      <c r="A6" s="12">
        <f t="shared" si="0"/>
        <v>44685</v>
      </c>
      <c r="B6" s="93">
        <v>16</v>
      </c>
      <c r="C6" s="93">
        <v>36</v>
      </c>
      <c r="D6" s="93">
        <v>0</v>
      </c>
      <c r="E6" s="93">
        <v>30</v>
      </c>
      <c r="F6" s="93">
        <v>0</v>
      </c>
      <c r="G6" s="93">
        <v>0</v>
      </c>
      <c r="H6" s="93">
        <v>0</v>
      </c>
      <c r="I6" s="94" t="s">
        <v>30</v>
      </c>
      <c r="J6" s="97" t="s">
        <v>57</v>
      </c>
    </row>
    <row r="7" spans="1:10" x14ac:dyDescent="0.25">
      <c r="A7" s="12">
        <f t="shared" si="0"/>
        <v>44686</v>
      </c>
      <c r="B7" s="93">
        <v>8</v>
      </c>
      <c r="C7" s="93">
        <v>40</v>
      </c>
      <c r="D7" s="93">
        <v>0</v>
      </c>
      <c r="E7" s="93">
        <v>30</v>
      </c>
      <c r="F7" s="93">
        <v>0</v>
      </c>
      <c r="G7" s="93">
        <v>0</v>
      </c>
      <c r="H7" s="93">
        <v>0</v>
      </c>
      <c r="I7" s="94" t="s">
        <v>30</v>
      </c>
      <c r="J7" s="97"/>
    </row>
    <row r="8" spans="1:10" x14ac:dyDescent="0.25">
      <c r="A8" s="12">
        <f t="shared" si="0"/>
        <v>44687</v>
      </c>
      <c r="B8" s="93">
        <v>19</v>
      </c>
      <c r="C8" s="93">
        <v>40</v>
      </c>
      <c r="D8" s="93">
        <v>0</v>
      </c>
      <c r="E8" s="93">
        <v>30</v>
      </c>
      <c r="F8" s="93">
        <v>0</v>
      </c>
      <c r="G8" s="93">
        <v>0</v>
      </c>
      <c r="H8" s="93">
        <v>0</v>
      </c>
      <c r="I8" s="94" t="s">
        <v>30</v>
      </c>
      <c r="J8" s="97"/>
    </row>
    <row r="9" spans="1:10" x14ac:dyDescent="0.25">
      <c r="A9" s="12">
        <f t="shared" si="0"/>
        <v>44688</v>
      </c>
      <c r="B9" s="93">
        <v>19</v>
      </c>
      <c r="C9" s="93">
        <v>40</v>
      </c>
      <c r="D9" s="93">
        <v>0</v>
      </c>
      <c r="E9" s="93">
        <v>30</v>
      </c>
      <c r="F9" s="93">
        <v>0.06</v>
      </c>
      <c r="G9" s="93">
        <v>0</v>
      </c>
      <c r="H9" s="93">
        <v>0</v>
      </c>
      <c r="I9" s="94" t="s">
        <v>30</v>
      </c>
      <c r="J9" s="97"/>
    </row>
    <row r="10" spans="1:10" x14ac:dyDescent="0.25">
      <c r="A10" s="12">
        <f t="shared" si="0"/>
        <v>44689</v>
      </c>
      <c r="B10" s="93">
        <v>23</v>
      </c>
      <c r="C10" s="93">
        <v>40</v>
      </c>
      <c r="D10" s="93">
        <v>0</v>
      </c>
      <c r="E10" s="93">
        <v>30</v>
      </c>
      <c r="F10" s="93">
        <v>0.04</v>
      </c>
      <c r="G10" s="93">
        <v>0</v>
      </c>
      <c r="H10" s="93">
        <v>0</v>
      </c>
      <c r="I10" s="94" t="s">
        <v>30</v>
      </c>
      <c r="J10" s="97"/>
    </row>
    <row r="11" spans="1:10" x14ac:dyDescent="0.25">
      <c r="A11" s="12">
        <f t="shared" si="0"/>
        <v>44690</v>
      </c>
      <c r="B11" s="93">
        <v>39</v>
      </c>
      <c r="C11" s="93">
        <v>40</v>
      </c>
      <c r="D11" s="93">
        <v>0</v>
      </c>
      <c r="E11" s="93">
        <v>30</v>
      </c>
      <c r="F11" s="93">
        <v>0.01</v>
      </c>
      <c r="G11" s="93">
        <v>0</v>
      </c>
      <c r="H11" s="93">
        <v>0</v>
      </c>
      <c r="I11" s="94" t="s">
        <v>30</v>
      </c>
      <c r="J11" s="97"/>
    </row>
    <row r="12" spans="1:10" x14ac:dyDescent="0.25">
      <c r="A12" s="12">
        <f t="shared" si="0"/>
        <v>44691</v>
      </c>
      <c r="B12" s="93">
        <v>45</v>
      </c>
      <c r="C12" s="93">
        <v>40</v>
      </c>
      <c r="D12" s="93">
        <v>0</v>
      </c>
      <c r="E12" s="93">
        <v>38</v>
      </c>
      <c r="F12" s="93">
        <v>0.08</v>
      </c>
      <c r="G12" s="93">
        <v>0</v>
      </c>
      <c r="H12" s="93">
        <v>0</v>
      </c>
      <c r="I12" s="94" t="s">
        <v>30</v>
      </c>
      <c r="J12" s="97"/>
    </row>
    <row r="13" spans="1:10" x14ac:dyDescent="0.25">
      <c r="A13" s="12">
        <f t="shared" si="0"/>
        <v>44692</v>
      </c>
      <c r="B13" s="93">
        <v>35</v>
      </c>
      <c r="C13" s="93">
        <v>34</v>
      </c>
      <c r="D13" s="93">
        <v>0</v>
      </c>
      <c r="E13" s="93">
        <v>41</v>
      </c>
      <c r="F13" s="93" t="s">
        <v>29</v>
      </c>
      <c r="G13" s="93">
        <v>0</v>
      </c>
      <c r="H13" s="93">
        <v>0</v>
      </c>
      <c r="I13" s="94" t="s">
        <v>30</v>
      </c>
      <c r="J13" s="97" t="s">
        <v>56</v>
      </c>
    </row>
    <row r="14" spans="1:10" x14ac:dyDescent="0.25">
      <c r="A14" s="12">
        <f t="shared" si="0"/>
        <v>44693</v>
      </c>
      <c r="B14" s="93">
        <v>40</v>
      </c>
      <c r="C14" s="93">
        <v>30</v>
      </c>
      <c r="D14" s="93">
        <v>0</v>
      </c>
      <c r="E14" s="93">
        <v>42</v>
      </c>
      <c r="F14" s="93" t="s">
        <v>29</v>
      </c>
      <c r="G14" s="93">
        <v>0</v>
      </c>
      <c r="H14" s="93">
        <v>0</v>
      </c>
      <c r="I14" s="94" t="s">
        <v>30</v>
      </c>
      <c r="J14" s="97"/>
    </row>
    <row r="15" spans="1:10" x14ac:dyDescent="0.25">
      <c r="A15" s="12">
        <f t="shared" si="0"/>
        <v>44694</v>
      </c>
      <c r="B15" s="93">
        <v>48</v>
      </c>
      <c r="C15" s="93">
        <v>30</v>
      </c>
      <c r="D15" s="93">
        <v>0</v>
      </c>
      <c r="E15" s="93">
        <v>55</v>
      </c>
      <c r="F15" s="93">
        <v>0</v>
      </c>
      <c r="G15" s="93">
        <v>0</v>
      </c>
      <c r="H15" s="93">
        <v>0</v>
      </c>
      <c r="I15" s="94" t="s">
        <v>30</v>
      </c>
      <c r="J15" s="97"/>
    </row>
    <row r="16" spans="1:10" x14ac:dyDescent="0.25">
      <c r="A16" s="12">
        <f t="shared" si="0"/>
        <v>44695</v>
      </c>
      <c r="B16" s="93">
        <v>35</v>
      </c>
      <c r="C16" s="93">
        <v>30</v>
      </c>
      <c r="D16" s="93">
        <v>0</v>
      </c>
      <c r="E16" s="93">
        <v>51</v>
      </c>
      <c r="F16" s="93">
        <v>0</v>
      </c>
      <c r="G16" s="93">
        <v>0</v>
      </c>
      <c r="H16" s="93">
        <v>0</v>
      </c>
      <c r="I16" s="94" t="s">
        <v>30</v>
      </c>
      <c r="J16" s="97"/>
    </row>
    <row r="17" spans="1:10" x14ac:dyDescent="0.25">
      <c r="A17" s="12">
        <f t="shared" si="0"/>
        <v>44696</v>
      </c>
      <c r="B17" s="93">
        <v>39</v>
      </c>
      <c r="C17" s="93">
        <v>30</v>
      </c>
      <c r="D17" s="93">
        <v>0</v>
      </c>
      <c r="E17" s="93">
        <v>49</v>
      </c>
      <c r="F17" s="93">
        <v>0</v>
      </c>
      <c r="G17" s="93">
        <v>0</v>
      </c>
      <c r="H17" s="96">
        <v>0</v>
      </c>
      <c r="I17" s="94" t="s">
        <v>30</v>
      </c>
      <c r="J17" s="97"/>
    </row>
    <row r="18" spans="1:10" x14ac:dyDescent="0.25">
      <c r="A18" s="12">
        <f t="shared" si="0"/>
        <v>44697</v>
      </c>
      <c r="B18" s="93">
        <v>31</v>
      </c>
      <c r="C18" s="93">
        <v>30</v>
      </c>
      <c r="D18" s="93">
        <v>0</v>
      </c>
      <c r="E18" s="93">
        <v>39</v>
      </c>
      <c r="F18" s="93">
        <v>0</v>
      </c>
      <c r="G18" s="93">
        <v>0</v>
      </c>
      <c r="H18" s="96">
        <v>0</v>
      </c>
      <c r="I18" s="94" t="s">
        <v>30</v>
      </c>
      <c r="J18" s="97"/>
    </row>
    <row r="19" spans="1:10" x14ac:dyDescent="0.25">
      <c r="A19" s="12">
        <f t="shared" si="0"/>
        <v>44698</v>
      </c>
      <c r="B19" s="93">
        <v>20</v>
      </c>
      <c r="C19" s="93">
        <v>36</v>
      </c>
      <c r="D19" s="93">
        <v>0</v>
      </c>
      <c r="E19" s="93">
        <v>33</v>
      </c>
      <c r="F19" s="93">
        <v>0</v>
      </c>
      <c r="G19" s="93">
        <v>0</v>
      </c>
      <c r="H19" s="96">
        <v>0</v>
      </c>
      <c r="I19" s="94" t="s">
        <v>30</v>
      </c>
      <c r="J19" s="97" t="s">
        <v>58</v>
      </c>
    </row>
    <row r="20" spans="1:10" x14ac:dyDescent="0.25">
      <c r="A20" s="12">
        <f t="shared" si="0"/>
        <v>44699</v>
      </c>
      <c r="B20" s="93">
        <v>20</v>
      </c>
      <c r="C20" s="93">
        <v>46</v>
      </c>
      <c r="D20" s="93">
        <v>0</v>
      </c>
      <c r="E20" s="93">
        <v>28</v>
      </c>
      <c r="F20" s="93">
        <v>0</v>
      </c>
      <c r="G20" s="93">
        <v>0</v>
      </c>
      <c r="H20" s="96">
        <v>0</v>
      </c>
      <c r="I20" s="94" t="s">
        <v>30</v>
      </c>
      <c r="J20" s="92" t="s">
        <v>59</v>
      </c>
    </row>
    <row r="21" spans="1:10" x14ac:dyDescent="0.25">
      <c r="A21" s="12">
        <f t="shared" si="0"/>
        <v>44700</v>
      </c>
      <c r="B21" s="93">
        <v>17</v>
      </c>
      <c r="C21" s="93">
        <v>50</v>
      </c>
      <c r="D21" s="93">
        <v>0</v>
      </c>
      <c r="E21" s="93">
        <v>27</v>
      </c>
      <c r="F21" s="93">
        <v>0</v>
      </c>
      <c r="G21" s="93">
        <v>0</v>
      </c>
      <c r="H21" s="96">
        <v>0</v>
      </c>
      <c r="I21" s="94" t="s">
        <v>30</v>
      </c>
      <c r="J21" s="92"/>
    </row>
    <row r="22" spans="1:10" x14ac:dyDescent="0.25">
      <c r="A22" s="12">
        <f t="shared" si="0"/>
        <v>44701</v>
      </c>
      <c r="B22" s="93">
        <v>21</v>
      </c>
      <c r="C22" s="93">
        <v>50</v>
      </c>
      <c r="D22" s="93">
        <v>0</v>
      </c>
      <c r="E22" s="93">
        <v>29</v>
      </c>
      <c r="F22" s="93">
        <v>0</v>
      </c>
      <c r="G22" s="93">
        <v>0</v>
      </c>
      <c r="H22" s="96">
        <v>0</v>
      </c>
      <c r="I22" s="94" t="s">
        <v>30</v>
      </c>
      <c r="J22" s="92"/>
    </row>
    <row r="23" spans="1:10" x14ac:dyDescent="0.25">
      <c r="A23" s="12">
        <f t="shared" si="0"/>
        <v>44702</v>
      </c>
      <c r="B23" s="93">
        <v>23</v>
      </c>
      <c r="C23" s="93">
        <v>50</v>
      </c>
      <c r="D23" s="93">
        <v>0</v>
      </c>
      <c r="E23" s="93">
        <v>29</v>
      </c>
      <c r="F23" s="93">
        <v>0</v>
      </c>
      <c r="G23" s="93">
        <v>0</v>
      </c>
      <c r="H23" s="96">
        <v>0</v>
      </c>
      <c r="I23" s="94" t="s">
        <v>30</v>
      </c>
      <c r="J23" s="92"/>
    </row>
    <row r="24" spans="1:10" x14ac:dyDescent="0.25">
      <c r="A24" s="12">
        <f t="shared" si="0"/>
        <v>44703</v>
      </c>
      <c r="B24" s="93">
        <v>25</v>
      </c>
      <c r="C24" s="93">
        <v>50</v>
      </c>
      <c r="D24" s="93">
        <v>0</v>
      </c>
      <c r="E24" s="93">
        <v>29</v>
      </c>
      <c r="F24" s="93">
        <v>0</v>
      </c>
      <c r="G24" s="93">
        <v>0</v>
      </c>
      <c r="H24" s="96">
        <v>0</v>
      </c>
      <c r="I24" s="94" t="s">
        <v>30</v>
      </c>
      <c r="J24" s="92"/>
    </row>
    <row r="25" spans="1:10" x14ac:dyDescent="0.25">
      <c r="A25" s="12">
        <f t="shared" si="0"/>
        <v>44704</v>
      </c>
      <c r="B25" s="93">
        <v>19</v>
      </c>
      <c r="C25" s="93">
        <v>50</v>
      </c>
      <c r="D25" s="93">
        <v>0</v>
      </c>
      <c r="E25" s="93">
        <v>27</v>
      </c>
      <c r="F25" s="93">
        <v>0</v>
      </c>
      <c r="G25" s="93">
        <v>0</v>
      </c>
      <c r="H25" s="93">
        <v>0</v>
      </c>
      <c r="I25" s="94" t="s">
        <v>30</v>
      </c>
      <c r="J25" s="92"/>
    </row>
    <row r="26" spans="1:10" x14ac:dyDescent="0.25">
      <c r="A26" s="12">
        <f t="shared" si="0"/>
        <v>44705</v>
      </c>
      <c r="B26" s="93">
        <v>12</v>
      </c>
      <c r="C26" s="93">
        <v>50</v>
      </c>
      <c r="D26" s="93">
        <v>0</v>
      </c>
      <c r="E26" s="93">
        <v>28</v>
      </c>
      <c r="F26" s="93">
        <v>0</v>
      </c>
      <c r="G26" s="93">
        <v>0</v>
      </c>
      <c r="H26" s="93">
        <v>0</v>
      </c>
      <c r="I26" s="94" t="s">
        <v>30</v>
      </c>
      <c r="J26" s="92"/>
    </row>
    <row r="27" spans="1:10" x14ac:dyDescent="0.25">
      <c r="A27" s="12">
        <f t="shared" si="0"/>
        <v>44706</v>
      </c>
      <c r="B27" s="93">
        <v>20</v>
      </c>
      <c r="C27" s="93">
        <v>50</v>
      </c>
      <c r="D27" s="93">
        <v>0</v>
      </c>
      <c r="E27" s="93">
        <v>28</v>
      </c>
      <c r="F27" s="93">
        <v>0</v>
      </c>
      <c r="G27" s="93">
        <v>0</v>
      </c>
      <c r="H27" s="93">
        <v>0</v>
      </c>
      <c r="I27" s="94" t="s">
        <v>30</v>
      </c>
      <c r="J27" s="92"/>
    </row>
    <row r="28" spans="1:10" x14ac:dyDescent="0.25">
      <c r="A28" s="12">
        <f t="shared" si="0"/>
        <v>44707</v>
      </c>
      <c r="B28" s="93">
        <v>8</v>
      </c>
      <c r="C28" s="93">
        <v>50</v>
      </c>
      <c r="D28" s="93">
        <v>0</v>
      </c>
      <c r="E28" s="93">
        <v>33</v>
      </c>
      <c r="F28" s="93">
        <v>0</v>
      </c>
      <c r="G28" s="93">
        <v>0</v>
      </c>
      <c r="H28" s="93">
        <v>0</v>
      </c>
      <c r="I28" s="94" t="s">
        <v>30</v>
      </c>
      <c r="J28" s="92"/>
    </row>
    <row r="29" spans="1:10" x14ac:dyDescent="0.25">
      <c r="A29" s="12">
        <f t="shared" si="0"/>
        <v>44708</v>
      </c>
      <c r="B29" s="93">
        <v>5</v>
      </c>
      <c r="C29" s="93">
        <v>50</v>
      </c>
      <c r="D29" s="93">
        <v>0</v>
      </c>
      <c r="E29" s="93">
        <v>46</v>
      </c>
      <c r="F29" s="93">
        <v>0.01</v>
      </c>
      <c r="G29" s="93">
        <v>0</v>
      </c>
      <c r="H29" s="93">
        <v>0</v>
      </c>
      <c r="I29" s="94" t="s">
        <v>30</v>
      </c>
      <c r="J29" s="92"/>
    </row>
    <row r="30" spans="1:10" x14ac:dyDescent="0.25">
      <c r="A30" s="12">
        <f t="shared" si="0"/>
        <v>44709</v>
      </c>
      <c r="B30" s="93">
        <v>6</v>
      </c>
      <c r="C30" s="93">
        <v>50</v>
      </c>
      <c r="D30" s="93">
        <v>0</v>
      </c>
      <c r="E30" s="93">
        <v>43</v>
      </c>
      <c r="F30" s="93">
        <v>0.08</v>
      </c>
      <c r="G30" s="93">
        <v>0</v>
      </c>
      <c r="H30" s="93">
        <v>0</v>
      </c>
      <c r="I30" s="94" t="s">
        <v>30</v>
      </c>
      <c r="J30" s="92"/>
    </row>
    <row r="31" spans="1:10" x14ac:dyDescent="0.25">
      <c r="A31" s="12">
        <f t="shared" si="0"/>
        <v>44710</v>
      </c>
      <c r="B31" s="93">
        <v>8</v>
      </c>
      <c r="C31" s="93">
        <v>50</v>
      </c>
      <c r="D31" s="93">
        <v>0</v>
      </c>
      <c r="E31" s="93">
        <v>35</v>
      </c>
      <c r="F31" s="93" t="s">
        <v>29</v>
      </c>
      <c r="G31" s="93">
        <v>0</v>
      </c>
      <c r="H31" s="93">
        <v>0</v>
      </c>
      <c r="I31" s="94" t="s">
        <v>30</v>
      </c>
      <c r="J31" s="92"/>
    </row>
    <row r="32" spans="1:10" x14ac:dyDescent="0.25">
      <c r="A32" s="12">
        <f t="shared" si="0"/>
        <v>44711</v>
      </c>
      <c r="B32" s="93">
        <v>6</v>
      </c>
      <c r="C32" s="93">
        <v>50</v>
      </c>
      <c r="D32" s="93">
        <v>0</v>
      </c>
      <c r="E32" s="93">
        <v>42</v>
      </c>
      <c r="F32" s="93">
        <v>0</v>
      </c>
      <c r="G32" s="93">
        <v>0</v>
      </c>
      <c r="H32" s="93">
        <v>0</v>
      </c>
      <c r="I32" s="94" t="s">
        <v>30</v>
      </c>
      <c r="J32" s="92"/>
    </row>
    <row r="33" spans="1:16" ht="15.75" thickBot="1" x14ac:dyDescent="0.3">
      <c r="A33" s="12">
        <f t="shared" si="0"/>
        <v>44712</v>
      </c>
      <c r="B33" s="93">
        <v>8</v>
      </c>
      <c r="C33" s="93">
        <v>41</v>
      </c>
      <c r="D33" s="93">
        <v>0</v>
      </c>
      <c r="E33" s="93">
        <v>42</v>
      </c>
      <c r="F33" s="93">
        <v>0</v>
      </c>
      <c r="G33" s="93">
        <v>0</v>
      </c>
      <c r="H33" s="93">
        <v>0</v>
      </c>
      <c r="I33" s="94"/>
      <c r="J33" s="92" t="s">
        <v>60</v>
      </c>
    </row>
    <row r="34" spans="1:16" s="11" customFormat="1" ht="15.75" thickTop="1" x14ac:dyDescent="0.25">
      <c r="A34" s="15" t="s">
        <v>8</v>
      </c>
      <c r="B34" s="16">
        <f t="shared" ref="B34" si="1">SUM(B3:B33)</f>
        <v>705</v>
      </c>
      <c r="C34" s="16">
        <f t="shared" ref="C34:H34" si="2">SUM(C3:C33)</f>
        <v>1273</v>
      </c>
      <c r="D34" s="16">
        <f t="shared" si="2"/>
        <v>0</v>
      </c>
      <c r="E34" s="16">
        <f t="shared" si="2"/>
        <v>1105</v>
      </c>
      <c r="F34" s="17">
        <f t="shared" si="2"/>
        <v>0.37000000000000005</v>
      </c>
      <c r="G34" s="17">
        <f t="shared" si="2"/>
        <v>0</v>
      </c>
      <c r="H34" s="16">
        <f t="shared" si="2"/>
        <v>0</v>
      </c>
      <c r="I34" s="17"/>
    </row>
    <row r="35" spans="1:16" s="11" customFormat="1" x14ac:dyDescent="0.25">
      <c r="A35" s="18" t="s">
        <v>9</v>
      </c>
      <c r="B35" s="19">
        <f>SUM(B34+'Apr 2022'!B34)</f>
        <v>7696</v>
      </c>
      <c r="C35" s="19">
        <f>SUM(C34+'Apr 2022'!C34)</f>
        <v>5655</v>
      </c>
      <c r="D35" s="19">
        <f>SUM(D34+'Apr 2022'!D34)</f>
        <v>0</v>
      </c>
      <c r="E35" s="19">
        <f>SUM(E34+'Apr 2022'!E34)</f>
        <v>7889</v>
      </c>
      <c r="F35" s="20">
        <f>SUM(F34+'Apr 2022'!F34)</f>
        <v>5.9000000000000012</v>
      </c>
      <c r="G35" s="20">
        <f>SUM(G34+'Apr 2022'!G34)</f>
        <v>13.55</v>
      </c>
      <c r="H35" s="19">
        <f>SUM(H34+'Apr 2022'!H34)</f>
        <v>0</v>
      </c>
      <c r="I35" s="20"/>
    </row>
    <row r="37" spans="1:16" x14ac:dyDescent="0.25">
      <c r="A37" t="s">
        <v>10</v>
      </c>
      <c r="B37" s="22">
        <f>SUM(B3:B33)*1.9835</f>
        <v>1398.3675000000001</v>
      </c>
      <c r="C37" s="22">
        <f>SUM(C3:C33)*1.9835</f>
        <v>2524.9955</v>
      </c>
      <c r="D37" s="22">
        <f>SUM(D3:D33)*1.9835</f>
        <v>0</v>
      </c>
      <c r="E37" s="22">
        <f>SUM(E3:E33)*1.9835</f>
        <v>2191.7674999999999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SUM(B37+'Apr 2022'!B38)</f>
        <v>16921.238499999999</v>
      </c>
      <c r="C39" s="22">
        <f>SUM(C37+'Apr 2022'!C38)</f>
        <v>13186.308000000001</v>
      </c>
      <c r="D39" s="22">
        <f>SUM(D37+'Apr 2022'!D38)</f>
        <v>0</v>
      </c>
      <c r="E39" s="22">
        <f>SUM(E37+'Apr 2022'!E38)</f>
        <v>18387.044999999998</v>
      </c>
      <c r="F39" s="22"/>
      <c r="G39" s="22"/>
      <c r="H39" s="22"/>
      <c r="J39" s="21"/>
    </row>
    <row r="40" spans="1:16" x14ac:dyDescent="0.25">
      <c r="J40" s="31"/>
    </row>
    <row r="41" spans="1:16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31"/>
      <c r="K41" s="27"/>
      <c r="L41" s="27"/>
      <c r="M41" s="27"/>
      <c r="N41" s="27"/>
      <c r="O41" s="28"/>
      <c r="P41" s="27"/>
    </row>
    <row r="42" spans="1:16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31"/>
      <c r="K42" s="27"/>
      <c r="L42" s="27"/>
      <c r="M42" s="27"/>
      <c r="N42" s="27"/>
      <c r="O42" s="28"/>
      <c r="P42" s="27"/>
    </row>
    <row r="43" spans="1:16" ht="13.9" customHeight="1" thickBot="1" x14ac:dyDescent="0.3">
      <c r="A43" s="114" t="s">
        <v>23</v>
      </c>
      <c r="B43" s="114"/>
      <c r="C43" s="114"/>
      <c r="D43" s="114"/>
      <c r="E43" s="114"/>
      <c r="F43" s="114"/>
      <c r="G43" s="114"/>
      <c r="H43" s="114"/>
      <c r="I43" s="114"/>
      <c r="J43" s="115"/>
      <c r="K43" s="115"/>
      <c r="L43" s="29"/>
      <c r="M43" s="29"/>
      <c r="N43" s="29"/>
      <c r="O43" s="30"/>
      <c r="P43" s="31"/>
    </row>
    <row r="44" spans="1:16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ht="15.7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54"/>
      <c r="K47" s="31"/>
      <c r="L47" s="31"/>
      <c r="M47" s="31"/>
      <c r="N47" s="31"/>
      <c r="O47" s="30"/>
    </row>
    <row r="48" spans="1:16" ht="15.7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63"/>
      <c r="K48" s="31"/>
      <c r="L48" s="31"/>
      <c r="M48" s="31"/>
      <c r="N48" s="31"/>
      <c r="O48" s="30"/>
    </row>
    <row r="49" spans="1:16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K49" s="31"/>
      <c r="L49" s="31"/>
      <c r="M49" s="31"/>
      <c r="N49" s="31"/>
      <c r="O49" s="30"/>
    </row>
    <row r="50" spans="1:16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K50" s="31"/>
      <c r="L50" s="31"/>
      <c r="M50" s="31"/>
      <c r="N50" s="31"/>
      <c r="O50" s="30"/>
      <c r="P50" s="31"/>
    </row>
    <row r="51" spans="1:16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K51" s="31"/>
      <c r="L51" s="31"/>
      <c r="M51" s="31"/>
      <c r="N51" s="31"/>
      <c r="O51" s="30"/>
      <c r="P51" s="31"/>
    </row>
    <row r="52" spans="1:16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75"/>
      <c r="K52" s="54"/>
    </row>
    <row r="53" spans="1:16" ht="15.75" x14ac:dyDescent="0.25">
      <c r="A53" s="55"/>
      <c r="B53" s="107"/>
      <c r="C53" s="56"/>
      <c r="D53" s="57"/>
      <c r="E53" s="58"/>
      <c r="F53" s="59"/>
      <c r="G53" s="60">
        <f>SUM(D53/24*E53)</f>
        <v>0</v>
      </c>
      <c r="H53" s="61"/>
      <c r="I53" s="62"/>
      <c r="J53" s="81"/>
      <c r="K53" s="63"/>
    </row>
    <row r="54" spans="1:16" x14ac:dyDescent="0.25">
      <c r="A54" s="64"/>
      <c r="B54" s="108"/>
      <c r="C54" s="65"/>
      <c r="D54" s="66"/>
      <c r="E54" s="58"/>
      <c r="F54" s="67"/>
      <c r="G54" s="68">
        <f>SUM(D54/24*E54)</f>
        <v>0</v>
      </c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6" x14ac:dyDescent="0.25">
      <c r="A56" s="64"/>
      <c r="B56" s="108"/>
      <c r="C56" s="65"/>
      <c r="D56" s="66"/>
      <c r="E56" s="58"/>
      <c r="F56" s="69"/>
      <c r="G56" s="68">
        <f>SUM(D56/24*E56)</f>
        <v>0</v>
      </c>
      <c r="H56" s="61"/>
      <c r="I56" s="62"/>
    </row>
    <row r="57" spans="1:16" ht="15.75" thickBot="1" x14ac:dyDescent="0.3">
      <c r="A57" s="70"/>
      <c r="B57" s="109"/>
      <c r="C57" s="71"/>
      <c r="D57" s="72"/>
      <c r="E57" s="73"/>
      <c r="F57" s="72"/>
      <c r="G57" s="74">
        <f>SUM(D57/24*E57)</f>
        <v>0</v>
      </c>
      <c r="H57" s="61"/>
      <c r="I57" s="62"/>
      <c r="K57" s="75"/>
    </row>
    <row r="58" spans="1:16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  <c r="J58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63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32" sqref="F32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44652</v>
      </c>
      <c r="B3" s="93">
        <v>24</v>
      </c>
      <c r="C3" s="93">
        <v>33</v>
      </c>
      <c r="D3" s="93">
        <v>0</v>
      </c>
      <c r="E3" s="93">
        <v>49</v>
      </c>
      <c r="F3" s="93">
        <v>0</v>
      </c>
      <c r="G3" s="93">
        <v>0</v>
      </c>
      <c r="H3" s="93">
        <v>0</v>
      </c>
      <c r="I3" s="94" t="s">
        <v>30</v>
      </c>
      <c r="J3" s="97" t="s">
        <v>51</v>
      </c>
    </row>
    <row r="4" spans="1:10" x14ac:dyDescent="0.25">
      <c r="A4" s="12">
        <f>A3+1</f>
        <v>44653</v>
      </c>
      <c r="B4" s="93">
        <v>23</v>
      </c>
      <c r="C4" s="93">
        <v>30</v>
      </c>
      <c r="D4" s="93">
        <v>0</v>
      </c>
      <c r="E4" s="93">
        <v>42</v>
      </c>
      <c r="F4" s="93">
        <v>0</v>
      </c>
      <c r="G4" s="93">
        <v>0</v>
      </c>
      <c r="H4" s="93">
        <v>0</v>
      </c>
      <c r="I4" s="94" t="s">
        <v>30</v>
      </c>
      <c r="J4" s="97"/>
    </row>
    <row r="5" spans="1:10" x14ac:dyDescent="0.25">
      <c r="A5" s="12">
        <f t="shared" ref="A5:A32" si="0">A4+1</f>
        <v>44654</v>
      </c>
      <c r="B5" s="93">
        <v>16</v>
      </c>
      <c r="C5" s="93">
        <v>30</v>
      </c>
      <c r="D5" s="93">
        <v>0</v>
      </c>
      <c r="E5" s="93">
        <v>34</v>
      </c>
      <c r="F5" s="93">
        <v>0</v>
      </c>
      <c r="G5" s="93">
        <v>0</v>
      </c>
      <c r="H5" s="93">
        <v>0</v>
      </c>
      <c r="I5" s="94" t="s">
        <v>30</v>
      </c>
      <c r="J5" s="97"/>
    </row>
    <row r="6" spans="1:10" x14ac:dyDescent="0.25">
      <c r="A6" s="12">
        <f t="shared" si="0"/>
        <v>44655</v>
      </c>
      <c r="B6" s="93">
        <v>18</v>
      </c>
      <c r="C6" s="93">
        <v>30</v>
      </c>
      <c r="D6" s="93">
        <v>0</v>
      </c>
      <c r="E6" s="93">
        <v>36</v>
      </c>
      <c r="F6" s="93">
        <v>0.1</v>
      </c>
      <c r="G6" s="93">
        <v>0</v>
      </c>
      <c r="H6" s="93">
        <v>0</v>
      </c>
      <c r="I6" s="94" t="s">
        <v>30</v>
      </c>
      <c r="J6" s="97"/>
    </row>
    <row r="7" spans="1:10" x14ac:dyDescent="0.25">
      <c r="A7" s="12">
        <f t="shared" si="0"/>
        <v>44656</v>
      </c>
      <c r="B7" s="93">
        <v>24</v>
      </c>
      <c r="C7" s="93">
        <v>30</v>
      </c>
      <c r="D7" s="93">
        <v>0</v>
      </c>
      <c r="E7" s="93">
        <v>38</v>
      </c>
      <c r="F7" s="93">
        <v>0</v>
      </c>
      <c r="G7" s="93">
        <v>0</v>
      </c>
      <c r="H7" s="93">
        <v>0</v>
      </c>
      <c r="I7" s="94" t="s">
        <v>30</v>
      </c>
      <c r="J7" s="97"/>
    </row>
    <row r="8" spans="1:10" x14ac:dyDescent="0.25">
      <c r="A8" s="12">
        <f t="shared" si="0"/>
        <v>44657</v>
      </c>
      <c r="B8" s="93">
        <v>16</v>
      </c>
      <c r="C8" s="93">
        <v>30</v>
      </c>
      <c r="D8" s="93">
        <v>0</v>
      </c>
      <c r="E8" s="93">
        <v>43</v>
      </c>
      <c r="F8" s="93">
        <v>0</v>
      </c>
      <c r="G8" s="93">
        <v>0</v>
      </c>
      <c r="H8" s="93">
        <v>0</v>
      </c>
      <c r="I8" s="94" t="s">
        <v>30</v>
      </c>
      <c r="J8" s="97"/>
    </row>
    <row r="9" spans="1:10" x14ac:dyDescent="0.25">
      <c r="A9" s="12">
        <f t="shared" si="0"/>
        <v>44658</v>
      </c>
      <c r="B9" s="93">
        <v>26</v>
      </c>
      <c r="C9" s="93">
        <v>30</v>
      </c>
      <c r="D9" s="93">
        <v>0</v>
      </c>
      <c r="E9" s="93">
        <v>47</v>
      </c>
      <c r="F9" s="93">
        <v>0</v>
      </c>
      <c r="G9" s="93">
        <v>0</v>
      </c>
      <c r="H9" s="93">
        <v>0</v>
      </c>
      <c r="I9" s="94" t="s">
        <v>30</v>
      </c>
      <c r="J9" s="97"/>
    </row>
    <row r="10" spans="1:10" x14ac:dyDescent="0.25">
      <c r="A10" s="12">
        <f t="shared" si="0"/>
        <v>44659</v>
      </c>
      <c r="B10" s="93">
        <v>8</v>
      </c>
      <c r="C10" s="93">
        <v>35</v>
      </c>
      <c r="D10" s="93">
        <v>0</v>
      </c>
      <c r="E10" s="93">
        <v>52</v>
      </c>
      <c r="F10" s="93">
        <v>0</v>
      </c>
      <c r="G10" s="93">
        <v>0</v>
      </c>
      <c r="H10" s="93">
        <v>0</v>
      </c>
      <c r="I10" s="94" t="s">
        <v>30</v>
      </c>
      <c r="J10" s="97" t="s">
        <v>52</v>
      </c>
    </row>
    <row r="11" spans="1:10" x14ac:dyDescent="0.25">
      <c r="A11" s="12">
        <f t="shared" si="0"/>
        <v>44660</v>
      </c>
      <c r="B11" s="93">
        <v>14</v>
      </c>
      <c r="C11" s="93">
        <v>40</v>
      </c>
      <c r="D11" s="93">
        <v>0</v>
      </c>
      <c r="E11" s="93">
        <v>46</v>
      </c>
      <c r="F11" s="93">
        <v>0</v>
      </c>
      <c r="G11" s="93">
        <v>0</v>
      </c>
      <c r="H11" s="93">
        <v>0</v>
      </c>
      <c r="I11" s="94" t="s">
        <v>30</v>
      </c>
      <c r="J11" s="97"/>
    </row>
    <row r="12" spans="1:10" x14ac:dyDescent="0.25">
      <c r="A12" s="12">
        <f t="shared" si="0"/>
        <v>44661</v>
      </c>
      <c r="B12" s="93">
        <v>15</v>
      </c>
      <c r="C12" s="93">
        <v>40</v>
      </c>
      <c r="D12" s="93">
        <v>0</v>
      </c>
      <c r="E12" s="93">
        <v>40</v>
      </c>
      <c r="F12" s="93">
        <v>0</v>
      </c>
      <c r="G12" s="93">
        <v>0</v>
      </c>
      <c r="H12" s="93">
        <v>0</v>
      </c>
      <c r="I12" s="94" t="s">
        <v>30</v>
      </c>
      <c r="J12" s="97"/>
    </row>
    <row r="13" spans="1:10" x14ac:dyDescent="0.25">
      <c r="A13" s="12">
        <f t="shared" si="0"/>
        <v>44662</v>
      </c>
      <c r="B13" s="93">
        <v>9</v>
      </c>
      <c r="C13" s="93">
        <v>40</v>
      </c>
      <c r="D13" s="93">
        <v>0</v>
      </c>
      <c r="E13" s="93">
        <v>39</v>
      </c>
      <c r="F13" s="93">
        <v>0.02</v>
      </c>
      <c r="G13" s="93">
        <v>0</v>
      </c>
      <c r="H13" s="93">
        <v>0</v>
      </c>
      <c r="I13" s="94" t="s">
        <v>30</v>
      </c>
      <c r="J13" s="97"/>
    </row>
    <row r="14" spans="1:10" x14ac:dyDescent="0.25">
      <c r="A14" s="12">
        <f t="shared" si="0"/>
        <v>44663</v>
      </c>
      <c r="B14" s="93">
        <v>23</v>
      </c>
      <c r="C14" s="93">
        <v>35</v>
      </c>
      <c r="D14" s="93">
        <v>0</v>
      </c>
      <c r="E14" s="93">
        <v>43</v>
      </c>
      <c r="F14" s="93">
        <v>0.02</v>
      </c>
      <c r="G14" s="93">
        <v>0</v>
      </c>
      <c r="H14" s="93">
        <v>0</v>
      </c>
      <c r="I14" s="94" t="s">
        <v>30</v>
      </c>
      <c r="J14" s="97" t="s">
        <v>53</v>
      </c>
    </row>
    <row r="15" spans="1:10" x14ac:dyDescent="0.25">
      <c r="A15" s="12">
        <f t="shared" si="0"/>
        <v>44664</v>
      </c>
      <c r="B15" s="93">
        <v>30</v>
      </c>
      <c r="C15" s="93">
        <v>30</v>
      </c>
      <c r="D15" s="93">
        <v>0</v>
      </c>
      <c r="E15" s="93">
        <v>56</v>
      </c>
      <c r="F15" s="93">
        <v>0.09</v>
      </c>
      <c r="G15" s="93">
        <v>0</v>
      </c>
      <c r="H15" s="93">
        <v>0</v>
      </c>
      <c r="I15" s="94" t="s">
        <v>30</v>
      </c>
      <c r="J15" s="97"/>
    </row>
    <row r="16" spans="1:10" x14ac:dyDescent="0.25">
      <c r="A16" s="12">
        <f t="shared" si="0"/>
        <v>44665</v>
      </c>
      <c r="B16" s="93">
        <v>23</v>
      </c>
      <c r="C16" s="93">
        <v>30</v>
      </c>
      <c r="D16" s="93">
        <v>0</v>
      </c>
      <c r="E16" s="93">
        <v>49</v>
      </c>
      <c r="F16" s="93">
        <v>0.12</v>
      </c>
      <c r="G16" s="93">
        <v>0</v>
      </c>
      <c r="H16" s="93">
        <v>0</v>
      </c>
      <c r="I16" s="94" t="s">
        <v>30</v>
      </c>
      <c r="J16" s="97"/>
    </row>
    <row r="17" spans="1:10" x14ac:dyDescent="0.25">
      <c r="A17" s="12">
        <f t="shared" si="0"/>
        <v>44666</v>
      </c>
      <c r="B17" s="93">
        <v>20</v>
      </c>
      <c r="C17" s="93">
        <v>30</v>
      </c>
      <c r="D17" s="93">
        <v>0</v>
      </c>
      <c r="E17" s="93">
        <v>46</v>
      </c>
      <c r="F17" s="93">
        <v>0</v>
      </c>
      <c r="G17" s="93">
        <v>0</v>
      </c>
      <c r="H17" s="93">
        <v>0</v>
      </c>
      <c r="I17" s="94" t="s">
        <v>30</v>
      </c>
      <c r="J17" s="97"/>
    </row>
    <row r="18" spans="1:10" x14ac:dyDescent="0.25">
      <c r="A18" s="12">
        <f t="shared" si="0"/>
        <v>44667</v>
      </c>
      <c r="B18" s="93">
        <v>32</v>
      </c>
      <c r="C18" s="93">
        <v>30</v>
      </c>
      <c r="D18" s="93">
        <v>0</v>
      </c>
      <c r="E18" s="93">
        <v>43</v>
      </c>
      <c r="F18" s="93">
        <v>0.38</v>
      </c>
      <c r="G18" s="93">
        <v>0</v>
      </c>
      <c r="H18" s="93">
        <v>0</v>
      </c>
      <c r="I18" s="94" t="s">
        <v>30</v>
      </c>
      <c r="J18" s="97"/>
    </row>
    <row r="19" spans="1:10" x14ac:dyDescent="0.25">
      <c r="A19" s="12">
        <f t="shared" si="0"/>
        <v>44668</v>
      </c>
      <c r="B19" s="93">
        <v>29</v>
      </c>
      <c r="C19" s="93">
        <v>30</v>
      </c>
      <c r="D19" s="93">
        <v>0</v>
      </c>
      <c r="E19" s="93">
        <v>43</v>
      </c>
      <c r="F19" s="93" t="s">
        <v>29</v>
      </c>
      <c r="G19" s="93">
        <v>0</v>
      </c>
      <c r="H19" s="93">
        <v>0</v>
      </c>
      <c r="I19" s="94" t="s">
        <v>30</v>
      </c>
      <c r="J19" s="97"/>
    </row>
    <row r="20" spans="1:10" x14ac:dyDescent="0.25">
      <c r="A20" s="12">
        <f t="shared" si="0"/>
        <v>44669</v>
      </c>
      <c r="B20" s="93">
        <v>31</v>
      </c>
      <c r="C20" s="93">
        <v>30</v>
      </c>
      <c r="D20" s="93">
        <v>0</v>
      </c>
      <c r="E20" s="93">
        <v>50</v>
      </c>
      <c r="F20" s="93">
        <v>0</v>
      </c>
      <c r="G20" s="93">
        <v>0</v>
      </c>
      <c r="H20" s="93">
        <v>0</v>
      </c>
      <c r="I20" s="94" t="s">
        <v>30</v>
      </c>
      <c r="J20" s="97"/>
    </row>
    <row r="21" spans="1:10" x14ac:dyDescent="0.25">
      <c r="A21" s="12">
        <f t="shared" si="0"/>
        <v>44670</v>
      </c>
      <c r="B21" s="93">
        <v>35</v>
      </c>
      <c r="C21" s="93">
        <v>30</v>
      </c>
      <c r="D21" s="93">
        <v>0</v>
      </c>
      <c r="E21" s="93">
        <v>50</v>
      </c>
      <c r="F21" s="93">
        <v>0.35</v>
      </c>
      <c r="G21" s="93">
        <v>0</v>
      </c>
      <c r="H21" s="93">
        <v>0</v>
      </c>
      <c r="I21" s="94" t="s">
        <v>30</v>
      </c>
      <c r="J21" s="97"/>
    </row>
    <row r="22" spans="1:10" x14ac:dyDescent="0.25">
      <c r="A22" s="12">
        <f t="shared" si="0"/>
        <v>44671</v>
      </c>
      <c r="B22" s="93">
        <v>37</v>
      </c>
      <c r="C22" s="93">
        <v>30</v>
      </c>
      <c r="D22" s="93">
        <v>0</v>
      </c>
      <c r="E22" s="93">
        <v>54</v>
      </c>
      <c r="F22" s="93">
        <v>0.03</v>
      </c>
      <c r="G22" s="93">
        <v>0</v>
      </c>
      <c r="H22" s="93">
        <v>0</v>
      </c>
      <c r="I22" s="94" t="s">
        <v>30</v>
      </c>
      <c r="J22" s="97"/>
    </row>
    <row r="23" spans="1:10" x14ac:dyDescent="0.25">
      <c r="A23" s="12">
        <f t="shared" si="0"/>
        <v>44672</v>
      </c>
      <c r="B23" s="93">
        <v>46</v>
      </c>
      <c r="C23" s="93">
        <v>30</v>
      </c>
      <c r="D23" s="93">
        <v>0</v>
      </c>
      <c r="E23" s="93">
        <v>57</v>
      </c>
      <c r="F23" s="93">
        <v>0.23</v>
      </c>
      <c r="G23" s="93">
        <v>0</v>
      </c>
      <c r="H23" s="93">
        <v>0</v>
      </c>
      <c r="I23" s="94" t="s">
        <v>30</v>
      </c>
      <c r="J23" s="97"/>
    </row>
    <row r="24" spans="1:10" x14ac:dyDescent="0.25">
      <c r="A24" s="12">
        <f t="shared" si="0"/>
        <v>44673</v>
      </c>
      <c r="B24" s="93">
        <v>28</v>
      </c>
      <c r="C24" s="93">
        <v>30</v>
      </c>
      <c r="D24" s="93">
        <v>0</v>
      </c>
      <c r="E24" s="93">
        <v>57</v>
      </c>
      <c r="F24" s="93">
        <v>0.03</v>
      </c>
      <c r="G24" s="93">
        <v>0</v>
      </c>
      <c r="H24" s="93">
        <v>0</v>
      </c>
      <c r="I24" s="94" t="s">
        <v>30</v>
      </c>
      <c r="J24" s="97"/>
    </row>
    <row r="25" spans="1:10" x14ac:dyDescent="0.25">
      <c r="A25" s="12">
        <f t="shared" si="0"/>
        <v>44674</v>
      </c>
      <c r="B25" s="93">
        <v>33</v>
      </c>
      <c r="C25" s="93">
        <v>30</v>
      </c>
      <c r="D25" s="93">
        <v>0</v>
      </c>
      <c r="E25" s="93">
        <v>55</v>
      </c>
      <c r="F25" s="93">
        <v>0</v>
      </c>
      <c r="G25" s="93">
        <v>0</v>
      </c>
      <c r="H25" s="93">
        <v>0</v>
      </c>
      <c r="I25" s="94" t="s">
        <v>30</v>
      </c>
      <c r="J25" s="97"/>
    </row>
    <row r="26" spans="1:10" ht="30" x14ac:dyDescent="0.25">
      <c r="A26" s="12">
        <f t="shared" si="0"/>
        <v>44675</v>
      </c>
      <c r="B26" s="93">
        <v>87</v>
      </c>
      <c r="C26" s="93">
        <v>42</v>
      </c>
      <c r="D26" s="93">
        <v>0</v>
      </c>
      <c r="E26" s="93">
        <v>50</v>
      </c>
      <c r="F26" s="93">
        <v>0</v>
      </c>
      <c r="G26" s="93">
        <v>0</v>
      </c>
      <c r="H26" s="93">
        <v>0</v>
      </c>
      <c r="I26" s="94" t="s">
        <v>30</v>
      </c>
      <c r="J26" s="97" t="s">
        <v>54</v>
      </c>
    </row>
    <row r="27" spans="1:10" ht="30" x14ac:dyDescent="0.25">
      <c r="A27" s="12">
        <f t="shared" si="0"/>
        <v>44676</v>
      </c>
      <c r="B27" s="93">
        <v>78</v>
      </c>
      <c r="C27" s="93">
        <v>64</v>
      </c>
      <c r="D27" s="93">
        <v>0</v>
      </c>
      <c r="E27" s="93">
        <v>50</v>
      </c>
      <c r="F27" s="93" t="s">
        <v>29</v>
      </c>
      <c r="G27" s="93">
        <v>0</v>
      </c>
      <c r="H27" s="93">
        <v>0</v>
      </c>
      <c r="I27" s="94" t="s">
        <v>30</v>
      </c>
      <c r="J27" s="97" t="s">
        <v>55</v>
      </c>
    </row>
    <row r="28" spans="1:10" x14ac:dyDescent="0.25">
      <c r="A28" s="12">
        <f t="shared" si="0"/>
        <v>44677</v>
      </c>
      <c r="B28" s="93">
        <v>25</v>
      </c>
      <c r="C28" s="93">
        <v>34</v>
      </c>
      <c r="D28" s="93">
        <v>0</v>
      </c>
      <c r="E28" s="93">
        <v>53</v>
      </c>
      <c r="F28" s="93">
        <v>0</v>
      </c>
      <c r="G28" s="93">
        <v>0</v>
      </c>
      <c r="H28" s="93">
        <v>0</v>
      </c>
      <c r="I28" s="94" t="s">
        <v>30</v>
      </c>
      <c r="J28" s="97" t="s">
        <v>56</v>
      </c>
    </row>
    <row r="29" spans="1:10" x14ac:dyDescent="0.25">
      <c r="A29" s="12">
        <f t="shared" si="0"/>
        <v>44678</v>
      </c>
      <c r="B29" s="93">
        <v>27</v>
      </c>
      <c r="C29" s="93">
        <v>30</v>
      </c>
      <c r="D29" s="93">
        <v>0</v>
      </c>
      <c r="E29" s="93">
        <v>43</v>
      </c>
      <c r="F29" s="93">
        <v>0</v>
      </c>
      <c r="G29" s="93">
        <v>0</v>
      </c>
      <c r="H29" s="93">
        <v>0</v>
      </c>
      <c r="I29" s="94" t="s">
        <v>30</v>
      </c>
      <c r="J29" s="97"/>
    </row>
    <row r="30" spans="1:10" x14ac:dyDescent="0.25">
      <c r="A30" s="12">
        <f t="shared" si="0"/>
        <v>44679</v>
      </c>
      <c r="B30" s="93">
        <v>13</v>
      </c>
      <c r="C30" s="93">
        <v>30</v>
      </c>
      <c r="D30" s="93">
        <v>0</v>
      </c>
      <c r="E30" s="93">
        <v>40</v>
      </c>
      <c r="F30" s="93">
        <v>0.16</v>
      </c>
      <c r="G30" s="93">
        <v>0</v>
      </c>
      <c r="H30" s="93">
        <v>0</v>
      </c>
      <c r="I30" s="94" t="s">
        <v>30</v>
      </c>
      <c r="J30" s="97"/>
    </row>
    <row r="31" spans="1:10" x14ac:dyDescent="0.25">
      <c r="A31" s="12">
        <f t="shared" si="0"/>
        <v>44680</v>
      </c>
      <c r="B31" s="93">
        <v>26</v>
      </c>
      <c r="C31" s="93">
        <v>30</v>
      </c>
      <c r="D31" s="93">
        <v>0</v>
      </c>
      <c r="E31" s="93">
        <v>38</v>
      </c>
      <c r="F31" s="93">
        <v>0</v>
      </c>
      <c r="G31" s="93">
        <v>0</v>
      </c>
      <c r="H31" s="93">
        <v>0</v>
      </c>
      <c r="I31" s="94" t="s">
        <v>30</v>
      </c>
      <c r="J31" s="97"/>
    </row>
    <row r="32" spans="1:10" ht="15.75" thickBot="1" x14ac:dyDescent="0.3">
      <c r="A32" s="12">
        <f t="shared" si="0"/>
        <v>44681</v>
      </c>
      <c r="B32" s="93">
        <v>19</v>
      </c>
      <c r="C32" s="93">
        <v>30</v>
      </c>
      <c r="D32" s="93">
        <v>0</v>
      </c>
      <c r="E32" s="93">
        <v>38</v>
      </c>
      <c r="F32" s="93">
        <v>0.11</v>
      </c>
      <c r="G32" s="93">
        <v>0</v>
      </c>
      <c r="H32" s="93">
        <v>0</v>
      </c>
      <c r="I32" s="94" t="s">
        <v>30</v>
      </c>
      <c r="J32" s="97"/>
    </row>
    <row r="33" spans="1:16" s="11" customFormat="1" ht="15.75" thickTop="1" x14ac:dyDescent="0.25">
      <c r="A33" s="15" t="s">
        <v>8</v>
      </c>
      <c r="B33" s="16">
        <f t="shared" ref="B33" si="1">SUM(B3:B32)</f>
        <v>835</v>
      </c>
      <c r="C33" s="16">
        <f t="shared" ref="C33:H33" si="2">SUM(C3:C32)</f>
        <v>993</v>
      </c>
      <c r="D33" s="16">
        <f t="shared" si="2"/>
        <v>0</v>
      </c>
      <c r="E33" s="16">
        <f t="shared" si="2"/>
        <v>1381</v>
      </c>
      <c r="F33" s="17">
        <f t="shared" si="2"/>
        <v>1.6400000000000001</v>
      </c>
      <c r="G33" s="17">
        <f t="shared" si="2"/>
        <v>0</v>
      </c>
      <c r="H33" s="16">
        <f t="shared" si="2"/>
        <v>0</v>
      </c>
      <c r="I33" s="17"/>
      <c r="J33"/>
    </row>
    <row r="34" spans="1:16" s="11" customFormat="1" x14ac:dyDescent="0.25">
      <c r="A34" s="18" t="s">
        <v>9</v>
      </c>
      <c r="B34" s="19">
        <f>SUM(B33+'Mar 2022'!B35)</f>
        <v>6991</v>
      </c>
      <c r="C34" s="19">
        <f>SUM(C33+'Mar 2022'!C35)</f>
        <v>4382</v>
      </c>
      <c r="D34" s="19">
        <f>SUM(D33+'Mar 2022'!D35)</f>
        <v>0</v>
      </c>
      <c r="E34" s="19">
        <f>SUM(E33+'Mar 2022'!E35)</f>
        <v>6784</v>
      </c>
      <c r="F34" s="20">
        <f>SUM(F33+'Mar 2022'!F35)</f>
        <v>5.5300000000000011</v>
      </c>
      <c r="G34" s="20">
        <f>SUM(G33+'Mar 2022'!G35)</f>
        <v>13.55</v>
      </c>
      <c r="H34" s="19">
        <f>SUM(H33+'Mar 2022'!H35)</f>
        <v>0</v>
      </c>
      <c r="I34" s="20"/>
    </row>
    <row r="35" spans="1:16" x14ac:dyDescent="0.25">
      <c r="J35" s="11"/>
    </row>
    <row r="36" spans="1:16" x14ac:dyDescent="0.25">
      <c r="A36" t="s">
        <v>10</v>
      </c>
      <c r="B36" s="22">
        <f>SUM(B3:B33)*1.9835</f>
        <v>3312.4450000000002</v>
      </c>
      <c r="C36" s="22">
        <f>SUM(C3:C33)*1.9835</f>
        <v>3939.2310000000002</v>
      </c>
      <c r="D36" s="22">
        <f>SUM(D3:D33)*1.9835</f>
        <v>0</v>
      </c>
      <c r="E36" s="22">
        <f>SUM(E3:E33)*1.9835</f>
        <v>5478.4269999999997</v>
      </c>
      <c r="F36" s="22"/>
      <c r="G36" s="22"/>
      <c r="H36" s="22"/>
      <c r="J36" s="21"/>
    </row>
    <row r="38" spans="1:16" x14ac:dyDescent="0.25">
      <c r="A38" t="s">
        <v>24</v>
      </c>
      <c r="B38" s="22">
        <f>SUM(B36+'Mar 2022'!B39)</f>
        <v>15522.870999999999</v>
      </c>
      <c r="C38" s="22">
        <f>SUM(C36+'Mar 2022'!C39)</f>
        <v>10661.3125</v>
      </c>
      <c r="D38" s="22">
        <f>SUM(D36+'Mar 2022'!D39)</f>
        <v>0</v>
      </c>
      <c r="E38" s="22">
        <f>SUM(E36+'Mar 2022'!E39)</f>
        <v>16195.2775</v>
      </c>
      <c r="F38" s="22"/>
      <c r="G38" s="22"/>
      <c r="H38" s="22"/>
      <c r="J38" s="21"/>
    </row>
    <row r="39" spans="1:16" x14ac:dyDescent="0.25">
      <c r="C39" s="22"/>
      <c r="D39" s="22"/>
      <c r="E39" s="23"/>
      <c r="F39" s="22"/>
      <c r="G39" s="22"/>
      <c r="H39" s="22"/>
      <c r="J39" s="21"/>
    </row>
    <row r="40" spans="1:16" ht="17.45" customHeight="1" x14ac:dyDescent="0.25">
      <c r="A40" s="110"/>
      <c r="B40" s="110"/>
      <c r="C40" s="110"/>
      <c r="D40" s="110"/>
      <c r="E40" s="110"/>
      <c r="F40" s="110"/>
      <c r="G40" s="111"/>
      <c r="H40" s="112" t="s">
        <v>12</v>
      </c>
      <c r="I40" s="113"/>
      <c r="J40" s="27"/>
      <c r="K40" s="27"/>
      <c r="L40" s="27"/>
      <c r="M40" s="27"/>
      <c r="N40" s="27"/>
      <c r="O40" s="28"/>
      <c r="P40" s="27"/>
    </row>
    <row r="41" spans="1:16" ht="16.899999999999999" customHeight="1" x14ac:dyDescent="0.25">
      <c r="A41" s="26"/>
      <c r="B41" s="103"/>
      <c r="C41" s="26"/>
      <c r="D41" s="26"/>
      <c r="E41" s="26"/>
      <c r="F41" s="26"/>
      <c r="G41" s="26"/>
      <c r="H41" s="112"/>
      <c r="I41" s="113"/>
      <c r="J41" s="27"/>
      <c r="K41" s="27"/>
      <c r="L41" s="27"/>
      <c r="M41" s="27"/>
      <c r="N41" s="27"/>
      <c r="O41" s="28"/>
      <c r="P41" s="27"/>
    </row>
    <row r="42" spans="1:16" ht="13.9" customHeight="1" x14ac:dyDescent="0.25">
      <c r="A42" s="115" t="s">
        <v>23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29"/>
      <c r="M42" s="29"/>
      <c r="N42" s="29"/>
      <c r="O42" s="30"/>
      <c r="P42" s="31"/>
    </row>
    <row r="43" spans="1:16" ht="15.6" customHeight="1" x14ac:dyDescent="0.25">
      <c r="A43" s="39" t="s">
        <v>17</v>
      </c>
      <c r="B43" s="104"/>
      <c r="C43" s="33"/>
      <c r="D43" s="34"/>
      <c r="E43" s="34"/>
      <c r="F43" s="35"/>
      <c r="G43" s="36"/>
      <c r="H43" s="37"/>
      <c r="I43" s="38"/>
      <c r="J43" s="31"/>
      <c r="K43" s="31"/>
      <c r="L43" s="31"/>
      <c r="M43" s="31"/>
      <c r="N43" s="31"/>
      <c r="O43" s="30"/>
    </row>
    <row r="44" spans="1:16" x14ac:dyDescent="0.25">
      <c r="A44" s="32"/>
      <c r="B44" s="105"/>
      <c r="C44" s="33"/>
      <c r="D44" s="34"/>
      <c r="E44" s="34"/>
      <c r="F44" s="40"/>
      <c r="G44" s="36">
        <f>SUM(24-E44)</f>
        <v>24</v>
      </c>
      <c r="H44" s="37">
        <f>SUM(D44+F44)</f>
        <v>0</v>
      </c>
      <c r="I44" s="38">
        <f>SUM(D44/24*E44+H44/24*G44)</f>
        <v>0</v>
      </c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1"/>
      <c r="O48" s="30"/>
    </row>
    <row r="49" spans="1:16" ht="13.15" customHeight="1" x14ac:dyDescent="0.25">
      <c r="A49" s="41"/>
      <c r="B49" s="41"/>
      <c r="C49" s="42"/>
      <c r="D49" s="42"/>
      <c r="E49" s="42"/>
      <c r="F49" s="42"/>
      <c r="G49" s="42"/>
      <c r="H49" s="43"/>
      <c r="I49" s="31"/>
      <c r="J49" s="31"/>
      <c r="K49" s="31"/>
      <c r="L49" s="31"/>
      <c r="M49" s="31"/>
      <c r="N49" s="31"/>
      <c r="O49" s="30"/>
      <c r="P49" s="31"/>
    </row>
    <row r="50" spans="1:16" ht="15.75" thickBot="1" x14ac:dyDescent="0.3">
      <c r="A50" s="44" t="s">
        <v>18</v>
      </c>
      <c r="B50" s="44"/>
      <c r="C50" s="44"/>
      <c r="D50" s="44"/>
      <c r="E50" s="44"/>
      <c r="F50" s="45"/>
      <c r="G50" s="46"/>
      <c r="H50" s="43"/>
      <c r="I50" s="31"/>
      <c r="J50" s="31"/>
      <c r="K50" s="31"/>
      <c r="L50" s="31"/>
      <c r="M50" s="31"/>
      <c r="N50" s="31"/>
      <c r="O50" s="30"/>
      <c r="P50" s="31"/>
    </row>
    <row r="51" spans="1:16" ht="26.25" x14ac:dyDescent="0.25">
      <c r="A51" s="47" t="s">
        <v>19</v>
      </c>
      <c r="B51" s="106"/>
      <c r="C51" s="48" t="s">
        <v>13</v>
      </c>
      <c r="D51" s="49" t="s">
        <v>14</v>
      </c>
      <c r="E51" s="49" t="s">
        <v>15</v>
      </c>
      <c r="F51" s="50" t="s">
        <v>16</v>
      </c>
      <c r="G51" s="51" t="s">
        <v>20</v>
      </c>
      <c r="H51" s="52"/>
      <c r="I51" s="53"/>
      <c r="J51" s="54"/>
      <c r="K51" s="54"/>
    </row>
    <row r="52" spans="1:16" ht="15.75" x14ac:dyDescent="0.25">
      <c r="A52" s="55"/>
      <c r="B52" s="107"/>
      <c r="C52" s="56"/>
      <c r="D52" s="57"/>
      <c r="E52" s="58"/>
      <c r="F52" s="59"/>
      <c r="G52" s="60">
        <f>SUM(D52/24*E52)</f>
        <v>0</v>
      </c>
      <c r="H52" s="61"/>
      <c r="I52" s="62"/>
      <c r="J52" s="63"/>
      <c r="K52" s="63"/>
    </row>
    <row r="53" spans="1:16" x14ac:dyDescent="0.25">
      <c r="A53" s="64"/>
      <c r="B53" s="108"/>
      <c r="C53" s="65"/>
      <c r="D53" s="66"/>
      <c r="E53" s="58"/>
      <c r="F53" s="67"/>
      <c r="G53" s="68">
        <f>SUM(D53/24*E53)</f>
        <v>0</v>
      </c>
      <c r="H53" s="61"/>
      <c r="I53" s="62"/>
    </row>
    <row r="54" spans="1:16" x14ac:dyDescent="0.25">
      <c r="A54" s="64"/>
      <c r="B54" s="108"/>
      <c r="C54" s="65"/>
      <c r="D54" s="66"/>
      <c r="E54" s="58"/>
      <c r="F54" s="69"/>
      <c r="G54" s="68">
        <f>SUM(D54/24*E54)</f>
        <v>0</v>
      </c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6" ht="15.75" thickBot="1" x14ac:dyDescent="0.3">
      <c r="A56" s="70"/>
      <c r="B56" s="109"/>
      <c r="C56" s="71"/>
      <c r="D56" s="72"/>
      <c r="E56" s="73"/>
      <c r="F56" s="72"/>
      <c r="G56" s="74">
        <f>SUM(D56/24*E56)</f>
        <v>0</v>
      </c>
      <c r="H56" s="61"/>
      <c r="I56" s="62"/>
      <c r="J56" s="75"/>
      <c r="K56" s="75"/>
    </row>
    <row r="57" spans="1:16" s="81" customFormat="1" ht="30" customHeight="1" x14ac:dyDescent="0.25">
      <c r="A57" s="116" t="s">
        <v>21</v>
      </c>
      <c r="B57" s="117"/>
      <c r="C57" s="117"/>
      <c r="D57" s="118"/>
      <c r="E57" s="76">
        <f>SUM(E52:E56)</f>
        <v>0</v>
      </c>
      <c r="F57" s="77" t="s">
        <v>22</v>
      </c>
      <c r="G57" s="78">
        <f>SUM(G52:G56)</f>
        <v>0</v>
      </c>
      <c r="H57" s="79"/>
      <c r="I57" s="80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zoomScaleNormal="100" workbookViewId="0">
      <pane xSplit="1" ySplit="2" topLeftCell="B6" activePane="bottomRight" state="frozen"/>
      <selection pane="topRight" activeCell="B1" sqref="B1"/>
      <selection pane="bottomLeft" activeCell="A3" sqref="A3"/>
      <selection pane="bottomRight" activeCell="I34" sqref="I34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44621</v>
      </c>
      <c r="B3" s="93">
        <v>33</v>
      </c>
      <c r="C3" s="93">
        <v>20</v>
      </c>
      <c r="D3" s="93">
        <v>0</v>
      </c>
      <c r="E3" s="93">
        <v>39</v>
      </c>
      <c r="F3" s="93">
        <v>0</v>
      </c>
      <c r="G3" s="93">
        <v>0</v>
      </c>
      <c r="H3" s="93">
        <v>0</v>
      </c>
      <c r="I3" s="94" t="s">
        <v>30</v>
      </c>
      <c r="J3" s="97"/>
    </row>
    <row r="4" spans="1:10" x14ac:dyDescent="0.25">
      <c r="A4" s="12">
        <f>A3+1</f>
        <v>44622</v>
      </c>
      <c r="B4" s="93">
        <v>30</v>
      </c>
      <c r="C4" s="93">
        <v>23</v>
      </c>
      <c r="D4" s="93">
        <v>0</v>
      </c>
      <c r="E4" s="93">
        <v>35</v>
      </c>
      <c r="F4" s="93">
        <v>0</v>
      </c>
      <c r="G4" s="93">
        <v>0</v>
      </c>
      <c r="H4" s="93">
        <v>0</v>
      </c>
      <c r="I4" s="94" t="s">
        <v>30</v>
      </c>
      <c r="J4" s="97" t="s">
        <v>33</v>
      </c>
    </row>
    <row r="5" spans="1:10" x14ac:dyDescent="0.25">
      <c r="A5" s="12">
        <f t="shared" ref="A5:A33" si="0">A4+1</f>
        <v>44623</v>
      </c>
      <c r="B5" s="93">
        <v>47</v>
      </c>
      <c r="C5" s="93">
        <v>25</v>
      </c>
      <c r="D5" s="93">
        <v>0</v>
      </c>
      <c r="E5" s="93">
        <v>41</v>
      </c>
      <c r="F5" s="93">
        <v>0</v>
      </c>
      <c r="G5" s="93">
        <v>0.05</v>
      </c>
      <c r="H5" s="93">
        <v>0</v>
      </c>
      <c r="I5" s="94" t="s">
        <v>30</v>
      </c>
      <c r="J5" s="97"/>
    </row>
    <row r="6" spans="1:10" x14ac:dyDescent="0.25">
      <c r="A6" s="12">
        <f t="shared" si="0"/>
        <v>44624</v>
      </c>
      <c r="B6" s="93">
        <v>9</v>
      </c>
      <c r="C6" s="93">
        <v>25</v>
      </c>
      <c r="D6" s="93">
        <v>0</v>
      </c>
      <c r="E6" s="93">
        <v>49</v>
      </c>
      <c r="F6" s="93">
        <v>0</v>
      </c>
      <c r="G6" s="93">
        <v>0</v>
      </c>
      <c r="H6" s="93">
        <v>0</v>
      </c>
      <c r="I6" s="94" t="s">
        <v>30</v>
      </c>
      <c r="J6" s="97"/>
    </row>
    <row r="7" spans="1:10" x14ac:dyDescent="0.25">
      <c r="A7" s="12">
        <f t="shared" si="0"/>
        <v>44625</v>
      </c>
      <c r="B7" s="93">
        <v>17</v>
      </c>
      <c r="C7" s="93">
        <v>25</v>
      </c>
      <c r="D7" s="93">
        <v>0</v>
      </c>
      <c r="E7" s="93">
        <v>46</v>
      </c>
      <c r="F7" s="93">
        <v>0</v>
      </c>
      <c r="G7" s="93">
        <v>0</v>
      </c>
      <c r="H7" s="93">
        <v>0</v>
      </c>
      <c r="I7" s="94" t="s">
        <v>30</v>
      </c>
      <c r="J7" s="97"/>
    </row>
    <row r="8" spans="1:10" x14ac:dyDescent="0.25">
      <c r="A8" s="12">
        <f t="shared" si="0"/>
        <v>44626</v>
      </c>
      <c r="B8" s="93">
        <v>20</v>
      </c>
      <c r="C8" s="93">
        <v>25</v>
      </c>
      <c r="D8" s="93">
        <v>0</v>
      </c>
      <c r="E8" s="93">
        <v>44</v>
      </c>
      <c r="F8" s="93">
        <v>0</v>
      </c>
      <c r="G8" s="93">
        <v>0</v>
      </c>
      <c r="H8" s="93">
        <v>0</v>
      </c>
      <c r="I8" s="94" t="s">
        <v>30</v>
      </c>
      <c r="J8" s="97"/>
    </row>
    <row r="9" spans="1:10" x14ac:dyDescent="0.25">
      <c r="A9" s="102">
        <v>44262</v>
      </c>
      <c r="B9" s="93">
        <v>12</v>
      </c>
      <c r="C9" s="93">
        <v>25</v>
      </c>
      <c r="D9" s="93">
        <v>0</v>
      </c>
      <c r="E9" s="93">
        <v>42</v>
      </c>
      <c r="F9" s="93">
        <v>0.02</v>
      </c>
      <c r="G9" s="93">
        <v>0</v>
      </c>
      <c r="H9" s="93">
        <v>0</v>
      </c>
      <c r="I9" s="94" t="s">
        <v>30</v>
      </c>
      <c r="J9" s="97"/>
    </row>
    <row r="10" spans="1:10" x14ac:dyDescent="0.25">
      <c r="A10" s="102">
        <v>44263</v>
      </c>
      <c r="B10" s="93">
        <v>4</v>
      </c>
      <c r="C10" s="93">
        <v>25</v>
      </c>
      <c r="D10" s="93">
        <v>0</v>
      </c>
      <c r="E10" s="93">
        <v>40</v>
      </c>
      <c r="F10" s="93">
        <v>0</v>
      </c>
      <c r="G10" s="93">
        <v>0</v>
      </c>
      <c r="H10" s="93">
        <v>0</v>
      </c>
      <c r="I10" s="94" t="s">
        <v>30</v>
      </c>
      <c r="J10" s="97"/>
    </row>
    <row r="11" spans="1:10" x14ac:dyDescent="0.25">
      <c r="A11" s="102">
        <v>44264</v>
      </c>
      <c r="B11" s="93">
        <v>42</v>
      </c>
      <c r="C11" s="93">
        <v>25</v>
      </c>
      <c r="D11" s="93">
        <v>0</v>
      </c>
      <c r="E11" s="93">
        <v>43</v>
      </c>
      <c r="F11" s="93">
        <v>0</v>
      </c>
      <c r="G11" s="93">
        <v>0</v>
      </c>
      <c r="H11" s="93">
        <v>0</v>
      </c>
      <c r="I11" s="94" t="s">
        <v>30</v>
      </c>
      <c r="J11" s="97"/>
    </row>
    <row r="12" spans="1:10" x14ac:dyDescent="0.25">
      <c r="A12" s="102">
        <v>44265</v>
      </c>
      <c r="B12" s="93">
        <v>11</v>
      </c>
      <c r="C12" s="93">
        <v>25</v>
      </c>
      <c r="D12" s="93">
        <v>0</v>
      </c>
      <c r="E12" s="93">
        <v>32</v>
      </c>
      <c r="F12" s="93">
        <v>0</v>
      </c>
      <c r="G12" s="93">
        <v>0</v>
      </c>
      <c r="H12" s="93">
        <v>0</v>
      </c>
      <c r="I12" s="94" t="s">
        <v>30</v>
      </c>
      <c r="J12" s="97"/>
    </row>
    <row r="13" spans="1:10" x14ac:dyDescent="0.25">
      <c r="A13" s="102">
        <v>44266</v>
      </c>
      <c r="B13" s="93">
        <v>32</v>
      </c>
      <c r="C13" s="93">
        <v>25</v>
      </c>
      <c r="D13" s="93">
        <v>0</v>
      </c>
      <c r="E13" s="93">
        <v>28</v>
      </c>
      <c r="F13" s="93">
        <v>0</v>
      </c>
      <c r="G13" s="93">
        <v>0</v>
      </c>
      <c r="H13" s="93">
        <v>0</v>
      </c>
      <c r="I13" s="94" t="s">
        <v>30</v>
      </c>
      <c r="J13" s="92"/>
    </row>
    <row r="14" spans="1:10" x14ac:dyDescent="0.25">
      <c r="A14" s="102">
        <v>44267</v>
      </c>
      <c r="B14" s="93">
        <v>21</v>
      </c>
      <c r="C14" s="93">
        <v>25</v>
      </c>
      <c r="D14" s="93">
        <v>0</v>
      </c>
      <c r="E14" s="93">
        <v>29</v>
      </c>
      <c r="F14" s="93">
        <v>0</v>
      </c>
      <c r="G14" s="93">
        <v>0</v>
      </c>
      <c r="H14" s="93">
        <v>0</v>
      </c>
      <c r="I14" s="94" t="s">
        <v>30</v>
      </c>
      <c r="J14" s="92"/>
    </row>
    <row r="15" spans="1:10" x14ac:dyDescent="0.25">
      <c r="A15" s="102">
        <v>44268</v>
      </c>
      <c r="B15" s="93">
        <v>48</v>
      </c>
      <c r="C15" s="93">
        <v>25</v>
      </c>
      <c r="D15" s="93">
        <v>0</v>
      </c>
      <c r="E15" s="93">
        <v>30</v>
      </c>
      <c r="F15" s="93">
        <v>0</v>
      </c>
      <c r="G15" s="93">
        <v>0</v>
      </c>
      <c r="H15" s="93">
        <v>0</v>
      </c>
      <c r="I15" s="94" t="s">
        <v>30</v>
      </c>
      <c r="J15" s="92"/>
    </row>
    <row r="16" spans="1:10" x14ac:dyDescent="0.25">
      <c r="A16" s="102">
        <v>44269</v>
      </c>
      <c r="B16" s="93">
        <v>28</v>
      </c>
      <c r="C16" s="93">
        <v>25</v>
      </c>
      <c r="D16" s="93">
        <v>0</v>
      </c>
      <c r="E16" s="93">
        <v>31</v>
      </c>
      <c r="F16" s="93">
        <v>0</v>
      </c>
      <c r="G16" s="93">
        <v>0</v>
      </c>
      <c r="H16" s="93">
        <v>0</v>
      </c>
      <c r="I16" s="94" t="s">
        <v>30</v>
      </c>
      <c r="J16" s="97"/>
    </row>
    <row r="17" spans="1:10" x14ac:dyDescent="0.25">
      <c r="A17" s="12">
        <f t="shared" si="0"/>
        <v>44270</v>
      </c>
      <c r="B17" s="93">
        <v>30</v>
      </c>
      <c r="C17" s="93">
        <v>25</v>
      </c>
      <c r="D17" s="93">
        <v>0</v>
      </c>
      <c r="E17" s="93">
        <v>32</v>
      </c>
      <c r="F17" s="93">
        <v>0</v>
      </c>
      <c r="G17" s="93">
        <v>0</v>
      </c>
      <c r="H17" s="93">
        <v>0</v>
      </c>
      <c r="I17" s="94" t="s">
        <v>30</v>
      </c>
      <c r="J17" s="97"/>
    </row>
    <row r="18" spans="1:10" x14ac:dyDescent="0.25">
      <c r="A18" s="12">
        <f t="shared" si="0"/>
        <v>44271</v>
      </c>
      <c r="B18" s="93">
        <v>29</v>
      </c>
      <c r="C18" s="93">
        <v>25</v>
      </c>
      <c r="D18" s="93">
        <v>0</v>
      </c>
      <c r="E18" s="93">
        <v>32</v>
      </c>
      <c r="F18" s="93">
        <v>0</v>
      </c>
      <c r="G18" s="93">
        <v>0</v>
      </c>
      <c r="H18" s="93">
        <v>0</v>
      </c>
      <c r="I18" s="94" t="s">
        <v>30</v>
      </c>
      <c r="J18" s="97"/>
    </row>
    <row r="19" spans="1:10" x14ac:dyDescent="0.25">
      <c r="A19" s="12">
        <f t="shared" si="0"/>
        <v>44272</v>
      </c>
      <c r="B19" s="93">
        <v>17</v>
      </c>
      <c r="C19" s="93">
        <v>25</v>
      </c>
      <c r="D19" s="93">
        <v>0</v>
      </c>
      <c r="E19" s="93">
        <v>33</v>
      </c>
      <c r="F19" s="93">
        <v>0</v>
      </c>
      <c r="G19" s="93">
        <v>0</v>
      </c>
      <c r="H19" s="93">
        <v>0</v>
      </c>
      <c r="I19" s="94" t="s">
        <v>30</v>
      </c>
      <c r="J19" s="97"/>
    </row>
    <row r="20" spans="1:10" x14ac:dyDescent="0.25">
      <c r="A20" s="12">
        <f t="shared" si="0"/>
        <v>44273</v>
      </c>
      <c r="B20" s="93">
        <v>32</v>
      </c>
      <c r="C20" s="93">
        <v>25</v>
      </c>
      <c r="D20" s="93">
        <v>0</v>
      </c>
      <c r="E20" s="93">
        <v>33</v>
      </c>
      <c r="F20" s="93">
        <v>0</v>
      </c>
      <c r="G20" s="93">
        <v>0</v>
      </c>
      <c r="H20" s="93">
        <v>0</v>
      </c>
      <c r="I20" s="94" t="s">
        <v>30</v>
      </c>
      <c r="J20" s="97"/>
    </row>
    <row r="21" spans="1:10" x14ac:dyDescent="0.25">
      <c r="A21" s="12">
        <f t="shared" si="0"/>
        <v>44274</v>
      </c>
      <c r="B21" s="93">
        <v>27</v>
      </c>
      <c r="C21" s="93">
        <v>25</v>
      </c>
      <c r="D21" s="93">
        <v>0</v>
      </c>
      <c r="E21" s="93">
        <v>33</v>
      </c>
      <c r="F21" s="93">
        <v>0.06</v>
      </c>
      <c r="G21" s="93">
        <v>0</v>
      </c>
      <c r="H21" s="93">
        <v>0</v>
      </c>
      <c r="I21" s="94" t="s">
        <v>30</v>
      </c>
      <c r="J21" s="97"/>
    </row>
    <row r="22" spans="1:10" x14ac:dyDescent="0.25">
      <c r="A22" s="12">
        <f t="shared" si="0"/>
        <v>44275</v>
      </c>
      <c r="B22" s="93">
        <v>30</v>
      </c>
      <c r="C22" s="93">
        <v>25</v>
      </c>
      <c r="D22" s="93">
        <v>0</v>
      </c>
      <c r="E22" s="93">
        <v>33</v>
      </c>
      <c r="F22" s="93">
        <v>0</v>
      </c>
      <c r="G22" s="93">
        <v>0</v>
      </c>
      <c r="H22" s="93">
        <v>0</v>
      </c>
      <c r="I22" s="94" t="s">
        <v>30</v>
      </c>
      <c r="J22" s="97"/>
    </row>
    <row r="23" spans="1:10" x14ac:dyDescent="0.25">
      <c r="A23" s="12">
        <f t="shared" si="0"/>
        <v>44276</v>
      </c>
      <c r="B23" s="93">
        <v>34</v>
      </c>
      <c r="C23" s="93">
        <v>25</v>
      </c>
      <c r="D23" s="93">
        <v>0</v>
      </c>
      <c r="E23" s="93">
        <v>33</v>
      </c>
      <c r="F23" s="93">
        <v>0</v>
      </c>
      <c r="G23" s="93">
        <v>0</v>
      </c>
      <c r="H23" s="93">
        <v>0</v>
      </c>
      <c r="I23" s="94" t="s">
        <v>30</v>
      </c>
      <c r="J23" s="97"/>
    </row>
    <row r="24" spans="1:10" x14ac:dyDescent="0.25">
      <c r="A24" s="12">
        <f t="shared" si="0"/>
        <v>44277</v>
      </c>
      <c r="B24" s="93">
        <v>39</v>
      </c>
      <c r="C24" s="93">
        <v>25</v>
      </c>
      <c r="D24" s="93">
        <v>0</v>
      </c>
      <c r="E24" s="93">
        <v>33</v>
      </c>
      <c r="F24" s="93">
        <v>0</v>
      </c>
      <c r="G24" s="93">
        <v>0</v>
      </c>
      <c r="H24" s="93">
        <v>0</v>
      </c>
      <c r="I24" s="94" t="s">
        <v>30</v>
      </c>
      <c r="J24" s="92"/>
    </row>
    <row r="25" spans="1:10" x14ac:dyDescent="0.25">
      <c r="A25" s="12">
        <f t="shared" si="0"/>
        <v>44278</v>
      </c>
      <c r="B25" s="93">
        <v>24</v>
      </c>
      <c r="C25" s="93">
        <v>52</v>
      </c>
      <c r="D25" s="93">
        <v>0</v>
      </c>
      <c r="E25" s="93">
        <v>34</v>
      </c>
      <c r="F25" s="93">
        <v>0</v>
      </c>
      <c r="G25" s="93">
        <v>0</v>
      </c>
      <c r="H25" s="93">
        <v>0</v>
      </c>
      <c r="I25" s="94" t="s">
        <v>30</v>
      </c>
      <c r="J25" s="92" t="s">
        <v>48</v>
      </c>
    </row>
    <row r="26" spans="1:10" x14ac:dyDescent="0.25">
      <c r="A26" s="12">
        <f t="shared" si="0"/>
        <v>44279</v>
      </c>
      <c r="B26" s="93">
        <v>22</v>
      </c>
      <c r="C26" s="93">
        <v>75</v>
      </c>
      <c r="D26" s="93">
        <v>0</v>
      </c>
      <c r="E26" s="93">
        <v>68</v>
      </c>
      <c r="F26" s="93">
        <v>0</v>
      </c>
      <c r="G26" s="93">
        <v>0</v>
      </c>
      <c r="H26" s="93">
        <v>0</v>
      </c>
      <c r="I26" s="94" t="s">
        <v>30</v>
      </c>
      <c r="J26" s="92"/>
    </row>
    <row r="27" spans="1:10" x14ac:dyDescent="0.25">
      <c r="A27" s="12">
        <f t="shared" si="0"/>
        <v>44280</v>
      </c>
      <c r="B27" s="93">
        <v>22</v>
      </c>
      <c r="C27" s="93">
        <v>75</v>
      </c>
      <c r="D27" s="93">
        <v>0</v>
      </c>
      <c r="E27" s="93">
        <v>80</v>
      </c>
      <c r="F27" s="93">
        <v>0</v>
      </c>
      <c r="G27" s="93">
        <v>0</v>
      </c>
      <c r="H27" s="93">
        <v>0</v>
      </c>
      <c r="I27" s="94" t="s">
        <v>30</v>
      </c>
      <c r="J27" s="92"/>
    </row>
    <row r="28" spans="1:10" x14ac:dyDescent="0.25">
      <c r="A28" s="12">
        <f t="shared" si="0"/>
        <v>44281</v>
      </c>
      <c r="B28" s="93">
        <v>18</v>
      </c>
      <c r="C28" s="93">
        <v>66</v>
      </c>
      <c r="D28" s="93">
        <v>0</v>
      </c>
      <c r="E28" s="93">
        <v>79</v>
      </c>
      <c r="F28" s="93">
        <v>0</v>
      </c>
      <c r="G28" s="93">
        <v>0</v>
      </c>
      <c r="H28" s="93">
        <v>0</v>
      </c>
      <c r="I28" s="94" t="s">
        <v>30</v>
      </c>
      <c r="J28" s="92" t="s">
        <v>49</v>
      </c>
    </row>
    <row r="29" spans="1:10" x14ac:dyDescent="0.25">
      <c r="A29" s="12">
        <f t="shared" si="0"/>
        <v>44282</v>
      </c>
      <c r="B29" s="93">
        <v>18</v>
      </c>
      <c r="C29" s="93">
        <v>50</v>
      </c>
      <c r="D29" s="93">
        <v>0</v>
      </c>
      <c r="E29" s="93">
        <v>78</v>
      </c>
      <c r="F29" s="93">
        <v>0</v>
      </c>
      <c r="G29" s="93">
        <v>0</v>
      </c>
      <c r="H29" s="93">
        <v>0</v>
      </c>
      <c r="I29" s="94" t="s">
        <v>30</v>
      </c>
      <c r="J29" s="92"/>
    </row>
    <row r="30" spans="1:10" x14ac:dyDescent="0.25">
      <c r="A30" s="12">
        <f t="shared" si="0"/>
        <v>44283</v>
      </c>
      <c r="B30" s="93">
        <v>27</v>
      </c>
      <c r="C30" s="93">
        <v>44</v>
      </c>
      <c r="D30" s="93">
        <v>0</v>
      </c>
      <c r="E30" s="93">
        <v>64</v>
      </c>
      <c r="F30" s="93">
        <v>0</v>
      </c>
      <c r="G30" s="93">
        <v>0</v>
      </c>
      <c r="H30" s="93">
        <v>0</v>
      </c>
      <c r="I30" s="94" t="s">
        <v>30</v>
      </c>
      <c r="J30" s="92" t="s">
        <v>50</v>
      </c>
    </row>
    <row r="31" spans="1:10" x14ac:dyDescent="0.25">
      <c r="A31" s="12">
        <f t="shared" si="0"/>
        <v>44284</v>
      </c>
      <c r="B31" s="93">
        <v>27</v>
      </c>
      <c r="C31" s="93">
        <v>40</v>
      </c>
      <c r="D31" s="93">
        <v>0</v>
      </c>
      <c r="E31" s="93">
        <v>58</v>
      </c>
      <c r="F31" s="93">
        <v>0</v>
      </c>
      <c r="G31" s="93">
        <v>0</v>
      </c>
      <c r="H31" s="93">
        <v>0</v>
      </c>
      <c r="I31" s="94" t="s">
        <v>30</v>
      </c>
      <c r="J31" s="92"/>
    </row>
    <row r="32" spans="1:10" x14ac:dyDescent="0.25">
      <c r="A32" s="12">
        <f t="shared" si="0"/>
        <v>44285</v>
      </c>
      <c r="B32" s="93">
        <v>14</v>
      </c>
      <c r="C32" s="93">
        <v>40</v>
      </c>
      <c r="D32" s="93">
        <v>0</v>
      </c>
      <c r="E32" s="93">
        <v>60</v>
      </c>
      <c r="F32" s="93" t="s">
        <v>29</v>
      </c>
      <c r="G32" s="93">
        <v>0</v>
      </c>
      <c r="H32" s="93">
        <v>0</v>
      </c>
      <c r="I32" s="94" t="s">
        <v>30</v>
      </c>
      <c r="J32" s="92"/>
    </row>
    <row r="33" spans="1:16" ht="15.75" thickBot="1" x14ac:dyDescent="0.3">
      <c r="A33" s="12">
        <f t="shared" si="0"/>
        <v>44286</v>
      </c>
      <c r="B33" s="93">
        <v>19</v>
      </c>
      <c r="C33" s="93">
        <v>40</v>
      </c>
      <c r="D33" s="93">
        <v>0</v>
      </c>
      <c r="E33" s="93">
        <v>52</v>
      </c>
      <c r="F33" s="93">
        <v>0</v>
      </c>
      <c r="G33" s="93">
        <v>0</v>
      </c>
      <c r="H33" s="93">
        <v>0</v>
      </c>
      <c r="I33" s="94" t="s">
        <v>30</v>
      </c>
      <c r="J33" s="92"/>
    </row>
    <row r="34" spans="1:16" s="11" customFormat="1" ht="15.75" thickTop="1" x14ac:dyDescent="0.25">
      <c r="A34" s="15" t="s">
        <v>8</v>
      </c>
      <c r="B34" s="16">
        <f t="shared" ref="B34" si="1">SUM(B3:B33)</f>
        <v>783</v>
      </c>
      <c r="C34" s="16">
        <f t="shared" ref="C34:H34" si="2">SUM(C3:C33)</f>
        <v>1025</v>
      </c>
      <c r="D34" s="16">
        <f t="shared" si="2"/>
        <v>0</v>
      </c>
      <c r="E34" s="16">
        <f t="shared" si="2"/>
        <v>1364</v>
      </c>
      <c r="F34" s="17">
        <f t="shared" si="2"/>
        <v>0.08</v>
      </c>
      <c r="G34" s="17">
        <f t="shared" si="2"/>
        <v>0.05</v>
      </c>
      <c r="H34" s="16">
        <f t="shared" si="2"/>
        <v>0</v>
      </c>
      <c r="I34" s="17"/>
    </row>
    <row r="35" spans="1:16" s="11" customFormat="1" x14ac:dyDescent="0.25">
      <c r="A35" s="18" t="s">
        <v>9</v>
      </c>
      <c r="B35" s="19">
        <f>SUM(B34+'Feb 2022'!B33)</f>
        <v>6156</v>
      </c>
      <c r="C35" s="19">
        <f>SUM(C34+'Feb 2022'!C33)</f>
        <v>3389</v>
      </c>
      <c r="D35" s="19">
        <f>SUM(D34+'Feb 2022'!D33)</f>
        <v>0</v>
      </c>
      <c r="E35" s="19">
        <f>SUM(E34+'Feb 2022'!E33)</f>
        <v>5403</v>
      </c>
      <c r="F35" s="20">
        <f>SUM(F34+'Feb 2022'!F33)</f>
        <v>3.8900000000000006</v>
      </c>
      <c r="G35" s="20">
        <f>SUM(G34+'Feb 2022'!G33)</f>
        <v>13.55</v>
      </c>
      <c r="H35" s="19">
        <f>SUM(H34+'Feb 2022'!H33)</f>
        <v>0</v>
      </c>
      <c r="I35" s="20"/>
    </row>
    <row r="37" spans="1:16" x14ac:dyDescent="0.25">
      <c r="A37" t="s">
        <v>10</v>
      </c>
      <c r="B37" s="22">
        <f>SUM(B3:B33)*1.9835</f>
        <v>1553.0805</v>
      </c>
      <c r="C37" s="22">
        <f>SUM(C3:C33)*1.9835</f>
        <v>2033.0875000000001</v>
      </c>
      <c r="D37" s="22">
        <f>SUM(D3:D33)*1.9835</f>
        <v>0</v>
      </c>
      <c r="E37" s="22">
        <f>SUM(E3:E33)*1.9835</f>
        <v>2705.4940000000001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SUM(B37+'Feb 2022'!B37)</f>
        <v>12210.425999999999</v>
      </c>
      <c r="C39" s="22">
        <f>SUM(C37+'Feb 2022'!C37)</f>
        <v>6722.0815000000002</v>
      </c>
      <c r="D39" s="22">
        <f>SUM(D37+'Feb 2022'!D37)</f>
        <v>0</v>
      </c>
      <c r="E39" s="22">
        <f>SUM(E37+'Feb 2022'!E37)</f>
        <v>10716.8505</v>
      </c>
      <c r="F39" s="22"/>
      <c r="G39" s="22"/>
      <c r="H39" s="22"/>
      <c r="J39" s="21"/>
    </row>
    <row r="40" spans="1:16" x14ac:dyDescent="0.25">
      <c r="C40" s="22"/>
      <c r="D40" s="22"/>
      <c r="E40" s="23"/>
      <c r="F40" s="22"/>
      <c r="G40" s="22"/>
      <c r="H40" s="22"/>
      <c r="J40" s="21"/>
    </row>
    <row r="41" spans="1:16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  <c r="L41" s="27"/>
      <c r="M41" s="27"/>
      <c r="N41" s="27"/>
      <c r="O41" s="28"/>
      <c r="P41" s="27"/>
    </row>
    <row r="42" spans="1:16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7"/>
      <c r="O42" s="28"/>
      <c r="P42" s="27"/>
    </row>
    <row r="43" spans="1:16" ht="13.9" customHeight="1" x14ac:dyDescent="0.25">
      <c r="A43" s="115" t="s">
        <v>23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29"/>
      <c r="M43" s="29"/>
      <c r="N43" s="29"/>
      <c r="O43" s="30"/>
      <c r="P43" s="31"/>
    </row>
    <row r="44" spans="1:16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1"/>
      <c r="O48" s="30"/>
    </row>
    <row r="49" spans="1:16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1"/>
      <c r="O49" s="30"/>
    </row>
    <row r="50" spans="1:16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1"/>
      <c r="O50" s="30"/>
      <c r="P50" s="31"/>
    </row>
    <row r="51" spans="1:16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1"/>
      <c r="O51" s="30"/>
      <c r="P51" s="31"/>
    </row>
    <row r="52" spans="1:16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  <c r="K52" s="54"/>
    </row>
    <row r="53" spans="1:16" ht="15.75" x14ac:dyDescent="0.25">
      <c r="A53" s="55"/>
      <c r="B53" s="107"/>
      <c r="C53" s="56"/>
      <c r="D53" s="57"/>
      <c r="E53" s="58"/>
      <c r="F53" s="59"/>
      <c r="G53" s="60">
        <f>SUM(D53/24*E53)</f>
        <v>0</v>
      </c>
      <c r="H53" s="61"/>
      <c r="I53" s="62"/>
      <c r="J53" s="63"/>
      <c r="K53" s="63"/>
    </row>
    <row r="54" spans="1:16" x14ac:dyDescent="0.25">
      <c r="A54" s="64"/>
      <c r="B54" s="108"/>
      <c r="C54" s="65"/>
      <c r="D54" s="66"/>
      <c r="E54" s="58"/>
      <c r="F54" s="67"/>
      <c r="G54" s="68">
        <f>SUM(D54/24*E54)</f>
        <v>0</v>
      </c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6" x14ac:dyDescent="0.25">
      <c r="A56" s="64"/>
      <c r="B56" s="108"/>
      <c r="C56" s="65"/>
      <c r="D56" s="66"/>
      <c r="E56" s="58"/>
      <c r="F56" s="69"/>
      <c r="G56" s="68">
        <f>SUM(D56/24*E56)</f>
        <v>0</v>
      </c>
      <c r="H56" s="61"/>
      <c r="I56" s="62"/>
    </row>
    <row r="57" spans="1:16" ht="15.75" thickBot="1" x14ac:dyDescent="0.3">
      <c r="A57" s="70"/>
      <c r="B57" s="109"/>
      <c r="C57" s="71"/>
      <c r="D57" s="72"/>
      <c r="E57" s="73"/>
      <c r="F57" s="72"/>
      <c r="G57" s="74">
        <f>SUM(D57/24*E57)</f>
        <v>0</v>
      </c>
      <c r="H57" s="61"/>
      <c r="I57" s="62"/>
      <c r="J57" s="75"/>
      <c r="K57" s="75"/>
    </row>
    <row r="58" spans="1:16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1" sqref="I31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44593</v>
      </c>
      <c r="B3" s="93">
        <v>33</v>
      </c>
      <c r="C3" s="93">
        <v>30</v>
      </c>
      <c r="D3" s="93">
        <v>0</v>
      </c>
      <c r="E3" s="93">
        <v>34</v>
      </c>
      <c r="F3" s="93">
        <v>0</v>
      </c>
      <c r="G3" s="93">
        <v>0</v>
      </c>
      <c r="H3" s="93">
        <v>0</v>
      </c>
      <c r="I3" s="94" t="s">
        <v>30</v>
      </c>
      <c r="J3" s="92" t="s">
        <v>41</v>
      </c>
    </row>
    <row r="4" spans="1:10" x14ac:dyDescent="0.25">
      <c r="A4" s="12">
        <f>A3+1</f>
        <v>44594</v>
      </c>
      <c r="B4" s="93">
        <v>37</v>
      </c>
      <c r="C4" s="93">
        <v>35</v>
      </c>
      <c r="D4" s="93">
        <v>0</v>
      </c>
      <c r="E4" s="93">
        <v>29</v>
      </c>
      <c r="F4" s="93">
        <v>0</v>
      </c>
      <c r="G4" s="93">
        <v>0</v>
      </c>
      <c r="H4" s="93">
        <v>0</v>
      </c>
      <c r="I4" s="94" t="s">
        <v>30</v>
      </c>
      <c r="J4" s="92"/>
    </row>
    <row r="5" spans="1:10" x14ac:dyDescent="0.25">
      <c r="A5" s="12">
        <f t="shared" ref="A5:A30" si="0">A4+1</f>
        <v>44595</v>
      </c>
      <c r="B5" s="93">
        <v>32</v>
      </c>
      <c r="C5" s="93">
        <v>35</v>
      </c>
      <c r="D5" s="93">
        <v>0</v>
      </c>
      <c r="E5" s="93">
        <v>28</v>
      </c>
      <c r="F5" s="93">
        <v>0</v>
      </c>
      <c r="G5" s="93">
        <v>0</v>
      </c>
      <c r="H5" s="93">
        <v>0</v>
      </c>
      <c r="I5" s="94" t="s">
        <v>30</v>
      </c>
      <c r="J5" s="92"/>
    </row>
    <row r="6" spans="1:10" x14ac:dyDescent="0.25">
      <c r="A6" s="12">
        <f t="shared" si="0"/>
        <v>44596</v>
      </c>
      <c r="B6" s="93">
        <v>32</v>
      </c>
      <c r="C6" s="93">
        <v>35</v>
      </c>
      <c r="D6" s="93">
        <v>0</v>
      </c>
      <c r="E6" s="93">
        <v>26</v>
      </c>
      <c r="F6" s="93">
        <v>0</v>
      </c>
      <c r="G6" s="93">
        <v>0</v>
      </c>
      <c r="H6" s="93">
        <v>0</v>
      </c>
      <c r="I6" s="94" t="s">
        <v>30</v>
      </c>
      <c r="J6" s="92"/>
    </row>
    <row r="7" spans="1:10" x14ac:dyDescent="0.25">
      <c r="A7" s="12">
        <f t="shared" si="0"/>
        <v>44597</v>
      </c>
      <c r="B7" s="93">
        <v>30</v>
      </c>
      <c r="C7" s="93">
        <v>35</v>
      </c>
      <c r="D7" s="93">
        <v>0</v>
      </c>
      <c r="E7" s="93">
        <v>26</v>
      </c>
      <c r="F7" s="93">
        <v>0</v>
      </c>
      <c r="G7" s="93">
        <v>0</v>
      </c>
      <c r="H7" s="93">
        <v>0</v>
      </c>
      <c r="I7" s="94" t="s">
        <v>30</v>
      </c>
      <c r="J7" s="92"/>
    </row>
    <row r="8" spans="1:10" x14ac:dyDescent="0.25">
      <c r="A8" s="12">
        <f t="shared" si="0"/>
        <v>44598</v>
      </c>
      <c r="B8" s="93">
        <v>29</v>
      </c>
      <c r="C8" s="93">
        <v>35</v>
      </c>
      <c r="D8" s="93">
        <v>0</v>
      </c>
      <c r="E8" s="93">
        <v>27</v>
      </c>
      <c r="F8" s="93">
        <v>0</v>
      </c>
      <c r="G8" s="93">
        <v>0</v>
      </c>
      <c r="H8" s="93">
        <v>0</v>
      </c>
      <c r="I8" s="94" t="s">
        <v>30</v>
      </c>
      <c r="J8" s="92"/>
    </row>
    <row r="9" spans="1:10" x14ac:dyDescent="0.25">
      <c r="A9" s="12">
        <f t="shared" si="0"/>
        <v>44599</v>
      </c>
      <c r="B9" s="93">
        <v>29</v>
      </c>
      <c r="C9" s="93">
        <v>32</v>
      </c>
      <c r="D9" s="93">
        <v>0</v>
      </c>
      <c r="E9" s="93">
        <v>27</v>
      </c>
      <c r="F9" s="93">
        <v>0</v>
      </c>
      <c r="G9" s="93">
        <v>0</v>
      </c>
      <c r="H9" s="93">
        <v>0</v>
      </c>
      <c r="I9" s="94" t="s">
        <v>30</v>
      </c>
      <c r="J9" s="92" t="s">
        <v>42</v>
      </c>
    </row>
    <row r="10" spans="1:10" x14ac:dyDescent="0.25">
      <c r="A10" s="12">
        <f t="shared" si="0"/>
        <v>44600</v>
      </c>
      <c r="B10" s="93">
        <v>28</v>
      </c>
      <c r="C10" s="93">
        <v>28</v>
      </c>
      <c r="D10" s="93">
        <v>0</v>
      </c>
      <c r="E10" s="93">
        <v>27</v>
      </c>
      <c r="F10" s="93">
        <v>0</v>
      </c>
      <c r="G10" s="93">
        <v>0</v>
      </c>
      <c r="H10" s="93">
        <v>0</v>
      </c>
      <c r="I10" s="94" t="s">
        <v>30</v>
      </c>
      <c r="J10" s="92"/>
    </row>
    <row r="11" spans="1:10" x14ac:dyDescent="0.25">
      <c r="A11" s="12">
        <f t="shared" si="0"/>
        <v>44601</v>
      </c>
      <c r="B11" s="93">
        <v>27</v>
      </c>
      <c r="C11" s="93">
        <v>28</v>
      </c>
      <c r="D11" s="93">
        <v>0</v>
      </c>
      <c r="E11" s="93">
        <v>27</v>
      </c>
      <c r="F11" s="93">
        <v>0</v>
      </c>
      <c r="G11" s="93">
        <v>0</v>
      </c>
      <c r="H11" s="93">
        <v>0</v>
      </c>
      <c r="I11" s="94" t="s">
        <v>30</v>
      </c>
      <c r="J11" s="92"/>
    </row>
    <row r="12" spans="1:10" x14ac:dyDescent="0.25">
      <c r="A12" s="12">
        <f t="shared" si="0"/>
        <v>44602</v>
      </c>
      <c r="B12" s="93">
        <v>31</v>
      </c>
      <c r="C12" s="93">
        <v>28</v>
      </c>
      <c r="D12" s="93">
        <v>0</v>
      </c>
      <c r="E12" s="93">
        <v>27</v>
      </c>
      <c r="F12" s="93">
        <v>0</v>
      </c>
      <c r="G12" s="93">
        <v>0</v>
      </c>
      <c r="H12" s="93">
        <v>0</v>
      </c>
      <c r="I12" s="94" t="s">
        <v>30</v>
      </c>
      <c r="J12" s="92"/>
    </row>
    <row r="13" spans="1:10" x14ac:dyDescent="0.25">
      <c r="A13" s="12">
        <f t="shared" si="0"/>
        <v>44603</v>
      </c>
      <c r="B13" s="93">
        <v>32</v>
      </c>
      <c r="C13" s="93">
        <v>28</v>
      </c>
      <c r="D13" s="93">
        <v>0</v>
      </c>
      <c r="E13" s="93">
        <v>27</v>
      </c>
      <c r="F13" s="93">
        <v>0</v>
      </c>
      <c r="G13" s="93">
        <v>0</v>
      </c>
      <c r="H13" s="93">
        <v>0</v>
      </c>
      <c r="I13" s="94" t="s">
        <v>30</v>
      </c>
      <c r="J13" s="92"/>
    </row>
    <row r="14" spans="1:10" x14ac:dyDescent="0.25">
      <c r="A14" s="12">
        <f t="shared" si="0"/>
        <v>44604</v>
      </c>
      <c r="B14" s="93">
        <v>38</v>
      </c>
      <c r="C14" s="93">
        <v>28</v>
      </c>
      <c r="D14" s="93">
        <v>0</v>
      </c>
      <c r="E14" s="93">
        <v>27</v>
      </c>
      <c r="F14" s="93">
        <v>0</v>
      </c>
      <c r="G14" s="93">
        <v>0</v>
      </c>
      <c r="H14" s="93">
        <v>0</v>
      </c>
      <c r="I14" s="94" t="s">
        <v>30</v>
      </c>
      <c r="J14" s="92"/>
    </row>
    <row r="15" spans="1:10" x14ac:dyDescent="0.25">
      <c r="A15" s="12">
        <f t="shared" si="0"/>
        <v>44605</v>
      </c>
      <c r="B15" s="93">
        <v>31</v>
      </c>
      <c r="C15" s="93">
        <v>28</v>
      </c>
      <c r="D15" s="93">
        <v>0</v>
      </c>
      <c r="E15" s="93">
        <v>27</v>
      </c>
      <c r="F15" s="93">
        <v>0</v>
      </c>
      <c r="G15" s="93">
        <v>0</v>
      </c>
      <c r="H15" s="93">
        <v>0</v>
      </c>
      <c r="I15" s="94" t="s">
        <v>30</v>
      </c>
      <c r="J15" s="92"/>
    </row>
    <row r="16" spans="1:10" x14ac:dyDescent="0.25">
      <c r="A16" s="12">
        <f t="shared" si="0"/>
        <v>44606</v>
      </c>
      <c r="B16" s="93">
        <v>36</v>
      </c>
      <c r="C16" s="93">
        <v>28</v>
      </c>
      <c r="D16" s="93">
        <v>0</v>
      </c>
      <c r="E16" s="93">
        <v>27</v>
      </c>
      <c r="F16" s="93">
        <v>0</v>
      </c>
      <c r="G16" s="93">
        <v>0</v>
      </c>
      <c r="H16" s="93">
        <v>0</v>
      </c>
      <c r="I16" s="94" t="s">
        <v>30</v>
      </c>
      <c r="J16" s="92"/>
    </row>
    <row r="17" spans="1:10" x14ac:dyDescent="0.25">
      <c r="A17" s="12">
        <f t="shared" si="0"/>
        <v>44607</v>
      </c>
      <c r="B17" s="93">
        <v>41</v>
      </c>
      <c r="C17" s="93">
        <v>31</v>
      </c>
      <c r="D17" s="93">
        <v>0</v>
      </c>
      <c r="E17" s="93">
        <v>27</v>
      </c>
      <c r="F17" s="93">
        <v>0</v>
      </c>
      <c r="G17" s="93">
        <v>0</v>
      </c>
      <c r="H17" s="93">
        <v>0</v>
      </c>
      <c r="I17" s="94" t="s">
        <v>30</v>
      </c>
      <c r="J17" s="92" t="s">
        <v>44</v>
      </c>
    </row>
    <row r="18" spans="1:10" x14ac:dyDescent="0.25">
      <c r="A18" s="12">
        <f t="shared" si="0"/>
        <v>44608</v>
      </c>
      <c r="B18" s="93">
        <v>35</v>
      </c>
      <c r="C18" s="93">
        <v>33</v>
      </c>
      <c r="D18" s="93">
        <v>0</v>
      </c>
      <c r="E18" s="93">
        <v>35</v>
      </c>
      <c r="F18" s="93">
        <v>0</v>
      </c>
      <c r="G18" s="93">
        <v>0</v>
      </c>
      <c r="H18" s="93">
        <v>0</v>
      </c>
      <c r="I18" s="94" t="s">
        <v>30</v>
      </c>
      <c r="J18" s="92"/>
    </row>
    <row r="19" spans="1:10" x14ac:dyDescent="0.25">
      <c r="A19" s="12">
        <f t="shared" si="0"/>
        <v>44609</v>
      </c>
      <c r="B19" s="93">
        <v>37</v>
      </c>
      <c r="C19" s="93">
        <v>33</v>
      </c>
      <c r="D19" s="93">
        <v>0</v>
      </c>
      <c r="E19" s="93">
        <v>50</v>
      </c>
      <c r="F19" s="93">
        <v>0</v>
      </c>
      <c r="G19" s="93">
        <v>0</v>
      </c>
      <c r="H19" s="93">
        <v>0</v>
      </c>
      <c r="I19" s="94" t="s">
        <v>30</v>
      </c>
      <c r="J19" s="92"/>
    </row>
    <row r="20" spans="1:10" x14ac:dyDescent="0.25">
      <c r="A20" s="12">
        <f t="shared" si="0"/>
        <v>44610</v>
      </c>
      <c r="B20" s="93">
        <v>36</v>
      </c>
      <c r="C20" s="93">
        <v>34</v>
      </c>
      <c r="D20" s="93">
        <v>0</v>
      </c>
      <c r="E20" s="93">
        <v>54</v>
      </c>
      <c r="F20" s="93">
        <v>0</v>
      </c>
      <c r="G20" s="93">
        <v>0</v>
      </c>
      <c r="H20" s="93">
        <v>0</v>
      </c>
      <c r="I20" s="94" t="s">
        <v>30</v>
      </c>
      <c r="J20" s="92" t="s">
        <v>45</v>
      </c>
    </row>
    <row r="21" spans="1:10" x14ac:dyDescent="0.25">
      <c r="A21" s="12">
        <f t="shared" si="0"/>
        <v>44611</v>
      </c>
      <c r="B21" s="93">
        <v>17</v>
      </c>
      <c r="C21" s="93">
        <v>35</v>
      </c>
      <c r="D21" s="93">
        <v>0</v>
      </c>
      <c r="E21" s="93">
        <v>52</v>
      </c>
      <c r="F21" s="93">
        <v>0</v>
      </c>
      <c r="G21" s="93">
        <v>0</v>
      </c>
      <c r="H21" s="93">
        <v>0</v>
      </c>
      <c r="I21" s="94" t="s">
        <v>30</v>
      </c>
      <c r="J21" s="92"/>
    </row>
    <row r="22" spans="1:10" x14ac:dyDescent="0.25">
      <c r="A22" s="12">
        <f t="shared" si="0"/>
        <v>44612</v>
      </c>
      <c r="B22" s="93">
        <v>23</v>
      </c>
      <c r="C22" s="93">
        <v>35</v>
      </c>
      <c r="D22" s="93">
        <v>0</v>
      </c>
      <c r="E22" s="93">
        <v>50</v>
      </c>
      <c r="F22" s="93">
        <v>0</v>
      </c>
      <c r="G22" s="93">
        <v>0</v>
      </c>
      <c r="H22" s="93">
        <v>0</v>
      </c>
      <c r="I22" s="94" t="s">
        <v>30</v>
      </c>
      <c r="J22" s="92"/>
    </row>
    <row r="23" spans="1:10" x14ac:dyDescent="0.25">
      <c r="A23" s="12">
        <f t="shared" si="0"/>
        <v>44613</v>
      </c>
      <c r="B23" s="93">
        <v>32</v>
      </c>
      <c r="C23" s="93">
        <v>35</v>
      </c>
      <c r="D23" s="93">
        <v>0</v>
      </c>
      <c r="E23" s="93">
        <v>48</v>
      </c>
      <c r="F23" s="93">
        <v>0</v>
      </c>
      <c r="G23" s="93">
        <v>0</v>
      </c>
      <c r="H23" s="93">
        <v>0</v>
      </c>
      <c r="I23" s="94" t="s">
        <v>30</v>
      </c>
      <c r="J23" s="92"/>
    </row>
    <row r="24" spans="1:10" x14ac:dyDescent="0.25">
      <c r="A24" s="12">
        <f t="shared" si="0"/>
        <v>44614</v>
      </c>
      <c r="B24" s="93">
        <v>31</v>
      </c>
      <c r="C24" s="93">
        <v>35</v>
      </c>
      <c r="D24" s="93">
        <v>0</v>
      </c>
      <c r="E24" s="93">
        <v>48</v>
      </c>
      <c r="F24" s="93">
        <v>0.03</v>
      </c>
      <c r="G24" s="93">
        <v>0</v>
      </c>
      <c r="H24" s="93">
        <v>0</v>
      </c>
      <c r="I24" s="94" t="s">
        <v>30</v>
      </c>
      <c r="J24" s="92"/>
    </row>
    <row r="25" spans="1:10" x14ac:dyDescent="0.25">
      <c r="A25" s="12">
        <f t="shared" si="0"/>
        <v>44615</v>
      </c>
      <c r="B25" s="93">
        <v>14</v>
      </c>
      <c r="C25" s="93">
        <v>35</v>
      </c>
      <c r="D25" s="93">
        <v>0</v>
      </c>
      <c r="E25" s="93">
        <v>49</v>
      </c>
      <c r="F25" s="93">
        <v>0</v>
      </c>
      <c r="G25" s="93">
        <v>0</v>
      </c>
      <c r="H25" s="93">
        <v>0</v>
      </c>
      <c r="I25" s="94" t="s">
        <v>30</v>
      </c>
      <c r="J25" s="92"/>
    </row>
    <row r="26" spans="1:10" x14ac:dyDescent="0.25">
      <c r="A26" s="12">
        <f t="shared" si="0"/>
        <v>44616</v>
      </c>
      <c r="B26" s="93">
        <v>29</v>
      </c>
      <c r="C26" s="93">
        <v>30</v>
      </c>
      <c r="D26" s="93">
        <v>0</v>
      </c>
      <c r="E26" s="93">
        <v>49</v>
      </c>
      <c r="F26" s="93">
        <v>0</v>
      </c>
      <c r="G26" s="93">
        <v>0</v>
      </c>
      <c r="H26" s="93">
        <v>0</v>
      </c>
      <c r="I26" s="94" t="s">
        <v>30</v>
      </c>
      <c r="J26" s="92" t="s">
        <v>46</v>
      </c>
    </row>
    <row r="27" spans="1:10" x14ac:dyDescent="0.25">
      <c r="A27" s="12">
        <f t="shared" si="0"/>
        <v>44617</v>
      </c>
      <c r="B27" s="93">
        <v>32</v>
      </c>
      <c r="C27" s="93">
        <v>25</v>
      </c>
      <c r="D27" s="93">
        <v>0</v>
      </c>
      <c r="E27" s="93">
        <v>49</v>
      </c>
      <c r="F27" s="93">
        <v>0</v>
      </c>
      <c r="G27" s="93">
        <v>0</v>
      </c>
      <c r="H27" s="93">
        <v>0</v>
      </c>
      <c r="I27" s="94" t="s">
        <v>30</v>
      </c>
      <c r="J27" s="92"/>
    </row>
    <row r="28" spans="1:10" x14ac:dyDescent="0.25">
      <c r="A28" s="12">
        <f t="shared" si="0"/>
        <v>44618</v>
      </c>
      <c r="B28" s="93">
        <v>25</v>
      </c>
      <c r="C28" s="93">
        <v>25</v>
      </c>
      <c r="D28" s="93">
        <v>0</v>
      </c>
      <c r="E28" s="93">
        <v>45</v>
      </c>
      <c r="F28" s="93">
        <v>0</v>
      </c>
      <c r="G28" s="93">
        <v>0</v>
      </c>
      <c r="H28" s="93">
        <v>0</v>
      </c>
      <c r="I28" s="94" t="s">
        <v>30</v>
      </c>
      <c r="J28" s="92"/>
    </row>
    <row r="29" spans="1:10" x14ac:dyDescent="0.25">
      <c r="A29" s="12">
        <f t="shared" si="0"/>
        <v>44619</v>
      </c>
      <c r="B29" s="93">
        <v>31</v>
      </c>
      <c r="C29" s="93">
        <v>25</v>
      </c>
      <c r="D29" s="93">
        <v>0</v>
      </c>
      <c r="E29" s="93">
        <v>42</v>
      </c>
      <c r="F29" s="93">
        <v>0</v>
      </c>
      <c r="G29" s="93">
        <v>0</v>
      </c>
      <c r="H29" s="93">
        <v>0</v>
      </c>
      <c r="I29" s="94" t="s">
        <v>30</v>
      </c>
      <c r="J29" s="92"/>
    </row>
    <row r="30" spans="1:10" x14ac:dyDescent="0.25">
      <c r="A30" s="12">
        <f t="shared" si="0"/>
        <v>44620</v>
      </c>
      <c r="B30" s="93">
        <v>31</v>
      </c>
      <c r="C30" s="93">
        <v>22</v>
      </c>
      <c r="D30" s="93">
        <v>0</v>
      </c>
      <c r="E30" s="93">
        <v>42</v>
      </c>
      <c r="F30" s="93">
        <v>0</v>
      </c>
      <c r="G30" s="93">
        <v>0</v>
      </c>
      <c r="H30" s="93">
        <v>0</v>
      </c>
      <c r="I30" s="94" t="s">
        <v>30</v>
      </c>
      <c r="J30" s="92" t="s">
        <v>47</v>
      </c>
    </row>
    <row r="31" spans="1:10" ht="15.75" thickBot="1" x14ac:dyDescent="0.3">
      <c r="A31" s="12"/>
      <c r="B31" s="13"/>
      <c r="C31" s="13"/>
      <c r="D31" s="13"/>
      <c r="E31" s="13"/>
      <c r="F31" s="14"/>
      <c r="G31" s="14"/>
      <c r="H31" s="13"/>
      <c r="I31" s="24"/>
      <c r="J31" s="92"/>
    </row>
    <row r="32" spans="1:10" s="11" customFormat="1" ht="15.75" thickTop="1" x14ac:dyDescent="0.25">
      <c r="A32" s="15" t="s">
        <v>8</v>
      </c>
      <c r="B32" s="16">
        <f t="shared" ref="B32" si="1">SUM(B3:B31)</f>
        <v>859</v>
      </c>
      <c r="C32" s="16">
        <f t="shared" ref="C32:H32" si="2">SUM(C3:C31)</f>
        <v>866</v>
      </c>
      <c r="D32" s="16">
        <f t="shared" si="2"/>
        <v>0</v>
      </c>
      <c r="E32" s="16">
        <f t="shared" si="2"/>
        <v>1026</v>
      </c>
      <c r="F32" s="17">
        <f t="shared" si="2"/>
        <v>0.03</v>
      </c>
      <c r="G32" s="17">
        <f t="shared" si="2"/>
        <v>0</v>
      </c>
      <c r="H32" s="16">
        <f t="shared" si="2"/>
        <v>0</v>
      </c>
      <c r="I32" s="17"/>
      <c r="J32"/>
    </row>
    <row r="33" spans="1:16" s="11" customFormat="1" x14ac:dyDescent="0.25">
      <c r="A33" s="18" t="s">
        <v>9</v>
      </c>
      <c r="B33" s="19">
        <f>SUM(B32+'Jan 2022'!B35)</f>
        <v>5373</v>
      </c>
      <c r="C33" s="19">
        <f>SUM(C32+'Jan 2022'!C35)</f>
        <v>2364</v>
      </c>
      <c r="D33" s="19">
        <f>SUM(D32+'Jan 2022'!D35)</f>
        <v>0</v>
      </c>
      <c r="E33" s="19">
        <f>SUM(E32+'Jan 2022'!E35)</f>
        <v>4039</v>
      </c>
      <c r="F33" s="20">
        <f>SUM(F32+'Jan 2022'!F35)</f>
        <v>3.8100000000000005</v>
      </c>
      <c r="G33" s="20">
        <f>SUM(G32+'Jan 2022'!G35)</f>
        <v>13.5</v>
      </c>
      <c r="H33" s="19">
        <f>SUM(H32+'Jan 2022'!H35)</f>
        <v>0</v>
      </c>
      <c r="I33" s="20"/>
      <c r="J33"/>
    </row>
    <row r="35" spans="1:16" x14ac:dyDescent="0.25">
      <c r="A35" t="s">
        <v>10</v>
      </c>
      <c r="B35" s="22">
        <f>SUM(B3:B31)*1.9835</f>
        <v>1703.8265000000001</v>
      </c>
      <c r="C35" s="22">
        <f>SUM(C3:C31)*1.9835</f>
        <v>1717.711</v>
      </c>
      <c r="D35" s="22">
        <f>SUM(D3:D31)*1.9835</f>
        <v>0</v>
      </c>
      <c r="E35" s="22">
        <f>SUM(E3:E31)*1.9835</f>
        <v>2035.0710000000001</v>
      </c>
      <c r="F35" s="22"/>
      <c r="G35" s="22"/>
      <c r="H35" s="22"/>
      <c r="J35" s="21"/>
    </row>
    <row r="37" spans="1:16" x14ac:dyDescent="0.25">
      <c r="A37" t="s">
        <v>24</v>
      </c>
      <c r="B37" s="22">
        <f>SUM(B35+'Jan 2022'!B39)</f>
        <v>10657.345499999999</v>
      </c>
      <c r="C37" s="22">
        <f>SUM(C35+'Jan 2022'!C39)</f>
        <v>4688.9939999999997</v>
      </c>
      <c r="D37" s="22">
        <f>SUM(D35+'Jan 2022'!D39)</f>
        <v>0</v>
      </c>
      <c r="E37" s="22">
        <f>SUM(E35+'Jan 2022'!E39)</f>
        <v>8011.3565000000008</v>
      </c>
      <c r="F37" s="22"/>
      <c r="G37" s="22"/>
      <c r="H37" s="22"/>
      <c r="J37" s="21"/>
    </row>
    <row r="38" spans="1:16" x14ac:dyDescent="0.25">
      <c r="C38" s="22"/>
      <c r="D38" s="22"/>
      <c r="E38" s="23"/>
      <c r="F38" s="22"/>
      <c r="G38" s="22"/>
      <c r="H38" s="22"/>
      <c r="J38" s="21"/>
    </row>
    <row r="39" spans="1:16" ht="17.45" customHeight="1" x14ac:dyDescent="0.25">
      <c r="A39" s="110"/>
      <c r="B39" s="110"/>
      <c r="C39" s="110"/>
      <c r="D39" s="110"/>
      <c r="E39" s="110"/>
      <c r="F39" s="110"/>
      <c r="G39" s="111"/>
      <c r="H39" s="112" t="s">
        <v>12</v>
      </c>
      <c r="I39" s="113"/>
      <c r="J39" s="27"/>
      <c r="K39" s="27"/>
      <c r="L39" s="27"/>
      <c r="M39" s="27"/>
      <c r="N39" s="27"/>
      <c r="O39" s="28"/>
      <c r="P39" s="27"/>
    </row>
    <row r="40" spans="1:16" ht="16.899999999999999" customHeight="1" x14ac:dyDescent="0.25">
      <c r="A40" s="26"/>
      <c r="B40" s="103"/>
      <c r="C40" s="26"/>
      <c r="D40" s="26"/>
      <c r="E40" s="26"/>
      <c r="F40" s="26"/>
      <c r="G40" s="26"/>
      <c r="H40" s="112"/>
      <c r="I40" s="113"/>
      <c r="J40" s="27"/>
      <c r="K40" s="27"/>
      <c r="L40" s="27"/>
      <c r="M40" s="27"/>
      <c r="N40" s="27"/>
      <c r="O40" s="28"/>
      <c r="P40" s="27"/>
    </row>
    <row r="41" spans="1:16" ht="13.9" customHeight="1" x14ac:dyDescent="0.25">
      <c r="A41" s="115" t="s">
        <v>23</v>
      </c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29"/>
      <c r="M41" s="29"/>
      <c r="N41" s="29"/>
      <c r="O41" s="30"/>
      <c r="P41" s="31"/>
    </row>
    <row r="42" spans="1:16" ht="15.6" customHeight="1" x14ac:dyDescent="0.25">
      <c r="A42" s="39" t="s">
        <v>17</v>
      </c>
      <c r="B42" s="104"/>
      <c r="C42" s="33"/>
      <c r="D42" s="34"/>
      <c r="E42" s="34"/>
      <c r="F42" s="35"/>
      <c r="G42" s="36"/>
      <c r="H42" s="37"/>
      <c r="I42" s="38"/>
      <c r="J42" s="31"/>
      <c r="K42" s="31"/>
      <c r="L42" s="31"/>
      <c r="M42" s="31"/>
      <c r="N42" s="31"/>
      <c r="O42" s="30"/>
    </row>
    <row r="43" spans="1:16" x14ac:dyDescent="0.25">
      <c r="A43" s="32"/>
      <c r="B43" s="105"/>
      <c r="C43" s="33"/>
      <c r="D43" s="34"/>
      <c r="E43" s="34"/>
      <c r="F43" s="40"/>
      <c r="G43" s="36">
        <f>SUM(24-E43)</f>
        <v>24</v>
      </c>
      <c r="H43" s="37">
        <f>SUM(D43+F43)</f>
        <v>0</v>
      </c>
      <c r="I43" s="38">
        <f>SUM(D43/24*E43+H43/24*G43)</f>
        <v>0</v>
      </c>
      <c r="J43" s="31"/>
      <c r="K43" s="31"/>
      <c r="L43" s="31"/>
      <c r="M43" s="31"/>
      <c r="N43" s="31"/>
      <c r="O43" s="30"/>
    </row>
    <row r="44" spans="1:16" x14ac:dyDescent="0.25">
      <c r="A44" s="32"/>
      <c r="B44" s="105"/>
      <c r="C44" s="33"/>
      <c r="D44" s="34"/>
      <c r="E44" s="34"/>
      <c r="F44" s="40"/>
      <c r="G44" s="36">
        <f>SUM(24-E44)</f>
        <v>24</v>
      </c>
      <c r="H44" s="37">
        <f>SUM(D44+F44)</f>
        <v>0</v>
      </c>
      <c r="I44" s="38">
        <f>SUM(D44/24*E44+H44/24*G44)</f>
        <v>0</v>
      </c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ht="13.15" customHeight="1" x14ac:dyDescent="0.25">
      <c r="A48" s="41"/>
      <c r="B48" s="41"/>
      <c r="C48" s="42"/>
      <c r="D48" s="42"/>
      <c r="E48" s="42"/>
      <c r="F48" s="42"/>
      <c r="G48" s="42"/>
      <c r="H48" s="43"/>
      <c r="I48" s="31"/>
      <c r="J48" s="31"/>
      <c r="K48" s="31"/>
      <c r="L48" s="31"/>
      <c r="M48" s="31"/>
      <c r="N48" s="31"/>
      <c r="O48" s="30"/>
      <c r="P48" s="31"/>
    </row>
    <row r="49" spans="1:16" ht="15.75" thickBot="1" x14ac:dyDescent="0.3">
      <c r="A49" s="44" t="s">
        <v>18</v>
      </c>
      <c r="B49" s="44"/>
      <c r="C49" s="44"/>
      <c r="D49" s="44"/>
      <c r="E49" s="44"/>
      <c r="F49" s="45"/>
      <c r="G49" s="46"/>
      <c r="H49" s="43"/>
      <c r="I49" s="31"/>
      <c r="J49" s="31"/>
      <c r="K49" s="31"/>
      <c r="L49" s="31"/>
      <c r="M49" s="31"/>
      <c r="N49" s="31"/>
      <c r="O49" s="30"/>
      <c r="P49" s="31"/>
    </row>
    <row r="50" spans="1:16" ht="26.25" x14ac:dyDescent="0.25">
      <c r="A50" s="47" t="s">
        <v>19</v>
      </c>
      <c r="B50" s="106"/>
      <c r="C50" s="48" t="s">
        <v>13</v>
      </c>
      <c r="D50" s="49" t="s">
        <v>14</v>
      </c>
      <c r="E50" s="49" t="s">
        <v>15</v>
      </c>
      <c r="F50" s="50" t="s">
        <v>16</v>
      </c>
      <c r="G50" s="51" t="s">
        <v>20</v>
      </c>
      <c r="H50" s="52"/>
      <c r="I50" s="53"/>
      <c r="J50" s="54"/>
      <c r="K50" s="54"/>
    </row>
    <row r="51" spans="1:16" ht="15.75" x14ac:dyDescent="0.25">
      <c r="A51" s="55"/>
      <c r="B51" s="107"/>
      <c r="C51" s="56"/>
      <c r="D51" s="57"/>
      <c r="E51" s="58"/>
      <c r="F51" s="59"/>
      <c r="G51" s="60">
        <f>SUM(D51/24*E51)</f>
        <v>0</v>
      </c>
      <c r="H51" s="61"/>
      <c r="I51" s="62"/>
      <c r="J51" s="63"/>
      <c r="K51" s="63"/>
    </row>
    <row r="52" spans="1:16" x14ac:dyDescent="0.25">
      <c r="A52" s="64"/>
      <c r="B52" s="108"/>
      <c r="C52" s="65"/>
      <c r="D52" s="66"/>
      <c r="E52" s="58"/>
      <c r="F52" s="67"/>
      <c r="G52" s="68">
        <f>SUM(D52/24*E52)</f>
        <v>0</v>
      </c>
      <c r="H52" s="61"/>
      <c r="I52" s="62"/>
    </row>
    <row r="53" spans="1:16" x14ac:dyDescent="0.25">
      <c r="A53" s="64"/>
      <c r="B53" s="108"/>
      <c r="C53" s="65"/>
      <c r="D53" s="66"/>
      <c r="E53" s="58"/>
      <c r="F53" s="69"/>
      <c r="G53" s="68">
        <f>SUM(D53/24*E53)</f>
        <v>0</v>
      </c>
      <c r="H53" s="61"/>
      <c r="I53" s="62"/>
    </row>
    <row r="54" spans="1:16" x14ac:dyDescent="0.25">
      <c r="A54" s="64"/>
      <c r="B54" s="108"/>
      <c r="C54" s="65"/>
      <c r="D54" s="66"/>
      <c r="E54" s="58"/>
      <c r="F54" s="69"/>
      <c r="G54" s="68">
        <f>SUM(D54/24*E54)</f>
        <v>0</v>
      </c>
      <c r="H54" s="61"/>
      <c r="I54" s="62"/>
    </row>
    <row r="55" spans="1:16" ht="15.75" thickBot="1" x14ac:dyDescent="0.3">
      <c r="A55" s="70"/>
      <c r="B55" s="109"/>
      <c r="C55" s="71"/>
      <c r="D55" s="72"/>
      <c r="E55" s="73"/>
      <c r="F55" s="72"/>
      <c r="G55" s="74">
        <f>SUM(D55/24*E55)</f>
        <v>0</v>
      </c>
      <c r="H55" s="61"/>
      <c r="I55" s="62"/>
      <c r="J55" s="75"/>
      <c r="K55" s="75"/>
    </row>
    <row r="56" spans="1:16" s="81" customFormat="1" ht="30" customHeight="1" x14ac:dyDescent="0.25">
      <c r="A56" s="116" t="s">
        <v>21</v>
      </c>
      <c r="B56" s="117"/>
      <c r="C56" s="117"/>
      <c r="D56" s="118"/>
      <c r="E56" s="76">
        <f>SUM(E51:E55)</f>
        <v>0</v>
      </c>
      <c r="F56" s="77" t="s">
        <v>22</v>
      </c>
      <c r="G56" s="78">
        <f>SUM(G51:G55)</f>
        <v>0</v>
      </c>
      <c r="H56" s="79"/>
      <c r="I56" s="80"/>
    </row>
  </sheetData>
  <mergeCells count="4">
    <mergeCell ref="A39:G39"/>
    <mergeCell ref="H39:I40"/>
    <mergeCell ref="A41:K41"/>
    <mergeCell ref="A56:D56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7" sqref="J37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44562</v>
      </c>
      <c r="B3" s="93">
        <v>32</v>
      </c>
      <c r="C3" s="93">
        <v>0</v>
      </c>
      <c r="D3" s="93">
        <v>0</v>
      </c>
      <c r="E3" s="93">
        <v>10</v>
      </c>
      <c r="F3" s="93">
        <v>0</v>
      </c>
      <c r="G3" s="93">
        <v>0</v>
      </c>
      <c r="H3" s="93">
        <v>0</v>
      </c>
      <c r="I3" s="94" t="s">
        <v>30</v>
      </c>
      <c r="J3" s="92"/>
    </row>
    <row r="4" spans="1:10" x14ac:dyDescent="0.25">
      <c r="A4" s="12">
        <f>A3+1</f>
        <v>44563</v>
      </c>
      <c r="B4" s="93">
        <v>30</v>
      </c>
      <c r="C4" s="93">
        <v>0</v>
      </c>
      <c r="D4" s="93">
        <v>0</v>
      </c>
      <c r="E4" s="93">
        <v>10</v>
      </c>
      <c r="F4" s="93">
        <v>0</v>
      </c>
      <c r="G4" s="93">
        <v>0</v>
      </c>
      <c r="H4" s="93">
        <v>0</v>
      </c>
      <c r="I4" s="94" t="s">
        <v>30</v>
      </c>
      <c r="J4" s="92"/>
    </row>
    <row r="5" spans="1:10" x14ac:dyDescent="0.25">
      <c r="A5" s="12">
        <f t="shared" ref="A5:A33" si="0">A4+1</f>
        <v>44564</v>
      </c>
      <c r="B5" s="93">
        <v>11</v>
      </c>
      <c r="C5" s="93">
        <v>0</v>
      </c>
      <c r="D5" s="93">
        <v>0</v>
      </c>
      <c r="E5" s="93">
        <v>11</v>
      </c>
      <c r="F5" s="93">
        <v>0.04</v>
      </c>
      <c r="G5" s="93">
        <v>0</v>
      </c>
      <c r="H5" s="93">
        <v>0</v>
      </c>
      <c r="I5" s="94" t="s">
        <v>30</v>
      </c>
      <c r="J5" s="92"/>
    </row>
    <row r="6" spans="1:10" x14ac:dyDescent="0.25">
      <c r="A6" s="12">
        <f t="shared" si="0"/>
        <v>44565</v>
      </c>
      <c r="B6" s="93">
        <v>13</v>
      </c>
      <c r="C6" s="93">
        <v>0</v>
      </c>
      <c r="D6" s="93">
        <v>0</v>
      </c>
      <c r="E6" s="93">
        <v>10</v>
      </c>
      <c r="F6" s="93">
        <v>0.06</v>
      </c>
      <c r="G6" s="93">
        <v>0</v>
      </c>
      <c r="H6" s="93">
        <v>0</v>
      </c>
      <c r="I6" s="94" t="s">
        <v>30</v>
      </c>
      <c r="J6" s="92"/>
    </row>
    <row r="7" spans="1:10" x14ac:dyDescent="0.25">
      <c r="A7" s="12">
        <f t="shared" si="0"/>
        <v>44566</v>
      </c>
      <c r="B7" s="93">
        <v>66</v>
      </c>
      <c r="C7" s="93">
        <v>0</v>
      </c>
      <c r="D7" s="93">
        <v>0</v>
      </c>
      <c r="E7" s="93">
        <v>9</v>
      </c>
      <c r="F7" s="93">
        <v>0.03</v>
      </c>
      <c r="G7" s="93">
        <v>0</v>
      </c>
      <c r="H7" s="93">
        <v>0</v>
      </c>
      <c r="I7" s="94" t="s">
        <v>30</v>
      </c>
      <c r="J7" s="92"/>
    </row>
    <row r="8" spans="1:10" x14ac:dyDescent="0.25">
      <c r="A8" s="12">
        <f t="shared" si="0"/>
        <v>44567</v>
      </c>
      <c r="B8" s="93">
        <v>76</v>
      </c>
      <c r="C8" s="93">
        <v>0</v>
      </c>
      <c r="D8" s="93">
        <v>0</v>
      </c>
      <c r="E8" s="93">
        <v>24</v>
      </c>
      <c r="F8" s="93">
        <v>0</v>
      </c>
      <c r="G8" s="93">
        <v>0</v>
      </c>
      <c r="H8" s="93">
        <v>0</v>
      </c>
      <c r="I8" s="94" t="s">
        <v>30</v>
      </c>
      <c r="J8" s="92"/>
    </row>
    <row r="9" spans="1:10" x14ac:dyDescent="0.25">
      <c r="A9" s="12">
        <f t="shared" si="0"/>
        <v>44568</v>
      </c>
      <c r="B9" s="93">
        <v>128</v>
      </c>
      <c r="C9" s="93">
        <v>0</v>
      </c>
      <c r="D9" s="93">
        <v>0</v>
      </c>
      <c r="E9" s="93">
        <v>24</v>
      </c>
      <c r="F9" s="93">
        <v>0.09</v>
      </c>
      <c r="G9" s="93">
        <v>0</v>
      </c>
      <c r="H9" s="93">
        <v>0</v>
      </c>
      <c r="I9" s="94" t="s">
        <v>30</v>
      </c>
      <c r="J9" s="92"/>
    </row>
    <row r="10" spans="1:10" x14ac:dyDescent="0.25">
      <c r="A10" s="12">
        <f t="shared" si="0"/>
        <v>44569</v>
      </c>
      <c r="B10" s="93">
        <v>277</v>
      </c>
      <c r="C10" s="93">
        <v>0</v>
      </c>
      <c r="D10" s="93">
        <v>0</v>
      </c>
      <c r="E10" s="93">
        <v>24</v>
      </c>
      <c r="F10" s="93" t="s">
        <v>29</v>
      </c>
      <c r="G10" s="93">
        <v>0</v>
      </c>
      <c r="H10" s="93">
        <v>0</v>
      </c>
      <c r="I10" s="94" t="s">
        <v>30</v>
      </c>
      <c r="J10" s="92"/>
    </row>
    <row r="11" spans="1:10" x14ac:dyDescent="0.25">
      <c r="A11" s="12">
        <f t="shared" si="0"/>
        <v>44570</v>
      </c>
      <c r="B11" s="93">
        <v>290</v>
      </c>
      <c r="C11" s="93">
        <v>0</v>
      </c>
      <c r="D11" s="93">
        <v>0</v>
      </c>
      <c r="E11" s="93">
        <v>24</v>
      </c>
      <c r="F11" s="93">
        <v>0</v>
      </c>
      <c r="G11" s="93">
        <v>0</v>
      </c>
      <c r="H11" s="93">
        <v>0</v>
      </c>
      <c r="I11" s="94" t="s">
        <v>30</v>
      </c>
      <c r="J11" s="92"/>
    </row>
    <row r="12" spans="1:10" x14ac:dyDescent="0.25">
      <c r="A12" s="12">
        <f t="shared" si="0"/>
        <v>44571</v>
      </c>
      <c r="B12" s="93">
        <v>200</v>
      </c>
      <c r="C12" s="93">
        <v>0</v>
      </c>
      <c r="D12" s="93">
        <v>0</v>
      </c>
      <c r="E12" s="93">
        <v>30</v>
      </c>
      <c r="F12" s="93">
        <v>0</v>
      </c>
      <c r="G12" s="93">
        <v>0</v>
      </c>
      <c r="H12" s="93">
        <v>0</v>
      </c>
      <c r="I12" s="94" t="s">
        <v>30</v>
      </c>
      <c r="J12" s="92"/>
    </row>
    <row r="13" spans="1:10" x14ac:dyDescent="0.25">
      <c r="A13" s="12">
        <f t="shared" si="0"/>
        <v>44572</v>
      </c>
      <c r="B13" s="93">
        <v>145</v>
      </c>
      <c r="C13" s="93">
        <v>0</v>
      </c>
      <c r="D13" s="93">
        <v>0</v>
      </c>
      <c r="E13" s="93">
        <v>29</v>
      </c>
      <c r="F13" s="93">
        <v>0</v>
      </c>
      <c r="G13" s="93">
        <v>0</v>
      </c>
      <c r="H13" s="93">
        <v>0</v>
      </c>
      <c r="I13" s="94" t="s">
        <v>30</v>
      </c>
      <c r="J13" s="92"/>
    </row>
    <row r="14" spans="1:10" x14ac:dyDescent="0.25">
      <c r="A14" s="12">
        <f t="shared" si="0"/>
        <v>44573</v>
      </c>
      <c r="B14" s="93">
        <v>132</v>
      </c>
      <c r="C14" s="93">
        <v>0</v>
      </c>
      <c r="D14" s="93">
        <v>0</v>
      </c>
      <c r="E14" s="93">
        <v>29</v>
      </c>
      <c r="F14" s="93">
        <v>0</v>
      </c>
      <c r="G14" s="93">
        <v>0</v>
      </c>
      <c r="H14" s="93">
        <v>0</v>
      </c>
      <c r="I14" s="94" t="s">
        <v>30</v>
      </c>
      <c r="J14" s="92"/>
    </row>
    <row r="15" spans="1:10" x14ac:dyDescent="0.25">
      <c r="A15" s="12">
        <f t="shared" si="0"/>
        <v>44574</v>
      </c>
      <c r="B15" s="93">
        <v>113</v>
      </c>
      <c r="C15" s="93">
        <v>0</v>
      </c>
      <c r="D15" s="93">
        <v>0</v>
      </c>
      <c r="E15" s="93">
        <v>29</v>
      </c>
      <c r="F15" s="93">
        <v>0</v>
      </c>
      <c r="G15" s="93">
        <v>0</v>
      </c>
      <c r="H15" s="93">
        <v>0</v>
      </c>
      <c r="I15" s="94" t="s">
        <v>30</v>
      </c>
      <c r="J15" s="92"/>
    </row>
    <row r="16" spans="1:10" x14ac:dyDescent="0.25">
      <c r="A16" s="12">
        <f t="shared" si="0"/>
        <v>44575</v>
      </c>
      <c r="B16" s="93">
        <v>83</v>
      </c>
      <c r="C16" s="93">
        <v>0</v>
      </c>
      <c r="D16" s="93">
        <v>0</v>
      </c>
      <c r="E16" s="93">
        <v>29</v>
      </c>
      <c r="F16" s="93">
        <v>0</v>
      </c>
      <c r="G16" s="93">
        <v>0</v>
      </c>
      <c r="H16" s="93">
        <v>0</v>
      </c>
      <c r="I16" s="94" t="s">
        <v>30</v>
      </c>
      <c r="J16" s="92"/>
    </row>
    <row r="17" spans="1:10" x14ac:dyDescent="0.25">
      <c r="A17" s="12">
        <f t="shared" si="0"/>
        <v>44576</v>
      </c>
      <c r="B17" s="93">
        <v>67</v>
      </c>
      <c r="C17" s="93">
        <v>0</v>
      </c>
      <c r="D17" s="93">
        <v>0</v>
      </c>
      <c r="E17" s="93">
        <v>28</v>
      </c>
      <c r="F17" s="93" t="s">
        <v>29</v>
      </c>
      <c r="G17" s="93">
        <v>0</v>
      </c>
      <c r="H17" s="93">
        <v>0</v>
      </c>
      <c r="I17" s="94" t="s">
        <v>30</v>
      </c>
      <c r="J17" s="92"/>
    </row>
    <row r="18" spans="1:10" x14ac:dyDescent="0.25">
      <c r="A18" s="12">
        <f t="shared" si="0"/>
        <v>44577</v>
      </c>
      <c r="B18" s="93">
        <v>64</v>
      </c>
      <c r="C18" s="93">
        <v>0</v>
      </c>
      <c r="D18" s="93">
        <v>0</v>
      </c>
      <c r="E18" s="93">
        <v>28</v>
      </c>
      <c r="F18" s="93" t="s">
        <v>29</v>
      </c>
      <c r="G18" s="93">
        <v>0</v>
      </c>
      <c r="H18" s="93">
        <v>0</v>
      </c>
      <c r="I18" s="94" t="s">
        <v>30</v>
      </c>
      <c r="J18" s="92"/>
    </row>
    <row r="19" spans="1:10" x14ac:dyDescent="0.25">
      <c r="A19" s="12">
        <f t="shared" si="0"/>
        <v>44578</v>
      </c>
      <c r="B19" s="93">
        <v>61</v>
      </c>
      <c r="C19" s="93">
        <v>0</v>
      </c>
      <c r="D19" s="93">
        <v>0</v>
      </c>
      <c r="E19" s="93">
        <v>27</v>
      </c>
      <c r="F19" s="93" t="s">
        <v>29</v>
      </c>
      <c r="G19" s="93">
        <v>0</v>
      </c>
      <c r="H19" s="93">
        <v>0</v>
      </c>
      <c r="I19" s="94" t="s">
        <v>30</v>
      </c>
      <c r="J19" s="92"/>
    </row>
    <row r="20" spans="1:10" x14ac:dyDescent="0.25">
      <c r="A20" s="12">
        <f t="shared" si="0"/>
        <v>44579</v>
      </c>
      <c r="B20" s="93">
        <v>54</v>
      </c>
      <c r="C20" s="93">
        <v>0</v>
      </c>
      <c r="D20" s="93">
        <v>0</v>
      </c>
      <c r="E20" s="93">
        <v>27</v>
      </c>
      <c r="F20" s="93">
        <v>0</v>
      </c>
      <c r="G20" s="93">
        <v>0</v>
      </c>
      <c r="H20" s="93">
        <v>0</v>
      </c>
      <c r="I20" s="94" t="s">
        <v>30</v>
      </c>
      <c r="J20" s="92"/>
    </row>
    <row r="21" spans="1:10" x14ac:dyDescent="0.25">
      <c r="A21" s="12">
        <f t="shared" si="0"/>
        <v>44580</v>
      </c>
      <c r="B21" s="93">
        <v>50</v>
      </c>
      <c r="C21" s="93">
        <v>0</v>
      </c>
      <c r="D21" s="93">
        <v>0</v>
      </c>
      <c r="E21" s="93">
        <v>27</v>
      </c>
      <c r="F21" s="93">
        <v>0</v>
      </c>
      <c r="G21" s="93">
        <v>0</v>
      </c>
      <c r="H21" s="93">
        <v>0</v>
      </c>
      <c r="I21" s="94" t="s">
        <v>30</v>
      </c>
      <c r="J21" s="92"/>
    </row>
    <row r="22" spans="1:10" x14ac:dyDescent="0.25">
      <c r="A22" s="12">
        <f t="shared" si="0"/>
        <v>44581</v>
      </c>
      <c r="B22" s="93">
        <v>43</v>
      </c>
      <c r="C22" s="93">
        <v>0</v>
      </c>
      <c r="D22" s="93">
        <v>0</v>
      </c>
      <c r="E22" s="93">
        <v>27</v>
      </c>
      <c r="F22" s="93">
        <v>0</v>
      </c>
      <c r="G22" s="93">
        <v>0</v>
      </c>
      <c r="H22" s="93">
        <v>0</v>
      </c>
      <c r="I22" s="94" t="s">
        <v>30</v>
      </c>
      <c r="J22" s="92"/>
    </row>
    <row r="23" spans="1:10" x14ac:dyDescent="0.25">
      <c r="A23" s="12">
        <f t="shared" si="0"/>
        <v>44582</v>
      </c>
      <c r="B23" s="93">
        <v>50</v>
      </c>
      <c r="C23" s="93">
        <v>0</v>
      </c>
      <c r="D23" s="93">
        <v>0</v>
      </c>
      <c r="E23" s="93">
        <v>25</v>
      </c>
      <c r="F23" s="93">
        <v>0.01</v>
      </c>
      <c r="G23" s="93">
        <v>0</v>
      </c>
      <c r="H23" s="93">
        <v>0</v>
      </c>
      <c r="I23" s="94" t="s">
        <v>30</v>
      </c>
      <c r="J23" s="92"/>
    </row>
    <row r="24" spans="1:10" x14ac:dyDescent="0.25">
      <c r="A24" s="12">
        <f t="shared" si="0"/>
        <v>44583</v>
      </c>
      <c r="B24" s="93">
        <v>40</v>
      </c>
      <c r="C24" s="93">
        <v>0</v>
      </c>
      <c r="D24" s="93">
        <v>0</v>
      </c>
      <c r="E24" s="93">
        <v>25</v>
      </c>
      <c r="F24" s="93">
        <v>0</v>
      </c>
      <c r="G24" s="93">
        <v>0</v>
      </c>
      <c r="H24" s="93">
        <v>0</v>
      </c>
      <c r="I24" s="94" t="s">
        <v>30</v>
      </c>
      <c r="J24" s="92"/>
    </row>
    <row r="25" spans="1:10" x14ac:dyDescent="0.25">
      <c r="A25" s="12">
        <f t="shared" si="0"/>
        <v>44584</v>
      </c>
      <c r="B25" s="93">
        <v>42</v>
      </c>
      <c r="C25" s="93">
        <v>0</v>
      </c>
      <c r="D25" s="93">
        <v>0</v>
      </c>
      <c r="E25" s="93">
        <v>25</v>
      </c>
      <c r="F25" s="93">
        <v>0</v>
      </c>
      <c r="G25" s="93">
        <v>0</v>
      </c>
      <c r="H25" s="93">
        <v>0</v>
      </c>
      <c r="I25" s="94" t="s">
        <v>30</v>
      </c>
      <c r="J25" s="92"/>
    </row>
    <row r="26" spans="1:10" x14ac:dyDescent="0.25">
      <c r="A26" s="12">
        <f t="shared" si="0"/>
        <v>44585</v>
      </c>
      <c r="B26" s="93">
        <v>44</v>
      </c>
      <c r="C26" s="93">
        <v>0</v>
      </c>
      <c r="D26" s="93">
        <v>0</v>
      </c>
      <c r="E26" s="93">
        <v>25</v>
      </c>
      <c r="F26" s="93">
        <v>0</v>
      </c>
      <c r="G26" s="93">
        <v>0</v>
      </c>
      <c r="H26" s="93">
        <v>0</v>
      </c>
      <c r="I26" s="94" t="s">
        <v>30</v>
      </c>
      <c r="J26" s="92"/>
    </row>
    <row r="27" spans="1:10" x14ac:dyDescent="0.25">
      <c r="A27" s="12">
        <f t="shared" si="0"/>
        <v>44586</v>
      </c>
      <c r="B27" s="93">
        <v>42</v>
      </c>
      <c r="C27" s="93">
        <v>0</v>
      </c>
      <c r="D27" s="93">
        <v>0</v>
      </c>
      <c r="E27" s="93">
        <v>25</v>
      </c>
      <c r="F27" s="93">
        <v>0</v>
      </c>
      <c r="G27" s="93">
        <v>0</v>
      </c>
      <c r="H27" s="93">
        <v>0</v>
      </c>
      <c r="I27" s="94" t="s">
        <v>30</v>
      </c>
      <c r="J27" s="92"/>
    </row>
    <row r="28" spans="1:10" x14ac:dyDescent="0.25">
      <c r="A28" s="12">
        <f t="shared" si="0"/>
        <v>44587</v>
      </c>
      <c r="B28" s="93">
        <v>34</v>
      </c>
      <c r="C28" s="93">
        <v>0</v>
      </c>
      <c r="D28" s="93">
        <v>0</v>
      </c>
      <c r="E28" s="93">
        <v>25</v>
      </c>
      <c r="F28" s="93">
        <v>0</v>
      </c>
      <c r="G28" s="93">
        <v>0</v>
      </c>
      <c r="H28" s="93">
        <v>0</v>
      </c>
      <c r="I28" s="94" t="s">
        <v>30</v>
      </c>
      <c r="J28" s="92"/>
    </row>
    <row r="29" spans="1:10" x14ac:dyDescent="0.25">
      <c r="A29" s="12">
        <f t="shared" si="0"/>
        <v>44588</v>
      </c>
      <c r="B29" s="93">
        <v>37</v>
      </c>
      <c r="C29" s="93">
        <v>16</v>
      </c>
      <c r="D29" s="93">
        <v>0</v>
      </c>
      <c r="E29" s="93">
        <v>25</v>
      </c>
      <c r="F29" s="93">
        <v>0</v>
      </c>
      <c r="G29" s="93">
        <v>0</v>
      </c>
      <c r="H29" s="93">
        <v>0</v>
      </c>
      <c r="I29" s="94" t="s">
        <v>30</v>
      </c>
      <c r="J29" s="92" t="s">
        <v>39</v>
      </c>
    </row>
    <row r="30" spans="1:10" x14ac:dyDescent="0.25">
      <c r="A30" s="12">
        <f t="shared" si="0"/>
        <v>44589</v>
      </c>
      <c r="B30" s="93">
        <v>36</v>
      </c>
      <c r="C30" s="93">
        <v>35</v>
      </c>
      <c r="D30" s="93">
        <v>0</v>
      </c>
      <c r="E30" s="93">
        <v>25</v>
      </c>
      <c r="F30" s="93">
        <v>0</v>
      </c>
      <c r="G30" s="93">
        <v>0</v>
      </c>
      <c r="H30" s="93">
        <v>0</v>
      </c>
      <c r="I30" s="94" t="s">
        <v>30</v>
      </c>
      <c r="J30" s="92"/>
    </row>
    <row r="31" spans="1:10" x14ac:dyDescent="0.25">
      <c r="A31" s="12">
        <f t="shared" si="0"/>
        <v>44590</v>
      </c>
      <c r="B31" s="93">
        <v>34</v>
      </c>
      <c r="C31" s="93">
        <v>35</v>
      </c>
      <c r="D31" s="93">
        <v>0</v>
      </c>
      <c r="E31" s="93">
        <v>30</v>
      </c>
      <c r="F31" s="93">
        <v>0</v>
      </c>
      <c r="G31" s="93">
        <v>0</v>
      </c>
      <c r="H31" s="93">
        <v>0</v>
      </c>
      <c r="I31" s="94" t="s">
        <v>30</v>
      </c>
      <c r="J31" s="92"/>
    </row>
    <row r="32" spans="1:10" x14ac:dyDescent="0.25">
      <c r="A32" s="12">
        <f t="shared" si="0"/>
        <v>44591</v>
      </c>
      <c r="B32" s="93">
        <v>32</v>
      </c>
      <c r="C32" s="93">
        <v>35</v>
      </c>
      <c r="D32" s="93">
        <v>0</v>
      </c>
      <c r="E32" s="93">
        <v>33</v>
      </c>
      <c r="F32" s="93">
        <v>0</v>
      </c>
      <c r="G32" s="93">
        <v>0</v>
      </c>
      <c r="H32" s="93">
        <v>0</v>
      </c>
      <c r="I32" s="94" t="s">
        <v>30</v>
      </c>
      <c r="J32" s="92"/>
    </row>
    <row r="33" spans="1:16" ht="15.75" thickBot="1" x14ac:dyDescent="0.3">
      <c r="A33" s="12">
        <f t="shared" si="0"/>
        <v>44592</v>
      </c>
      <c r="B33" s="93">
        <v>32</v>
      </c>
      <c r="C33" s="93">
        <v>32</v>
      </c>
      <c r="D33" s="93">
        <v>0</v>
      </c>
      <c r="E33" s="93">
        <v>41</v>
      </c>
      <c r="F33" s="93">
        <v>0</v>
      </c>
      <c r="G33" s="93">
        <v>0</v>
      </c>
      <c r="H33" s="93">
        <v>0</v>
      </c>
      <c r="I33" s="94" t="s">
        <v>30</v>
      </c>
      <c r="J33" s="92" t="s">
        <v>40</v>
      </c>
    </row>
    <row r="34" spans="1:16" s="11" customFormat="1" ht="15.75" thickTop="1" x14ac:dyDescent="0.25">
      <c r="A34" s="15" t="s">
        <v>8</v>
      </c>
      <c r="B34" s="16">
        <f t="shared" ref="B34" si="1">SUM(B3:B33)</f>
        <v>2358</v>
      </c>
      <c r="C34" s="16">
        <f t="shared" ref="C34:H34" si="2">SUM(C3:C33)</f>
        <v>153</v>
      </c>
      <c r="D34" s="16">
        <f t="shared" si="2"/>
        <v>0</v>
      </c>
      <c r="E34" s="16">
        <f t="shared" si="2"/>
        <v>760</v>
      </c>
      <c r="F34" s="17">
        <f t="shared" si="2"/>
        <v>0.23</v>
      </c>
      <c r="G34" s="17">
        <f t="shared" si="2"/>
        <v>0</v>
      </c>
      <c r="H34" s="16">
        <f t="shared" si="2"/>
        <v>0</v>
      </c>
      <c r="I34" s="17"/>
    </row>
    <row r="35" spans="1:16" s="11" customFormat="1" x14ac:dyDescent="0.25">
      <c r="A35" s="18" t="s">
        <v>9</v>
      </c>
      <c r="B35" s="19">
        <f>SUM(B34+'Dec 2021'!B35)</f>
        <v>4514</v>
      </c>
      <c r="C35" s="19">
        <f>SUM(C34+'Dec 2021'!C35)</f>
        <v>1498</v>
      </c>
      <c r="D35" s="19">
        <f>SUM(D34+'Dec 2021'!D35)</f>
        <v>0</v>
      </c>
      <c r="E35" s="19">
        <f>SUM(E34+'Dec 2021'!E35)</f>
        <v>3013</v>
      </c>
      <c r="F35" s="20">
        <f>SUM(F34+'Dec 2021'!F35)</f>
        <v>3.7800000000000007</v>
      </c>
      <c r="G35" s="20">
        <f>SUM(G34+'Dec 2021'!G35)</f>
        <v>13.5</v>
      </c>
      <c r="H35" s="19">
        <f>SUM(H34+'Dec 2021'!H35)</f>
        <v>0</v>
      </c>
      <c r="I35" s="20"/>
    </row>
    <row r="37" spans="1:16" x14ac:dyDescent="0.25">
      <c r="A37" t="s">
        <v>10</v>
      </c>
      <c r="B37" s="22">
        <f>SUM(B3:B33)*1.9835</f>
        <v>4677.0929999999998</v>
      </c>
      <c r="C37" s="22">
        <f>SUM(C3:C33)*1.9835</f>
        <v>303.47550000000001</v>
      </c>
      <c r="D37" s="22">
        <f>SUM(D3:D33)*1.9835</f>
        <v>0</v>
      </c>
      <c r="E37" s="22">
        <f>SUM(E3:E33)*1.9835</f>
        <v>1507.46</v>
      </c>
      <c r="F37" s="22"/>
      <c r="G37" s="22"/>
      <c r="H37" s="22"/>
      <c r="J37" s="21"/>
    </row>
    <row r="39" spans="1:16" x14ac:dyDescent="0.25">
      <c r="A39" t="s">
        <v>24</v>
      </c>
      <c r="B39" s="22">
        <f>SUM(B37+'Dec 2021'!B39)</f>
        <v>8953.5190000000002</v>
      </c>
      <c r="C39" s="22">
        <f>SUM(C37+'Dec 2021'!C39)</f>
        <v>2971.2829999999999</v>
      </c>
      <c r="D39" s="22">
        <f>SUM(D37+'Dec 2021'!D39)</f>
        <v>0</v>
      </c>
      <c r="E39" s="22">
        <f>SUM(E37+'Dec 2021'!E39)</f>
        <v>5976.2855000000009</v>
      </c>
      <c r="F39" s="22"/>
      <c r="G39" s="22"/>
      <c r="H39" s="22"/>
      <c r="J39" s="21"/>
    </row>
    <row r="40" spans="1:16" x14ac:dyDescent="0.25">
      <c r="C40" s="22"/>
      <c r="D40" s="22"/>
      <c r="E40" s="23"/>
      <c r="F40" s="22"/>
      <c r="G40" s="22"/>
      <c r="H40" s="22"/>
      <c r="J40" s="21"/>
    </row>
    <row r="41" spans="1:16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  <c r="L41" s="27"/>
      <c r="M41" s="27"/>
      <c r="N41" s="27"/>
      <c r="O41" s="28"/>
      <c r="P41" s="27"/>
    </row>
    <row r="42" spans="1:16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7"/>
      <c r="O42" s="28"/>
      <c r="P42" s="27"/>
    </row>
    <row r="43" spans="1:16" ht="13.9" customHeight="1" x14ac:dyDescent="0.25">
      <c r="A43" s="115" t="s">
        <v>23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29"/>
      <c r="M43" s="29"/>
      <c r="N43" s="29"/>
      <c r="O43" s="30"/>
      <c r="P43" s="31"/>
    </row>
    <row r="44" spans="1:16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1"/>
      <c r="O48" s="30"/>
    </row>
    <row r="49" spans="1:16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1"/>
      <c r="O49" s="30"/>
    </row>
    <row r="50" spans="1:16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1"/>
      <c r="O50" s="30"/>
      <c r="P50" s="31"/>
    </row>
    <row r="51" spans="1:16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1"/>
      <c r="O51" s="30"/>
      <c r="P51" s="31"/>
    </row>
    <row r="52" spans="1:16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  <c r="K52" s="54"/>
    </row>
    <row r="53" spans="1:16" ht="15.75" x14ac:dyDescent="0.25">
      <c r="A53" s="55"/>
      <c r="B53" s="107"/>
      <c r="C53" s="56"/>
      <c r="D53" s="57"/>
      <c r="E53" s="58"/>
      <c r="F53" s="59">
        <v>-100</v>
      </c>
      <c r="G53" s="60">
        <f>SUM(D53/24*E53)</f>
        <v>0</v>
      </c>
      <c r="H53" s="61"/>
      <c r="I53" s="62"/>
      <c r="J53" s="63"/>
      <c r="K53" s="63"/>
    </row>
    <row r="54" spans="1:16" x14ac:dyDescent="0.25">
      <c r="A54" s="64"/>
      <c r="B54" s="108"/>
      <c r="C54" s="65"/>
      <c r="D54" s="66"/>
      <c r="E54" s="58"/>
      <c r="F54" s="67">
        <v>-50</v>
      </c>
      <c r="G54" s="68">
        <f>SUM(D54/24*E54)</f>
        <v>0</v>
      </c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>
        <f>SUM(D55/24*E55)</f>
        <v>0</v>
      </c>
      <c r="H55" s="61"/>
      <c r="I55" s="62"/>
    </row>
    <row r="56" spans="1:16" x14ac:dyDescent="0.25">
      <c r="A56" s="64"/>
      <c r="B56" s="108"/>
      <c r="C56" s="65"/>
      <c r="D56" s="66"/>
      <c r="E56" s="58"/>
      <c r="F56" s="69"/>
      <c r="G56" s="68">
        <f>SUM(D56/24*E56)</f>
        <v>0</v>
      </c>
      <c r="H56" s="61"/>
      <c r="I56" s="62"/>
    </row>
    <row r="57" spans="1:16" ht="15.75" thickBot="1" x14ac:dyDescent="0.3">
      <c r="A57" s="70"/>
      <c r="B57" s="109"/>
      <c r="C57" s="71"/>
      <c r="D57" s="72"/>
      <c r="E57" s="73"/>
      <c r="F57" s="72"/>
      <c r="G57" s="74">
        <f>SUM(D57/24*E57)</f>
        <v>0</v>
      </c>
      <c r="H57" s="61"/>
      <c r="I57" s="62"/>
      <c r="J57" s="75"/>
      <c r="K57" s="75"/>
    </row>
    <row r="58" spans="1:16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zoomScaleNormal="100" workbookViewId="0">
      <selection activeCell="J23" sqref="J23"/>
    </sheetView>
  </sheetViews>
  <sheetFormatPr defaultRowHeight="15" x14ac:dyDescent="0.25"/>
  <cols>
    <col min="1" max="1" width="13.5703125" bestFit="1" customWidth="1"/>
    <col min="2" max="2" width="13.5703125" customWidth="1"/>
    <col min="3" max="9" width="11.7109375" customWidth="1"/>
    <col min="10" max="10" width="27.42578125" customWidth="1"/>
  </cols>
  <sheetData>
    <row r="1" spans="1:10" s="1" customFormat="1" ht="30" x14ac:dyDescent="0.25">
      <c r="A1" s="84" t="s">
        <v>0</v>
      </c>
      <c r="B1" s="9" t="s">
        <v>43</v>
      </c>
      <c r="C1" s="9" t="s">
        <v>5</v>
      </c>
      <c r="D1" s="9" t="s">
        <v>1</v>
      </c>
      <c r="E1" s="9" t="s">
        <v>2</v>
      </c>
      <c r="F1" s="7" t="s">
        <v>6</v>
      </c>
      <c r="G1" s="7" t="s">
        <v>7</v>
      </c>
      <c r="H1" s="9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9" t="s">
        <v>25</v>
      </c>
      <c r="C2" s="9" t="s">
        <v>25</v>
      </c>
      <c r="D2" s="9" t="s">
        <v>25</v>
      </c>
      <c r="E2" s="9" t="s">
        <v>25</v>
      </c>
      <c r="F2" s="7"/>
      <c r="G2" s="7"/>
      <c r="H2" s="9" t="s">
        <v>26</v>
      </c>
      <c r="I2" s="3"/>
      <c r="J2" s="82"/>
    </row>
    <row r="3" spans="1:10" x14ac:dyDescent="0.25">
      <c r="A3" s="12">
        <v>44531</v>
      </c>
      <c r="B3" s="93">
        <v>10</v>
      </c>
      <c r="C3" s="93">
        <v>5</v>
      </c>
      <c r="D3" s="93">
        <v>0</v>
      </c>
      <c r="E3" s="93">
        <v>17</v>
      </c>
      <c r="F3" s="93" t="s">
        <v>29</v>
      </c>
      <c r="G3" s="93">
        <v>0</v>
      </c>
      <c r="H3" s="93">
        <v>0</v>
      </c>
      <c r="I3" s="94" t="s">
        <v>30</v>
      </c>
      <c r="J3" s="92"/>
    </row>
    <row r="4" spans="1:10" x14ac:dyDescent="0.25">
      <c r="A4" s="12">
        <f>A3+1</f>
        <v>44532</v>
      </c>
      <c r="B4" s="93">
        <v>23</v>
      </c>
      <c r="C4" s="93">
        <v>13</v>
      </c>
      <c r="D4" s="93">
        <v>0</v>
      </c>
      <c r="E4" s="93">
        <v>13</v>
      </c>
      <c r="F4" s="93">
        <v>0</v>
      </c>
      <c r="G4" s="93">
        <v>0</v>
      </c>
      <c r="H4" s="93">
        <v>0</v>
      </c>
      <c r="I4" s="94" t="s">
        <v>30</v>
      </c>
      <c r="J4" s="92" t="s">
        <v>37</v>
      </c>
    </row>
    <row r="5" spans="1:10" x14ac:dyDescent="0.25">
      <c r="A5" s="12">
        <f t="shared" ref="A5:A33" si="0">A4+1</f>
        <v>44533</v>
      </c>
      <c r="B5" s="93">
        <v>21</v>
      </c>
      <c r="C5" s="93">
        <v>20</v>
      </c>
      <c r="D5" s="93">
        <v>0</v>
      </c>
      <c r="E5" s="93">
        <v>13</v>
      </c>
      <c r="F5" s="93">
        <v>0</v>
      </c>
      <c r="G5" s="93">
        <v>0</v>
      </c>
      <c r="H5" s="93">
        <v>0</v>
      </c>
      <c r="I5" s="94" t="s">
        <v>30</v>
      </c>
      <c r="J5" s="92"/>
    </row>
    <row r="6" spans="1:10" x14ac:dyDescent="0.25">
      <c r="A6" s="12">
        <f t="shared" si="0"/>
        <v>44534</v>
      </c>
      <c r="B6" s="93">
        <v>20</v>
      </c>
      <c r="C6" s="93">
        <v>20</v>
      </c>
      <c r="D6" s="93">
        <v>0</v>
      </c>
      <c r="E6" s="93">
        <v>26</v>
      </c>
      <c r="F6" s="93">
        <v>0</v>
      </c>
      <c r="G6" s="93">
        <v>0</v>
      </c>
      <c r="H6" s="93">
        <v>0</v>
      </c>
      <c r="I6" s="94" t="s">
        <v>30</v>
      </c>
      <c r="J6" s="92"/>
    </row>
    <row r="7" spans="1:10" x14ac:dyDescent="0.25">
      <c r="A7" s="12">
        <f t="shared" si="0"/>
        <v>44535</v>
      </c>
      <c r="B7" s="93">
        <v>20</v>
      </c>
      <c r="C7" s="93">
        <v>20</v>
      </c>
      <c r="D7" s="93">
        <v>0</v>
      </c>
      <c r="E7" s="93">
        <v>26</v>
      </c>
      <c r="F7" s="93">
        <v>0</v>
      </c>
      <c r="G7" s="93">
        <v>0</v>
      </c>
      <c r="H7" s="93">
        <v>0</v>
      </c>
      <c r="I7" s="94" t="s">
        <v>30</v>
      </c>
      <c r="J7" s="92"/>
    </row>
    <row r="8" spans="1:10" x14ac:dyDescent="0.25">
      <c r="A8" s="12">
        <f t="shared" si="0"/>
        <v>44536</v>
      </c>
      <c r="B8" s="93">
        <v>9</v>
      </c>
      <c r="C8" s="93">
        <v>20</v>
      </c>
      <c r="D8" s="93">
        <v>0</v>
      </c>
      <c r="E8" s="93">
        <v>13</v>
      </c>
      <c r="F8" s="93">
        <v>0.01</v>
      </c>
      <c r="G8" s="93">
        <v>0</v>
      </c>
      <c r="H8" s="93">
        <v>0</v>
      </c>
      <c r="I8" s="94" t="s">
        <v>30</v>
      </c>
      <c r="J8" s="92"/>
    </row>
    <row r="9" spans="1:10" x14ac:dyDescent="0.25">
      <c r="A9" s="12">
        <f t="shared" si="0"/>
        <v>44537</v>
      </c>
      <c r="B9" s="93">
        <v>19</v>
      </c>
      <c r="C9" s="93">
        <v>0</v>
      </c>
      <c r="D9" s="93">
        <v>0</v>
      </c>
      <c r="E9" s="93">
        <v>13</v>
      </c>
      <c r="F9" s="93">
        <v>0</v>
      </c>
      <c r="G9" s="93">
        <v>0</v>
      </c>
      <c r="H9" s="93">
        <v>0</v>
      </c>
      <c r="I9" s="94" t="s">
        <v>30</v>
      </c>
      <c r="J9" s="92" t="s">
        <v>38</v>
      </c>
    </row>
    <row r="10" spans="1:10" x14ac:dyDescent="0.25">
      <c r="A10" s="12">
        <f t="shared" si="0"/>
        <v>44538</v>
      </c>
      <c r="B10" s="93">
        <v>20</v>
      </c>
      <c r="C10" s="93">
        <v>0</v>
      </c>
      <c r="D10" s="93">
        <v>0</v>
      </c>
      <c r="E10" s="93">
        <v>13</v>
      </c>
      <c r="F10" s="93" t="s">
        <v>29</v>
      </c>
      <c r="G10" s="93">
        <v>0</v>
      </c>
      <c r="H10" s="93">
        <v>0</v>
      </c>
      <c r="I10" s="94" t="s">
        <v>30</v>
      </c>
      <c r="J10" s="92"/>
    </row>
    <row r="11" spans="1:10" x14ac:dyDescent="0.25">
      <c r="A11" s="12">
        <f t="shared" si="0"/>
        <v>44539</v>
      </c>
      <c r="B11" s="93">
        <v>25</v>
      </c>
      <c r="C11" s="93">
        <v>0</v>
      </c>
      <c r="D11" s="93">
        <v>0</v>
      </c>
      <c r="E11" s="93">
        <v>13</v>
      </c>
      <c r="F11" s="93">
        <v>0</v>
      </c>
      <c r="G11" s="93">
        <v>0</v>
      </c>
      <c r="H11" s="93">
        <v>0</v>
      </c>
      <c r="I11" s="94" t="s">
        <v>30</v>
      </c>
      <c r="J11" s="92"/>
    </row>
    <row r="12" spans="1:10" x14ac:dyDescent="0.25">
      <c r="A12" s="12">
        <f t="shared" si="0"/>
        <v>44540</v>
      </c>
      <c r="B12" s="93">
        <v>22</v>
      </c>
      <c r="C12" s="93">
        <v>0</v>
      </c>
      <c r="D12" s="93">
        <v>0</v>
      </c>
      <c r="E12" s="93">
        <v>13</v>
      </c>
      <c r="F12" s="93">
        <v>0</v>
      </c>
      <c r="G12" s="93">
        <v>0</v>
      </c>
      <c r="H12" s="93">
        <v>0</v>
      </c>
      <c r="I12" s="94" t="s">
        <v>30</v>
      </c>
      <c r="J12" s="92"/>
    </row>
    <row r="13" spans="1:10" x14ac:dyDescent="0.25">
      <c r="A13" s="12">
        <f t="shared" si="0"/>
        <v>44541</v>
      </c>
      <c r="B13" s="93">
        <v>20</v>
      </c>
      <c r="C13" s="93">
        <v>0</v>
      </c>
      <c r="D13" s="93">
        <v>0</v>
      </c>
      <c r="E13" s="93">
        <v>13</v>
      </c>
      <c r="F13" s="93" t="s">
        <v>29</v>
      </c>
      <c r="G13" s="93" t="s">
        <v>29</v>
      </c>
      <c r="H13" s="93">
        <v>0</v>
      </c>
      <c r="I13" s="94" t="s">
        <v>30</v>
      </c>
      <c r="J13" s="92"/>
    </row>
    <row r="14" spans="1:10" x14ac:dyDescent="0.25">
      <c r="A14" s="12">
        <f t="shared" si="0"/>
        <v>44542</v>
      </c>
      <c r="B14" s="93">
        <v>28</v>
      </c>
      <c r="C14" s="93">
        <v>0</v>
      </c>
      <c r="D14" s="93">
        <v>0</v>
      </c>
      <c r="E14" s="93">
        <v>12</v>
      </c>
      <c r="F14" s="93">
        <v>0</v>
      </c>
      <c r="G14" s="93">
        <v>0</v>
      </c>
      <c r="H14" s="93">
        <v>0</v>
      </c>
      <c r="I14" s="94" t="s">
        <v>30</v>
      </c>
      <c r="J14" s="92"/>
    </row>
    <row r="15" spans="1:10" x14ac:dyDescent="0.25">
      <c r="A15" s="12">
        <f t="shared" si="0"/>
        <v>44543</v>
      </c>
      <c r="B15" s="93">
        <v>28</v>
      </c>
      <c r="C15" s="93">
        <v>0</v>
      </c>
      <c r="D15" s="93">
        <v>0</v>
      </c>
      <c r="E15" s="93">
        <v>12</v>
      </c>
      <c r="F15" s="93">
        <v>0.12</v>
      </c>
      <c r="G15" s="93">
        <v>0.25</v>
      </c>
      <c r="H15" s="93">
        <v>0</v>
      </c>
      <c r="I15" s="94" t="s">
        <v>30</v>
      </c>
      <c r="J15" s="92"/>
    </row>
    <row r="16" spans="1:10" x14ac:dyDescent="0.25">
      <c r="A16" s="12">
        <f t="shared" si="0"/>
        <v>44544</v>
      </c>
      <c r="B16" s="93">
        <v>31</v>
      </c>
      <c r="C16" s="93">
        <v>0</v>
      </c>
      <c r="D16" s="93">
        <v>0</v>
      </c>
      <c r="E16" s="93">
        <v>12</v>
      </c>
      <c r="F16" s="93">
        <v>0.16</v>
      </c>
      <c r="G16" s="93">
        <v>1.25</v>
      </c>
      <c r="H16" s="93">
        <v>0</v>
      </c>
      <c r="I16" s="94" t="s">
        <v>30</v>
      </c>
      <c r="J16" s="92"/>
    </row>
    <row r="17" spans="1:10" x14ac:dyDescent="0.25">
      <c r="A17" s="12">
        <f t="shared" si="0"/>
        <v>44545</v>
      </c>
      <c r="B17" s="93">
        <v>33</v>
      </c>
      <c r="C17" s="93">
        <v>0</v>
      </c>
      <c r="D17" s="93">
        <v>0</v>
      </c>
      <c r="E17" s="93">
        <v>12</v>
      </c>
      <c r="F17" s="93" t="s">
        <v>29</v>
      </c>
      <c r="G17" s="93">
        <v>0</v>
      </c>
      <c r="H17" s="93">
        <v>0</v>
      </c>
      <c r="I17" s="94" t="s">
        <v>30</v>
      </c>
      <c r="J17" s="97"/>
    </row>
    <row r="18" spans="1:10" x14ac:dyDescent="0.25">
      <c r="A18" s="12">
        <f t="shared" si="0"/>
        <v>44546</v>
      </c>
      <c r="B18" s="93">
        <v>74</v>
      </c>
      <c r="C18" s="93">
        <v>0</v>
      </c>
      <c r="D18" s="93">
        <v>0</v>
      </c>
      <c r="E18" s="93">
        <v>11</v>
      </c>
      <c r="F18" s="93">
        <v>0.25</v>
      </c>
      <c r="G18" s="93">
        <v>1</v>
      </c>
      <c r="H18" s="93">
        <v>0</v>
      </c>
      <c r="I18" s="94" t="s">
        <v>30</v>
      </c>
      <c r="J18" s="97"/>
    </row>
    <row r="19" spans="1:10" x14ac:dyDescent="0.25">
      <c r="A19" s="12">
        <f t="shared" si="0"/>
        <v>44547</v>
      </c>
      <c r="B19" s="93">
        <v>40</v>
      </c>
      <c r="C19" s="93">
        <v>0</v>
      </c>
      <c r="D19" s="93">
        <v>0</v>
      </c>
      <c r="E19" s="93">
        <v>11</v>
      </c>
      <c r="F19" s="93" t="s">
        <v>29</v>
      </c>
      <c r="G19" s="93">
        <v>0</v>
      </c>
      <c r="H19" s="93">
        <v>0</v>
      </c>
      <c r="I19" s="94" t="s">
        <v>30</v>
      </c>
      <c r="J19" s="97"/>
    </row>
    <row r="20" spans="1:10" x14ac:dyDescent="0.25">
      <c r="A20" s="12">
        <f t="shared" si="0"/>
        <v>44548</v>
      </c>
      <c r="B20" s="93">
        <v>21</v>
      </c>
      <c r="C20" s="93">
        <v>0</v>
      </c>
      <c r="D20" s="93">
        <v>0</v>
      </c>
      <c r="E20" s="93">
        <v>11</v>
      </c>
      <c r="F20" s="93">
        <v>0</v>
      </c>
      <c r="G20" s="93">
        <v>0</v>
      </c>
      <c r="H20" s="93">
        <v>0</v>
      </c>
      <c r="I20" s="94" t="s">
        <v>30</v>
      </c>
      <c r="J20" s="97"/>
    </row>
    <row r="21" spans="1:10" x14ac:dyDescent="0.25">
      <c r="A21" s="12">
        <f t="shared" si="0"/>
        <v>44549</v>
      </c>
      <c r="B21" s="93">
        <v>26</v>
      </c>
      <c r="C21" s="93">
        <v>0</v>
      </c>
      <c r="D21" s="93">
        <v>0</v>
      </c>
      <c r="E21" s="93">
        <v>12</v>
      </c>
      <c r="F21" s="93">
        <v>0</v>
      </c>
      <c r="G21" s="93">
        <v>0</v>
      </c>
      <c r="H21" s="93">
        <v>0</v>
      </c>
      <c r="I21" s="94" t="s">
        <v>30</v>
      </c>
      <c r="J21" s="97"/>
    </row>
    <row r="22" spans="1:10" x14ac:dyDescent="0.25">
      <c r="A22" s="12">
        <f t="shared" si="0"/>
        <v>44550</v>
      </c>
      <c r="B22" s="93">
        <v>27</v>
      </c>
      <c r="C22" s="93">
        <v>0</v>
      </c>
      <c r="D22" s="93">
        <v>0</v>
      </c>
      <c r="E22" s="93">
        <v>13</v>
      </c>
      <c r="F22" s="93" t="s">
        <v>29</v>
      </c>
      <c r="G22" s="93">
        <v>0</v>
      </c>
      <c r="H22" s="93">
        <v>0</v>
      </c>
      <c r="I22" s="94"/>
      <c r="J22" s="97"/>
    </row>
    <row r="23" spans="1:10" x14ac:dyDescent="0.25">
      <c r="A23" s="12">
        <f t="shared" si="0"/>
        <v>44551</v>
      </c>
      <c r="B23" s="93">
        <v>16</v>
      </c>
      <c r="C23" s="93">
        <v>0</v>
      </c>
      <c r="D23" s="93">
        <v>0</v>
      </c>
      <c r="E23" s="93">
        <v>12</v>
      </c>
      <c r="F23" s="93">
        <v>0</v>
      </c>
      <c r="G23" s="93">
        <v>0</v>
      </c>
      <c r="H23" s="93">
        <v>0</v>
      </c>
      <c r="I23" s="94"/>
      <c r="J23" s="97"/>
    </row>
    <row r="24" spans="1:10" x14ac:dyDescent="0.25">
      <c r="A24" s="12">
        <f t="shared" si="0"/>
        <v>44552</v>
      </c>
      <c r="B24" s="93">
        <v>24</v>
      </c>
      <c r="C24" s="93">
        <v>0</v>
      </c>
      <c r="D24" s="93">
        <v>0</v>
      </c>
      <c r="E24" s="93">
        <v>11</v>
      </c>
      <c r="F24" s="93">
        <v>0.04</v>
      </c>
      <c r="G24" s="93">
        <v>0</v>
      </c>
      <c r="H24" s="93">
        <v>0</v>
      </c>
      <c r="I24" s="94"/>
      <c r="J24" s="97"/>
    </row>
    <row r="25" spans="1:10" x14ac:dyDescent="0.25">
      <c r="A25" s="12">
        <f t="shared" si="0"/>
        <v>44553</v>
      </c>
      <c r="B25" s="93">
        <v>34</v>
      </c>
      <c r="C25" s="93">
        <v>0</v>
      </c>
      <c r="D25" s="93">
        <v>0</v>
      </c>
      <c r="E25" s="93">
        <v>10</v>
      </c>
      <c r="F25" s="93">
        <v>0</v>
      </c>
      <c r="G25" s="93">
        <v>0</v>
      </c>
      <c r="H25" s="93">
        <v>0</v>
      </c>
      <c r="I25" s="94"/>
      <c r="J25" s="97"/>
    </row>
    <row r="26" spans="1:10" x14ac:dyDescent="0.25">
      <c r="A26" s="12">
        <f t="shared" si="0"/>
        <v>44554</v>
      </c>
      <c r="B26" s="93">
        <v>28</v>
      </c>
      <c r="C26" s="93">
        <v>0</v>
      </c>
      <c r="D26" s="93">
        <v>0</v>
      </c>
      <c r="E26" s="93">
        <v>10</v>
      </c>
      <c r="F26" s="93">
        <v>0.25</v>
      </c>
      <c r="G26" s="93">
        <v>2</v>
      </c>
      <c r="H26" s="93">
        <v>0</v>
      </c>
      <c r="I26" s="94"/>
      <c r="J26" s="97"/>
    </row>
    <row r="27" spans="1:10" x14ac:dyDescent="0.25">
      <c r="A27" s="12">
        <f t="shared" si="0"/>
        <v>44555</v>
      </c>
      <c r="B27" s="93">
        <v>27</v>
      </c>
      <c r="C27" s="93">
        <v>0</v>
      </c>
      <c r="D27" s="93">
        <v>0</v>
      </c>
      <c r="E27" s="93">
        <v>10</v>
      </c>
      <c r="F27" s="93">
        <v>0.12</v>
      </c>
      <c r="G27" s="93">
        <v>1</v>
      </c>
      <c r="H27" s="93">
        <v>0</v>
      </c>
      <c r="I27" s="94"/>
      <c r="J27" s="97"/>
    </row>
    <row r="28" spans="1:10" x14ac:dyDescent="0.25">
      <c r="A28" s="12">
        <f t="shared" si="0"/>
        <v>44556</v>
      </c>
      <c r="B28" s="93">
        <v>31</v>
      </c>
      <c r="C28" s="93">
        <v>0</v>
      </c>
      <c r="D28" s="93">
        <v>0</v>
      </c>
      <c r="E28" s="93">
        <v>9</v>
      </c>
      <c r="F28" s="93">
        <v>0</v>
      </c>
      <c r="G28" s="93">
        <v>2</v>
      </c>
      <c r="H28" s="93">
        <v>0</v>
      </c>
      <c r="I28" s="94"/>
      <c r="J28" s="97"/>
    </row>
    <row r="29" spans="1:10" x14ac:dyDescent="0.25">
      <c r="A29" s="12">
        <f t="shared" si="0"/>
        <v>44557</v>
      </c>
      <c r="B29" s="93">
        <v>28</v>
      </c>
      <c r="C29" s="93">
        <v>0</v>
      </c>
      <c r="D29" s="93">
        <v>0</v>
      </c>
      <c r="E29" s="93">
        <v>9</v>
      </c>
      <c r="F29" s="93">
        <v>0.21</v>
      </c>
      <c r="G29" s="93">
        <v>4</v>
      </c>
      <c r="H29" s="93">
        <v>0</v>
      </c>
      <c r="I29" s="94"/>
      <c r="J29" s="97"/>
    </row>
    <row r="30" spans="1:10" x14ac:dyDescent="0.25">
      <c r="A30" s="12">
        <f t="shared" si="0"/>
        <v>44558</v>
      </c>
      <c r="B30" s="93">
        <v>45</v>
      </c>
      <c r="C30" s="93">
        <v>0</v>
      </c>
      <c r="D30" s="93">
        <v>0</v>
      </c>
      <c r="E30" s="93">
        <v>10</v>
      </c>
      <c r="F30" s="93">
        <v>0.02</v>
      </c>
      <c r="G30" s="93">
        <v>0</v>
      </c>
      <c r="H30" s="93">
        <v>0</v>
      </c>
      <c r="I30" s="94"/>
      <c r="J30" s="92"/>
    </row>
    <row r="31" spans="1:10" x14ac:dyDescent="0.25">
      <c r="A31" s="12">
        <f t="shared" si="0"/>
        <v>44559</v>
      </c>
      <c r="B31" s="93">
        <v>36</v>
      </c>
      <c r="C31" s="93">
        <v>0</v>
      </c>
      <c r="D31" s="93">
        <v>0</v>
      </c>
      <c r="E31" s="93">
        <v>10</v>
      </c>
      <c r="F31" s="93">
        <v>0.05</v>
      </c>
      <c r="G31" s="93" t="s">
        <v>29</v>
      </c>
      <c r="H31" s="93">
        <v>0</v>
      </c>
      <c r="I31" s="94"/>
      <c r="J31" s="92"/>
    </row>
    <row r="32" spans="1:10" x14ac:dyDescent="0.25">
      <c r="A32" s="12">
        <f t="shared" si="0"/>
        <v>44560</v>
      </c>
      <c r="B32" s="93">
        <v>38</v>
      </c>
      <c r="C32" s="93">
        <v>0</v>
      </c>
      <c r="D32" s="93">
        <v>0</v>
      </c>
      <c r="E32" s="93">
        <v>10</v>
      </c>
      <c r="F32" s="93" t="s">
        <v>29</v>
      </c>
      <c r="G32" s="93" t="s">
        <v>29</v>
      </c>
      <c r="H32" s="93">
        <v>0</v>
      </c>
      <c r="I32" s="94"/>
      <c r="J32" s="92"/>
    </row>
    <row r="33" spans="1:16" ht="15.75" thickBot="1" x14ac:dyDescent="0.3">
      <c r="A33" s="12">
        <f t="shared" si="0"/>
        <v>44561</v>
      </c>
      <c r="B33" s="101">
        <v>36</v>
      </c>
      <c r="C33" s="101">
        <v>0</v>
      </c>
      <c r="D33" s="93">
        <v>0</v>
      </c>
      <c r="E33" s="93">
        <v>10</v>
      </c>
      <c r="F33" s="101">
        <v>0</v>
      </c>
      <c r="G33" s="93">
        <v>2</v>
      </c>
      <c r="H33" s="93">
        <v>0</v>
      </c>
      <c r="I33" s="94"/>
      <c r="J33" s="92"/>
    </row>
    <row r="34" spans="1:16" s="11" customFormat="1" ht="15.75" thickTop="1" x14ac:dyDescent="0.25">
      <c r="A34" s="15" t="s">
        <v>8</v>
      </c>
      <c r="B34" s="16">
        <f t="shared" ref="B34" si="1">SUM(B3:B33)</f>
        <v>860</v>
      </c>
      <c r="C34" s="16">
        <f t="shared" ref="C34:H34" si="2">SUM(C3:C33)</f>
        <v>98</v>
      </c>
      <c r="D34" s="16">
        <f t="shared" si="2"/>
        <v>0</v>
      </c>
      <c r="E34" s="16">
        <f t="shared" si="2"/>
        <v>390</v>
      </c>
      <c r="F34" s="17">
        <f t="shared" si="2"/>
        <v>1.2300000000000002</v>
      </c>
      <c r="G34" s="17">
        <f t="shared" si="2"/>
        <v>13.5</v>
      </c>
      <c r="H34" s="16">
        <f t="shared" si="2"/>
        <v>0</v>
      </c>
      <c r="I34" s="17"/>
    </row>
    <row r="35" spans="1:16" s="11" customFormat="1" x14ac:dyDescent="0.25">
      <c r="A35" s="18" t="s">
        <v>9</v>
      </c>
      <c r="B35" s="19">
        <f>SUM(B34+'Nov 2021'!B34)</f>
        <v>2156</v>
      </c>
      <c r="C35" s="19">
        <f>SUM(C34+'Nov 2021'!C34)</f>
        <v>1345</v>
      </c>
      <c r="D35" s="19">
        <f>SUM(D34+'Nov 2021'!D34)</f>
        <v>0</v>
      </c>
      <c r="E35" s="19">
        <f>SUM(E34+'Nov 2021'!E34)</f>
        <v>2253</v>
      </c>
      <c r="F35" s="20">
        <f>SUM(F34+'Nov 2021'!F34)</f>
        <v>3.5500000000000007</v>
      </c>
      <c r="G35" s="20">
        <f>SUM(G34+'Nov 2021'!G34)</f>
        <v>13.5</v>
      </c>
      <c r="H35" s="19">
        <f>SUM(H34+'Nov 2021'!H34)</f>
        <v>0</v>
      </c>
      <c r="I35" s="20"/>
    </row>
    <row r="37" spans="1:16" x14ac:dyDescent="0.25">
      <c r="A37" t="s">
        <v>10</v>
      </c>
      <c r="B37" s="22">
        <f>SUM(B3:B33)*1.9835</f>
        <v>1705.81</v>
      </c>
      <c r="C37" s="22">
        <f>SUM(C3:C33)*1.9835</f>
        <v>194.38300000000001</v>
      </c>
      <c r="D37" s="22">
        <f>SUM(D3:D33)*1.9835</f>
        <v>0</v>
      </c>
      <c r="E37" s="22">
        <f>SUM(E3:E33)*1.9835</f>
        <v>773.56500000000005</v>
      </c>
      <c r="F37" s="22"/>
      <c r="G37" s="22"/>
      <c r="H37" s="22"/>
      <c r="J37" s="21"/>
    </row>
    <row r="39" spans="1:16" x14ac:dyDescent="0.25">
      <c r="A39" t="s">
        <v>24</v>
      </c>
      <c r="B39" s="22">
        <f>SUM('Nov 2021'!B38+B37)</f>
        <v>4276.4259999999995</v>
      </c>
      <c r="C39" s="22">
        <f>SUM('Nov 2021'!C38+C37)</f>
        <v>2667.8074999999999</v>
      </c>
      <c r="D39" s="22">
        <f>SUM('Nov 2021'!D38+D37)</f>
        <v>0</v>
      </c>
      <c r="E39" s="22">
        <f>SUM('Nov 2021'!E38+E37)</f>
        <v>4468.8255000000008</v>
      </c>
      <c r="F39" s="22"/>
      <c r="G39" s="22"/>
      <c r="H39" s="22"/>
      <c r="J39" s="21"/>
    </row>
    <row r="40" spans="1:16" x14ac:dyDescent="0.25">
      <c r="C40" s="22"/>
      <c r="D40" s="22"/>
      <c r="E40" s="23"/>
      <c r="F40" s="22"/>
      <c r="G40" s="22"/>
      <c r="H40" s="22"/>
      <c r="J40" s="21"/>
    </row>
    <row r="41" spans="1:16" ht="17.4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  <c r="L41" s="27"/>
      <c r="M41" s="27"/>
      <c r="N41" s="27"/>
      <c r="O41" s="28"/>
      <c r="P41" s="27"/>
    </row>
    <row r="42" spans="1:16" ht="16.899999999999999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7"/>
      <c r="O42" s="28"/>
      <c r="P42" s="27"/>
    </row>
    <row r="43" spans="1:16" ht="13.9" customHeight="1" x14ac:dyDescent="0.25">
      <c r="A43" s="115" t="s">
        <v>23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29"/>
      <c r="M43" s="29"/>
      <c r="N43" s="29"/>
      <c r="O43" s="30"/>
      <c r="P43" s="31"/>
    </row>
    <row r="44" spans="1:16" ht="15.6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1"/>
      <c r="O48" s="30"/>
    </row>
    <row r="49" spans="1:16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1"/>
      <c r="O49" s="30"/>
    </row>
    <row r="50" spans="1:16" ht="13.15" customHeight="1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1"/>
      <c r="O50" s="30"/>
      <c r="P50" s="31"/>
    </row>
    <row r="51" spans="1:16" ht="15.75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1"/>
      <c r="O51" s="30"/>
      <c r="P51" s="31"/>
    </row>
    <row r="52" spans="1:16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  <c r="K52" s="54"/>
    </row>
    <row r="53" spans="1:16" ht="15.75" x14ac:dyDescent="0.25">
      <c r="A53" s="55"/>
      <c r="B53" s="107"/>
      <c r="C53" s="56"/>
      <c r="D53" s="57"/>
      <c r="E53" s="58"/>
      <c r="F53" s="59"/>
      <c r="G53" s="60"/>
      <c r="H53" s="61"/>
      <c r="I53" s="62"/>
      <c r="J53" s="63"/>
      <c r="K53" s="63"/>
    </row>
    <row r="54" spans="1:16" x14ac:dyDescent="0.25">
      <c r="A54" s="64"/>
      <c r="B54" s="108"/>
      <c r="C54" s="65"/>
      <c r="D54" s="66"/>
      <c r="E54" s="58"/>
      <c r="F54" s="67"/>
      <c r="G54" s="68"/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/>
      <c r="H55" s="61"/>
      <c r="I55" s="62"/>
    </row>
    <row r="56" spans="1:16" x14ac:dyDescent="0.25">
      <c r="A56" s="64"/>
      <c r="B56" s="108"/>
      <c r="C56" s="65"/>
      <c r="D56" s="66"/>
      <c r="E56" s="58"/>
      <c r="F56" s="69"/>
      <c r="G56" s="68"/>
      <c r="H56" s="61"/>
      <c r="I56" s="62"/>
    </row>
    <row r="57" spans="1:16" ht="15.75" thickBot="1" x14ac:dyDescent="0.3">
      <c r="A57" s="70"/>
      <c r="B57" s="109"/>
      <c r="C57" s="71"/>
      <c r="D57" s="72"/>
      <c r="E57" s="73"/>
      <c r="F57" s="72"/>
      <c r="G57" s="74"/>
      <c r="H57" s="61"/>
      <c r="I57" s="62"/>
      <c r="J57" s="75"/>
      <c r="K57" s="75"/>
    </row>
    <row r="58" spans="1:16" s="81" customFormat="1" ht="30" customHeight="1" x14ac:dyDescent="0.25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</row>
  </sheetData>
  <mergeCells count="4"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zoomScaleNormal="100" workbookViewId="0">
      <selection activeCell="K35" sqref="K35"/>
    </sheetView>
  </sheetViews>
  <sheetFormatPr defaultRowHeight="15" x14ac:dyDescent="0.25"/>
  <cols>
    <col min="1" max="1" width="13.5703125" style="2" bestFit="1" customWidth="1"/>
    <col min="2" max="2" width="13.5703125" style="2" customWidth="1"/>
    <col min="3" max="5" width="11.7109375" style="6" customWidth="1"/>
    <col min="6" max="7" width="11.7109375" customWidth="1"/>
    <col min="8" max="8" width="11.7109375" style="6" customWidth="1"/>
    <col min="9" max="9" width="11.7109375" customWidth="1"/>
    <col min="10" max="10" width="29" bestFit="1" customWidth="1"/>
  </cols>
  <sheetData>
    <row r="1" spans="1:10" s="1" customFormat="1" ht="30" x14ac:dyDescent="0.25">
      <c r="A1" s="84" t="s">
        <v>0</v>
      </c>
      <c r="B1" s="5" t="s">
        <v>43</v>
      </c>
      <c r="C1" s="5" t="s">
        <v>5</v>
      </c>
      <c r="D1" s="5" t="s">
        <v>1</v>
      </c>
      <c r="E1" s="5" t="s">
        <v>2</v>
      </c>
      <c r="F1" s="7" t="s">
        <v>6</v>
      </c>
      <c r="G1" s="7" t="s">
        <v>7</v>
      </c>
      <c r="H1" s="5" t="s">
        <v>3</v>
      </c>
      <c r="I1" s="3" t="s">
        <v>4</v>
      </c>
      <c r="J1" s="3" t="s">
        <v>11</v>
      </c>
    </row>
    <row r="2" spans="1:10" s="1" customFormat="1" x14ac:dyDescent="0.25">
      <c r="A2" s="83"/>
      <c r="B2" s="5" t="s">
        <v>25</v>
      </c>
      <c r="C2" s="5" t="s">
        <v>25</v>
      </c>
      <c r="D2" s="5" t="s">
        <v>25</v>
      </c>
      <c r="E2" s="5" t="s">
        <v>25</v>
      </c>
      <c r="F2" s="7"/>
      <c r="G2" s="7"/>
      <c r="H2" s="5" t="s">
        <v>26</v>
      </c>
      <c r="I2" s="3"/>
      <c r="J2" s="82"/>
    </row>
    <row r="3" spans="1:10" x14ac:dyDescent="0.25">
      <c r="A3" s="12">
        <v>44501</v>
      </c>
      <c r="B3" s="99">
        <v>27</v>
      </c>
      <c r="C3" s="99">
        <v>20</v>
      </c>
      <c r="D3" s="99">
        <v>0</v>
      </c>
      <c r="E3" s="99">
        <v>47</v>
      </c>
      <c r="F3" s="99">
        <v>0.16</v>
      </c>
      <c r="G3" s="99">
        <v>0</v>
      </c>
      <c r="H3" s="99">
        <v>0</v>
      </c>
      <c r="I3" s="99" t="s">
        <v>30</v>
      </c>
      <c r="J3" s="92"/>
    </row>
    <row r="4" spans="1:10" x14ac:dyDescent="0.25">
      <c r="A4" s="12">
        <f>A3+1</f>
        <v>44502</v>
      </c>
      <c r="B4" s="99">
        <v>25</v>
      </c>
      <c r="C4" s="99">
        <v>20</v>
      </c>
      <c r="D4" s="99">
        <v>0</v>
      </c>
      <c r="E4" s="99">
        <v>47</v>
      </c>
      <c r="F4" s="99">
        <v>0</v>
      </c>
      <c r="G4" s="99">
        <v>0</v>
      </c>
      <c r="H4" s="99">
        <v>0</v>
      </c>
      <c r="I4" s="99" t="s">
        <v>30</v>
      </c>
      <c r="J4" s="92"/>
    </row>
    <row r="5" spans="1:10" x14ac:dyDescent="0.25">
      <c r="A5" s="12">
        <f t="shared" ref="A5:A32" si="0">A4+1</f>
        <v>44503</v>
      </c>
      <c r="B5" s="99">
        <v>24</v>
      </c>
      <c r="C5" s="99">
        <v>23</v>
      </c>
      <c r="D5" s="99">
        <v>0</v>
      </c>
      <c r="E5" s="99">
        <v>48</v>
      </c>
      <c r="F5" s="99">
        <v>0.01</v>
      </c>
      <c r="G5" s="99">
        <v>0</v>
      </c>
      <c r="H5" s="99">
        <v>0</v>
      </c>
      <c r="I5" s="99" t="s">
        <v>30</v>
      </c>
      <c r="J5" s="92" t="s">
        <v>33</v>
      </c>
    </row>
    <row r="6" spans="1:10" x14ac:dyDescent="0.25">
      <c r="A6" s="12">
        <f t="shared" si="0"/>
        <v>44504</v>
      </c>
      <c r="B6" s="99">
        <v>42</v>
      </c>
      <c r="C6" s="99">
        <v>25</v>
      </c>
      <c r="D6" s="99">
        <v>0</v>
      </c>
      <c r="E6" s="99">
        <v>47</v>
      </c>
      <c r="F6" s="99">
        <v>0.02</v>
      </c>
      <c r="G6" s="99">
        <v>0</v>
      </c>
      <c r="H6" s="99">
        <v>0</v>
      </c>
      <c r="I6" s="99" t="s">
        <v>30</v>
      </c>
      <c r="J6" s="92"/>
    </row>
    <row r="7" spans="1:10" x14ac:dyDescent="0.25">
      <c r="A7" s="12">
        <f t="shared" si="0"/>
        <v>44505</v>
      </c>
      <c r="B7" s="99">
        <v>36</v>
      </c>
      <c r="C7" s="99">
        <v>25</v>
      </c>
      <c r="D7" s="99">
        <v>0</v>
      </c>
      <c r="E7" s="99">
        <v>34</v>
      </c>
      <c r="F7" s="99">
        <v>7.0000000000000007E-2</v>
      </c>
      <c r="G7" s="99">
        <v>0</v>
      </c>
      <c r="H7" s="99">
        <v>0</v>
      </c>
      <c r="I7" s="99" t="s">
        <v>30</v>
      </c>
      <c r="J7" s="92"/>
    </row>
    <row r="8" spans="1:10" x14ac:dyDescent="0.25">
      <c r="A8" s="12">
        <f t="shared" si="0"/>
        <v>44506</v>
      </c>
      <c r="B8" s="99">
        <v>35</v>
      </c>
      <c r="C8" s="99">
        <v>25</v>
      </c>
      <c r="D8" s="99">
        <v>0</v>
      </c>
      <c r="E8" s="99">
        <v>32</v>
      </c>
      <c r="F8" s="99">
        <v>0.17</v>
      </c>
      <c r="G8" s="99">
        <v>0</v>
      </c>
      <c r="H8" s="99">
        <v>0</v>
      </c>
      <c r="I8" s="99" t="s">
        <v>30</v>
      </c>
      <c r="J8" s="92"/>
    </row>
    <row r="9" spans="1:10" x14ac:dyDescent="0.25">
      <c r="A9" s="12">
        <f t="shared" si="0"/>
        <v>44507</v>
      </c>
      <c r="B9" s="99">
        <v>28</v>
      </c>
      <c r="C9" s="99">
        <v>25</v>
      </c>
      <c r="D9" s="99">
        <v>0</v>
      </c>
      <c r="E9" s="99">
        <v>33</v>
      </c>
      <c r="F9" s="99">
        <v>0</v>
      </c>
      <c r="G9" s="99">
        <v>0</v>
      </c>
      <c r="H9" s="99">
        <v>0</v>
      </c>
      <c r="I9" s="99" t="s">
        <v>30</v>
      </c>
      <c r="J9" s="92"/>
    </row>
    <row r="10" spans="1:10" x14ac:dyDescent="0.25">
      <c r="A10" s="12">
        <f t="shared" si="0"/>
        <v>44508</v>
      </c>
      <c r="B10" s="99">
        <v>28</v>
      </c>
      <c r="C10" s="99">
        <v>25</v>
      </c>
      <c r="D10" s="99">
        <v>0</v>
      </c>
      <c r="E10" s="99">
        <v>26</v>
      </c>
      <c r="F10" s="99">
        <v>0</v>
      </c>
      <c r="G10" s="99">
        <v>0</v>
      </c>
      <c r="H10" s="99">
        <v>0</v>
      </c>
      <c r="I10" s="99" t="s">
        <v>30</v>
      </c>
      <c r="J10" s="92"/>
    </row>
    <row r="11" spans="1:10" x14ac:dyDescent="0.25">
      <c r="A11" s="12">
        <f t="shared" si="0"/>
        <v>44509</v>
      </c>
      <c r="B11" s="99">
        <v>30</v>
      </c>
      <c r="C11" s="99">
        <v>25</v>
      </c>
      <c r="D11" s="99">
        <v>0</v>
      </c>
      <c r="E11" s="99">
        <v>26</v>
      </c>
      <c r="F11" s="99">
        <v>0.02</v>
      </c>
      <c r="G11" s="99">
        <v>0</v>
      </c>
      <c r="H11" s="99">
        <v>0</v>
      </c>
      <c r="I11" s="99" t="s">
        <v>30</v>
      </c>
      <c r="J11" s="92"/>
    </row>
    <row r="12" spans="1:10" x14ac:dyDescent="0.25">
      <c r="A12" s="12">
        <f t="shared" si="0"/>
        <v>44510</v>
      </c>
      <c r="B12" s="99">
        <v>30</v>
      </c>
      <c r="C12" s="99">
        <v>25</v>
      </c>
      <c r="D12" s="99">
        <v>0</v>
      </c>
      <c r="E12" s="99">
        <v>26</v>
      </c>
      <c r="F12" s="99">
        <v>0.01</v>
      </c>
      <c r="G12" s="99">
        <v>0</v>
      </c>
      <c r="H12" s="99">
        <v>0</v>
      </c>
      <c r="I12" s="99" t="s">
        <v>30</v>
      </c>
      <c r="J12" s="92"/>
    </row>
    <row r="13" spans="1:10" x14ac:dyDescent="0.25">
      <c r="A13" s="12">
        <f t="shared" si="0"/>
        <v>44511</v>
      </c>
      <c r="B13" s="99">
        <v>30</v>
      </c>
      <c r="C13" s="99">
        <v>25</v>
      </c>
      <c r="D13" s="99">
        <v>0</v>
      </c>
      <c r="E13" s="99">
        <v>26</v>
      </c>
      <c r="F13" s="99">
        <v>0.05</v>
      </c>
      <c r="G13" s="99">
        <v>0</v>
      </c>
      <c r="H13" s="99">
        <v>0</v>
      </c>
      <c r="I13" s="99" t="s">
        <v>30</v>
      </c>
      <c r="J13" s="92"/>
    </row>
    <row r="14" spans="1:10" x14ac:dyDescent="0.25">
      <c r="A14" s="12">
        <f t="shared" si="0"/>
        <v>44512</v>
      </c>
      <c r="B14" s="99">
        <v>29</v>
      </c>
      <c r="C14" s="99">
        <v>25</v>
      </c>
      <c r="D14" s="99">
        <v>0</v>
      </c>
      <c r="E14" s="99">
        <v>26</v>
      </c>
      <c r="F14" s="99">
        <v>0</v>
      </c>
      <c r="G14" s="99">
        <v>0</v>
      </c>
      <c r="H14" s="99">
        <v>0</v>
      </c>
      <c r="I14" s="99" t="s">
        <v>30</v>
      </c>
      <c r="J14" s="92"/>
    </row>
    <row r="15" spans="1:10" x14ac:dyDescent="0.25">
      <c r="A15" s="12">
        <f t="shared" si="0"/>
        <v>44513</v>
      </c>
      <c r="B15" s="99">
        <v>26</v>
      </c>
      <c r="C15" s="99">
        <v>25</v>
      </c>
      <c r="D15" s="99">
        <v>0</v>
      </c>
      <c r="E15" s="99">
        <v>26</v>
      </c>
      <c r="F15" s="99">
        <v>0</v>
      </c>
      <c r="G15" s="99">
        <v>0</v>
      </c>
      <c r="H15" s="99">
        <v>0</v>
      </c>
      <c r="I15" s="99" t="s">
        <v>30</v>
      </c>
      <c r="J15" s="92"/>
    </row>
    <row r="16" spans="1:10" x14ac:dyDescent="0.25">
      <c r="A16" s="12">
        <f t="shared" si="0"/>
        <v>44514</v>
      </c>
      <c r="B16" s="99">
        <v>25</v>
      </c>
      <c r="C16" s="99">
        <v>25</v>
      </c>
      <c r="D16" s="99">
        <v>0</v>
      </c>
      <c r="E16" s="99">
        <v>26</v>
      </c>
      <c r="F16" s="99">
        <v>0</v>
      </c>
      <c r="G16" s="99">
        <v>0</v>
      </c>
      <c r="H16" s="99">
        <v>0</v>
      </c>
      <c r="I16" s="99" t="s">
        <v>30</v>
      </c>
      <c r="J16" s="92"/>
    </row>
    <row r="17" spans="1:10" x14ac:dyDescent="0.25">
      <c r="A17" s="12">
        <f t="shared" si="0"/>
        <v>44515</v>
      </c>
      <c r="B17" s="99">
        <v>26</v>
      </c>
      <c r="C17" s="99">
        <v>25</v>
      </c>
      <c r="D17" s="99">
        <v>0</v>
      </c>
      <c r="E17" s="99">
        <v>27</v>
      </c>
      <c r="F17" s="99">
        <v>0.01</v>
      </c>
      <c r="G17" s="99">
        <v>0</v>
      </c>
      <c r="H17" s="99">
        <v>0</v>
      </c>
      <c r="I17" s="99" t="s">
        <v>30</v>
      </c>
      <c r="J17" s="92"/>
    </row>
    <row r="18" spans="1:10" x14ac:dyDescent="0.25">
      <c r="A18" s="12">
        <f t="shared" si="0"/>
        <v>44516</v>
      </c>
      <c r="B18" s="99">
        <v>24</v>
      </c>
      <c r="C18" s="99">
        <v>25</v>
      </c>
      <c r="D18" s="99">
        <v>0</v>
      </c>
      <c r="E18" s="99">
        <v>27</v>
      </c>
      <c r="F18" s="99">
        <v>0.01</v>
      </c>
      <c r="G18" s="99">
        <v>0</v>
      </c>
      <c r="H18" s="99">
        <v>0</v>
      </c>
      <c r="I18" s="99" t="s">
        <v>30</v>
      </c>
      <c r="J18" s="92"/>
    </row>
    <row r="19" spans="1:10" x14ac:dyDescent="0.25">
      <c r="A19" s="12">
        <f t="shared" si="0"/>
        <v>44517</v>
      </c>
      <c r="B19" s="99">
        <v>32</v>
      </c>
      <c r="C19" s="99">
        <v>25</v>
      </c>
      <c r="D19" s="99">
        <v>0</v>
      </c>
      <c r="E19" s="99">
        <v>27</v>
      </c>
      <c r="F19" s="99">
        <v>0</v>
      </c>
      <c r="G19" s="99">
        <v>0</v>
      </c>
      <c r="H19" s="99">
        <v>0</v>
      </c>
      <c r="I19" s="99" t="s">
        <v>30</v>
      </c>
      <c r="J19" s="92"/>
    </row>
    <row r="20" spans="1:10" x14ac:dyDescent="0.25">
      <c r="A20" s="12">
        <f t="shared" si="0"/>
        <v>44518</v>
      </c>
      <c r="B20" s="99">
        <v>38</v>
      </c>
      <c r="C20" s="99">
        <v>25</v>
      </c>
      <c r="D20" s="99">
        <v>0</v>
      </c>
      <c r="E20" s="99">
        <v>26</v>
      </c>
      <c r="F20" s="99" t="s">
        <v>29</v>
      </c>
      <c r="G20" s="99">
        <v>0</v>
      </c>
      <c r="H20" s="99">
        <v>0</v>
      </c>
      <c r="I20" s="99" t="s">
        <v>30</v>
      </c>
      <c r="J20" s="92"/>
    </row>
    <row r="21" spans="1:10" x14ac:dyDescent="0.25">
      <c r="A21" s="12">
        <f t="shared" si="0"/>
        <v>44519</v>
      </c>
      <c r="B21" s="99">
        <v>37</v>
      </c>
      <c r="C21" s="99">
        <v>25</v>
      </c>
      <c r="D21" s="99">
        <v>0</v>
      </c>
      <c r="E21" s="99">
        <v>26</v>
      </c>
      <c r="F21" s="99" t="s">
        <v>29</v>
      </c>
      <c r="G21" s="99">
        <v>0</v>
      </c>
      <c r="H21" s="99">
        <v>0</v>
      </c>
      <c r="I21" s="99" t="s">
        <v>30</v>
      </c>
      <c r="J21" s="92"/>
    </row>
    <row r="22" spans="1:10" x14ac:dyDescent="0.25">
      <c r="A22" s="12">
        <f t="shared" si="0"/>
        <v>44520</v>
      </c>
      <c r="B22" s="99">
        <v>37</v>
      </c>
      <c r="C22" s="99">
        <v>25</v>
      </c>
      <c r="D22" s="99">
        <v>0</v>
      </c>
      <c r="E22" s="99">
        <v>28</v>
      </c>
      <c r="F22" s="99">
        <v>0</v>
      </c>
      <c r="G22" s="99">
        <v>0</v>
      </c>
      <c r="H22" s="99">
        <v>0</v>
      </c>
      <c r="I22" s="99" t="s">
        <v>30</v>
      </c>
      <c r="J22" s="92"/>
    </row>
    <row r="23" spans="1:10" x14ac:dyDescent="0.25">
      <c r="A23" s="12">
        <f t="shared" si="0"/>
        <v>44521</v>
      </c>
      <c r="B23" s="99">
        <v>36</v>
      </c>
      <c r="C23" s="99">
        <v>25</v>
      </c>
      <c r="D23" s="99">
        <v>0</v>
      </c>
      <c r="E23" s="99">
        <v>28</v>
      </c>
      <c r="F23" s="99">
        <v>0</v>
      </c>
      <c r="G23" s="99">
        <v>0</v>
      </c>
      <c r="H23" s="99">
        <v>0</v>
      </c>
      <c r="I23" s="99" t="s">
        <v>30</v>
      </c>
      <c r="J23" s="92"/>
    </row>
    <row r="24" spans="1:10" x14ac:dyDescent="0.25">
      <c r="A24" s="12">
        <f t="shared" si="0"/>
        <v>44522</v>
      </c>
      <c r="B24" s="99">
        <v>34</v>
      </c>
      <c r="C24" s="99">
        <v>28</v>
      </c>
      <c r="D24" s="99">
        <v>0</v>
      </c>
      <c r="E24" s="99">
        <v>31</v>
      </c>
      <c r="F24" s="99">
        <v>0</v>
      </c>
      <c r="G24" s="99">
        <v>0</v>
      </c>
      <c r="H24" s="99">
        <v>0</v>
      </c>
      <c r="I24" s="99" t="s">
        <v>30</v>
      </c>
      <c r="J24" s="92" t="s">
        <v>34</v>
      </c>
    </row>
    <row r="25" spans="1:10" x14ac:dyDescent="0.25">
      <c r="A25" s="12">
        <f t="shared" si="0"/>
        <v>44523</v>
      </c>
      <c r="B25" s="99">
        <v>31</v>
      </c>
      <c r="C25" s="99">
        <v>30</v>
      </c>
      <c r="D25" s="99">
        <v>0</v>
      </c>
      <c r="E25" s="99">
        <v>38</v>
      </c>
      <c r="F25" s="99">
        <v>0</v>
      </c>
      <c r="G25" s="99">
        <v>0</v>
      </c>
      <c r="H25" s="99">
        <v>0</v>
      </c>
      <c r="I25" s="99" t="s">
        <v>30</v>
      </c>
      <c r="J25" s="92"/>
    </row>
    <row r="26" spans="1:10" x14ac:dyDescent="0.25">
      <c r="A26" s="12">
        <f t="shared" si="0"/>
        <v>44524</v>
      </c>
      <c r="B26" s="99">
        <v>29</v>
      </c>
      <c r="C26" s="99">
        <v>27</v>
      </c>
      <c r="D26" s="99">
        <v>0</v>
      </c>
      <c r="E26" s="99">
        <v>38</v>
      </c>
      <c r="F26" s="99">
        <v>0</v>
      </c>
      <c r="G26" s="99">
        <v>0</v>
      </c>
      <c r="H26" s="99">
        <v>0</v>
      </c>
      <c r="I26" s="99" t="s">
        <v>30</v>
      </c>
      <c r="J26" s="92" t="s">
        <v>35</v>
      </c>
    </row>
    <row r="27" spans="1:10" x14ac:dyDescent="0.25">
      <c r="A27" s="12">
        <f t="shared" si="0"/>
        <v>44525</v>
      </c>
      <c r="B27" s="99">
        <v>29</v>
      </c>
      <c r="C27" s="99">
        <v>25</v>
      </c>
      <c r="D27" s="99">
        <v>0</v>
      </c>
      <c r="E27" s="99">
        <v>38</v>
      </c>
      <c r="F27" s="99">
        <v>0.02</v>
      </c>
      <c r="G27" s="99">
        <v>0</v>
      </c>
      <c r="H27" s="99">
        <v>0</v>
      </c>
      <c r="I27" s="99" t="s">
        <v>30</v>
      </c>
      <c r="J27" s="92"/>
    </row>
    <row r="28" spans="1:10" x14ac:dyDescent="0.25">
      <c r="A28" s="12">
        <f t="shared" si="0"/>
        <v>44526</v>
      </c>
      <c r="B28" s="99">
        <v>29</v>
      </c>
      <c r="C28" s="99">
        <v>25</v>
      </c>
      <c r="D28" s="99">
        <v>0</v>
      </c>
      <c r="E28" s="99">
        <v>38</v>
      </c>
      <c r="F28" s="99">
        <v>0</v>
      </c>
      <c r="G28" s="99">
        <v>0</v>
      </c>
      <c r="H28" s="99">
        <v>0</v>
      </c>
      <c r="I28" s="99" t="s">
        <v>30</v>
      </c>
      <c r="J28" s="92"/>
    </row>
    <row r="29" spans="1:10" x14ac:dyDescent="0.25">
      <c r="A29" s="12">
        <f t="shared" si="0"/>
        <v>44527</v>
      </c>
      <c r="B29" s="99">
        <v>28</v>
      </c>
      <c r="C29" s="99">
        <v>25</v>
      </c>
      <c r="D29" s="99">
        <v>0</v>
      </c>
      <c r="E29" s="99">
        <v>38</v>
      </c>
      <c r="F29" s="99">
        <v>0</v>
      </c>
      <c r="G29" s="99">
        <v>0</v>
      </c>
      <c r="H29" s="99">
        <v>0</v>
      </c>
      <c r="I29" s="99" t="s">
        <v>30</v>
      </c>
      <c r="J29" s="92"/>
    </row>
    <row r="30" spans="1:10" x14ac:dyDescent="0.25">
      <c r="A30" s="12">
        <f t="shared" si="0"/>
        <v>44528</v>
      </c>
      <c r="B30" s="99">
        <v>26</v>
      </c>
      <c r="C30" s="99">
        <v>25</v>
      </c>
      <c r="D30" s="99">
        <v>0</v>
      </c>
      <c r="E30" s="99">
        <v>37</v>
      </c>
      <c r="F30" s="99">
        <v>0</v>
      </c>
      <c r="G30" s="99">
        <v>0</v>
      </c>
      <c r="H30" s="99">
        <v>0</v>
      </c>
      <c r="I30" s="99" t="s">
        <v>30</v>
      </c>
      <c r="J30" s="92"/>
    </row>
    <row r="31" spans="1:10" x14ac:dyDescent="0.25">
      <c r="A31" s="12">
        <f t="shared" si="0"/>
        <v>44529</v>
      </c>
      <c r="B31" s="99">
        <v>11</v>
      </c>
      <c r="C31" s="99">
        <v>15</v>
      </c>
      <c r="D31" s="99">
        <v>0</v>
      </c>
      <c r="E31" s="99">
        <v>37</v>
      </c>
      <c r="F31" s="99">
        <v>0.01</v>
      </c>
      <c r="G31" s="99">
        <v>0</v>
      </c>
      <c r="H31" s="99">
        <v>0</v>
      </c>
      <c r="I31" s="99" t="s">
        <v>30</v>
      </c>
      <c r="J31" s="92" t="s">
        <v>36</v>
      </c>
    </row>
    <row r="32" spans="1:10" ht="15.75" thickBot="1" x14ac:dyDescent="0.3">
      <c r="A32" s="12">
        <f t="shared" si="0"/>
        <v>44530</v>
      </c>
      <c r="B32" s="99">
        <v>5</v>
      </c>
      <c r="C32" s="99">
        <v>5</v>
      </c>
      <c r="D32" s="99">
        <v>0</v>
      </c>
      <c r="E32" s="99">
        <v>29</v>
      </c>
      <c r="F32" s="100">
        <v>0</v>
      </c>
      <c r="G32" s="100">
        <v>0</v>
      </c>
      <c r="H32" s="100">
        <v>0</v>
      </c>
      <c r="I32" s="99" t="s">
        <v>30</v>
      </c>
      <c r="J32" s="92"/>
    </row>
    <row r="33" spans="1:16" s="11" customFormat="1" ht="15.75" thickTop="1" x14ac:dyDescent="0.25">
      <c r="A33" s="15" t="s">
        <v>8</v>
      </c>
      <c r="B33" s="16">
        <f t="shared" ref="B33" si="1">SUM(B3:B32)</f>
        <v>867</v>
      </c>
      <c r="C33" s="16">
        <f t="shared" ref="C33:G33" si="2">SUM(C3:C32)</f>
        <v>718</v>
      </c>
      <c r="D33" s="16">
        <f t="shared" si="2"/>
        <v>0</v>
      </c>
      <c r="E33" s="16">
        <f t="shared" si="2"/>
        <v>983</v>
      </c>
      <c r="F33" s="17">
        <f t="shared" si="2"/>
        <v>0.56000000000000016</v>
      </c>
      <c r="G33" s="17">
        <f t="shared" si="2"/>
        <v>0</v>
      </c>
      <c r="H33" s="16">
        <f>SUM(H3:H32)</f>
        <v>0</v>
      </c>
      <c r="I33" s="17"/>
      <c r="J33"/>
    </row>
    <row r="34" spans="1:16" s="11" customFormat="1" x14ac:dyDescent="0.25">
      <c r="A34" s="18" t="s">
        <v>9</v>
      </c>
      <c r="B34" s="19">
        <f>SUM(B33+'Oct 2021'!B35)</f>
        <v>1296</v>
      </c>
      <c r="C34" s="19">
        <f>SUM(C33+'Oct 2021'!C35)</f>
        <v>1247</v>
      </c>
      <c r="D34" s="19">
        <f>SUM(D33+'Oct 2021'!D35)</f>
        <v>0</v>
      </c>
      <c r="E34" s="19">
        <f>SUM(E33+'Oct 2021'!E35)</f>
        <v>1863</v>
      </c>
      <c r="F34" s="20">
        <f>SUM(F33+'Oct 2021'!F35)</f>
        <v>2.3200000000000003</v>
      </c>
      <c r="G34" s="20">
        <f>SUM(G33+'Oct 2021'!G35)</f>
        <v>0</v>
      </c>
      <c r="H34" s="19">
        <f>SUM(H33+'Oct 2021'!H35)</f>
        <v>0</v>
      </c>
      <c r="I34" s="20"/>
    </row>
    <row r="35" spans="1:16" x14ac:dyDescent="0.25">
      <c r="B35" s="6"/>
      <c r="J35" s="11"/>
    </row>
    <row r="36" spans="1:16" x14ac:dyDescent="0.25">
      <c r="A36" t="s">
        <v>10</v>
      </c>
      <c r="B36" s="22">
        <f>SUM(B3:B32)*1.9835</f>
        <v>1719.6945000000001</v>
      </c>
      <c r="C36" s="22">
        <f>SUM(C3:C32)*1.9835</f>
        <v>1424.153</v>
      </c>
      <c r="D36" s="22">
        <f>SUM(D3:D32)*1.9835</f>
        <v>0</v>
      </c>
      <c r="E36" s="22">
        <f>SUM(E3:E32)*1.9835</f>
        <v>1949.7805000000001</v>
      </c>
      <c r="F36" s="22"/>
      <c r="G36" s="22"/>
      <c r="H36" s="22"/>
      <c r="J36" s="21"/>
    </row>
    <row r="37" spans="1:16" x14ac:dyDescent="0.25">
      <c r="A37"/>
      <c r="B37"/>
      <c r="C37"/>
      <c r="D37"/>
      <c r="E37"/>
      <c r="H37"/>
    </row>
    <row r="38" spans="1:16" x14ac:dyDescent="0.25">
      <c r="A38" t="s">
        <v>24</v>
      </c>
      <c r="B38" s="22">
        <f>SUM('Oct 2021'!B39+B36)</f>
        <v>2570.616</v>
      </c>
      <c r="C38" s="22">
        <f>SUM('Oct 2021'!C39+C36)</f>
        <v>2473.4245000000001</v>
      </c>
      <c r="D38" s="22">
        <f>SUM('Oct 2021'!D39+D36)</f>
        <v>0</v>
      </c>
      <c r="E38" s="22">
        <f>SUM('Oct 2021'!E39+E36)</f>
        <v>3695.2605000000003</v>
      </c>
      <c r="F38" s="22"/>
      <c r="G38" s="22"/>
      <c r="H38" s="22"/>
      <c r="J38" s="21"/>
    </row>
    <row r="39" spans="1:16" x14ac:dyDescent="0.25">
      <c r="A39"/>
      <c r="B39"/>
      <c r="C39" s="22"/>
      <c r="D39" s="22"/>
      <c r="E39" s="23"/>
      <c r="F39" s="22"/>
      <c r="G39" s="22"/>
      <c r="H39" s="22"/>
      <c r="J39" s="21"/>
    </row>
    <row r="40" spans="1:16" ht="17.45" customHeight="1" x14ac:dyDescent="0.25">
      <c r="A40" s="110"/>
      <c r="B40" s="110"/>
      <c r="C40" s="110"/>
      <c r="D40" s="110"/>
      <c r="E40" s="110"/>
      <c r="F40" s="110"/>
      <c r="G40" s="111"/>
      <c r="H40" s="112" t="s">
        <v>12</v>
      </c>
      <c r="I40" s="113"/>
      <c r="J40" s="27"/>
      <c r="K40" s="27"/>
      <c r="L40" s="27"/>
      <c r="M40" s="27"/>
      <c r="N40" s="27"/>
      <c r="O40" s="28"/>
      <c r="P40" s="27"/>
    </row>
    <row r="41" spans="1:16" ht="16.899999999999999" customHeight="1" x14ac:dyDescent="0.25">
      <c r="A41" s="26"/>
      <c r="B41" s="103"/>
      <c r="C41" s="26"/>
      <c r="D41" s="26"/>
      <c r="E41" s="26"/>
      <c r="F41" s="26"/>
      <c r="G41" s="26"/>
      <c r="H41" s="112"/>
      <c r="I41" s="113"/>
      <c r="J41" s="27"/>
      <c r="K41" s="27"/>
      <c r="L41" s="27"/>
      <c r="M41" s="27"/>
      <c r="N41" s="27"/>
      <c r="O41" s="28"/>
      <c r="P41" s="27"/>
    </row>
    <row r="42" spans="1:16" ht="13.9" customHeight="1" x14ac:dyDescent="0.25">
      <c r="A42" s="115" t="s">
        <v>23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29"/>
      <c r="M42" s="29"/>
      <c r="N42" s="29"/>
      <c r="O42" s="30"/>
      <c r="P42" s="31"/>
    </row>
    <row r="43" spans="1:16" ht="15.6" customHeight="1" x14ac:dyDescent="0.25">
      <c r="A43" s="39" t="s">
        <v>17</v>
      </c>
      <c r="B43" s="104"/>
      <c r="C43" s="33"/>
      <c r="D43" s="34"/>
      <c r="E43" s="34"/>
      <c r="F43" s="35"/>
      <c r="G43" s="36"/>
      <c r="H43" s="37"/>
      <c r="I43" s="38"/>
      <c r="J43" s="31"/>
      <c r="K43" s="31"/>
      <c r="L43" s="31"/>
      <c r="M43" s="31"/>
      <c r="N43" s="31"/>
      <c r="O43" s="30"/>
    </row>
    <row r="44" spans="1:16" x14ac:dyDescent="0.25">
      <c r="A44" s="32"/>
      <c r="B44" s="105"/>
      <c r="C44" s="33"/>
      <c r="D44" s="34"/>
      <c r="E44" s="34"/>
      <c r="F44" s="40"/>
      <c r="G44" s="36">
        <f>SUM(24-E44)</f>
        <v>24</v>
      </c>
      <c r="H44" s="37">
        <f>SUM(D44+F44)</f>
        <v>0</v>
      </c>
      <c r="I44" s="38">
        <f>SUM(D44/24*E44+H44/24*G44)</f>
        <v>0</v>
      </c>
      <c r="J44" s="31"/>
      <c r="K44" s="31"/>
      <c r="L44" s="31"/>
      <c r="M44" s="31"/>
      <c r="N44" s="31"/>
      <c r="O44" s="30"/>
    </row>
    <row r="45" spans="1:16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1"/>
      <c r="O45" s="30"/>
    </row>
    <row r="46" spans="1:16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1"/>
      <c r="O46" s="30"/>
    </row>
    <row r="47" spans="1:16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1"/>
      <c r="O47" s="30"/>
    </row>
    <row r="48" spans="1:16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1"/>
      <c r="O48" s="30"/>
    </row>
    <row r="49" spans="1:16" ht="13.15" customHeight="1" x14ac:dyDescent="0.25">
      <c r="A49" s="41"/>
      <c r="B49" s="41"/>
      <c r="C49" s="42"/>
      <c r="D49" s="42"/>
      <c r="E49" s="42"/>
      <c r="F49" s="42"/>
      <c r="G49" s="42"/>
      <c r="H49" s="43"/>
      <c r="I49" s="31"/>
      <c r="J49" s="31"/>
      <c r="K49" s="31"/>
      <c r="L49" s="31"/>
      <c r="M49" s="31"/>
      <c r="N49" s="31"/>
      <c r="O49" s="30"/>
      <c r="P49" s="31"/>
    </row>
    <row r="50" spans="1:16" ht="15.75" thickBot="1" x14ac:dyDescent="0.3">
      <c r="A50" s="44" t="s">
        <v>18</v>
      </c>
      <c r="B50" s="44"/>
      <c r="C50" s="44"/>
      <c r="D50" s="44"/>
      <c r="E50" s="44"/>
      <c r="F50" s="45"/>
      <c r="G50" s="46"/>
      <c r="H50" s="43"/>
      <c r="I50" s="31"/>
      <c r="J50" s="31"/>
      <c r="K50" s="31"/>
      <c r="L50" s="31"/>
      <c r="M50" s="31"/>
      <c r="N50" s="31"/>
      <c r="O50" s="30"/>
      <c r="P50" s="31"/>
    </row>
    <row r="51" spans="1:16" ht="26.25" x14ac:dyDescent="0.25">
      <c r="A51" s="47" t="s">
        <v>19</v>
      </c>
      <c r="B51" s="106"/>
      <c r="C51" s="48" t="s">
        <v>13</v>
      </c>
      <c r="D51" s="49" t="s">
        <v>14</v>
      </c>
      <c r="E51" s="49" t="s">
        <v>15</v>
      </c>
      <c r="F51" s="50" t="s">
        <v>16</v>
      </c>
      <c r="G51" s="51" t="s">
        <v>20</v>
      </c>
      <c r="H51" s="52"/>
      <c r="I51" s="53"/>
      <c r="J51" s="54"/>
      <c r="K51" s="54"/>
    </row>
    <row r="52" spans="1:16" ht="15.75" x14ac:dyDescent="0.25">
      <c r="A52" s="55"/>
      <c r="B52" s="107"/>
      <c r="C52" s="56"/>
      <c r="D52" s="57"/>
      <c r="E52" s="58"/>
      <c r="F52" s="59"/>
      <c r="G52" s="60"/>
      <c r="H52" s="61"/>
      <c r="I52" s="62"/>
      <c r="J52" s="63"/>
      <c r="K52" s="63"/>
    </row>
    <row r="53" spans="1:16" x14ac:dyDescent="0.25">
      <c r="A53" s="64"/>
      <c r="B53" s="108"/>
      <c r="C53" s="65"/>
      <c r="D53" s="66"/>
      <c r="E53" s="58"/>
      <c r="F53" s="67"/>
      <c r="G53" s="68"/>
      <c r="H53" s="61"/>
      <c r="I53" s="62"/>
    </row>
    <row r="54" spans="1:16" x14ac:dyDescent="0.25">
      <c r="A54" s="64"/>
      <c r="B54" s="108"/>
      <c r="C54" s="65"/>
      <c r="D54" s="66"/>
      <c r="E54" s="58"/>
      <c r="F54" s="69"/>
      <c r="G54" s="68"/>
      <c r="H54" s="61"/>
      <c r="I54" s="62"/>
    </row>
    <row r="55" spans="1:16" x14ac:dyDescent="0.25">
      <c r="A55" s="64"/>
      <c r="B55" s="108"/>
      <c r="C55" s="65"/>
      <c r="D55" s="66"/>
      <c r="E55" s="58"/>
      <c r="F55" s="69"/>
      <c r="G55" s="68"/>
      <c r="H55" s="61"/>
      <c r="I55" s="62"/>
    </row>
    <row r="56" spans="1:16" ht="15.75" thickBot="1" x14ac:dyDescent="0.3">
      <c r="A56" s="70"/>
      <c r="B56" s="109"/>
      <c r="C56" s="71"/>
      <c r="D56" s="72"/>
      <c r="E56" s="73"/>
      <c r="F56" s="72"/>
      <c r="G56" s="74"/>
      <c r="H56" s="61"/>
      <c r="I56" s="62"/>
      <c r="J56" s="75"/>
      <c r="K56" s="75"/>
    </row>
    <row r="57" spans="1:16" s="81" customFormat="1" ht="30" customHeight="1" x14ac:dyDescent="0.25">
      <c r="A57" s="116" t="s">
        <v>21</v>
      </c>
      <c r="B57" s="117"/>
      <c r="C57" s="117"/>
      <c r="D57" s="118"/>
      <c r="E57" s="76">
        <f>SUM(E52:E56)</f>
        <v>0</v>
      </c>
      <c r="F57" s="77" t="s">
        <v>22</v>
      </c>
      <c r="G57" s="78">
        <f>SUM(G52:G56)</f>
        <v>0</v>
      </c>
      <c r="H57" s="79"/>
      <c r="I57" s="80"/>
    </row>
  </sheetData>
  <mergeCells count="4">
    <mergeCell ref="A40:G40"/>
    <mergeCell ref="H40:I41"/>
    <mergeCell ref="A42:K42"/>
    <mergeCell ref="A57:D57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9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7" sqref="J37"/>
    </sheetView>
  </sheetViews>
  <sheetFormatPr defaultRowHeight="15" x14ac:dyDescent="0.25"/>
  <cols>
    <col min="1" max="1" width="13.5703125" style="2" bestFit="1" customWidth="1"/>
    <col min="2" max="2" width="13.5703125" style="2" customWidth="1"/>
    <col min="3" max="5" width="11.7109375" style="10" customWidth="1"/>
    <col min="6" max="7" width="11.7109375" style="8" customWidth="1"/>
    <col min="8" max="8" width="11.7109375" style="10" customWidth="1"/>
    <col min="9" max="9" width="11.7109375" style="4" customWidth="1"/>
    <col min="10" max="10" width="27.42578125" customWidth="1"/>
    <col min="13" max="13" width="29.28515625" customWidth="1"/>
  </cols>
  <sheetData>
    <row r="1" spans="1:13" s="1" customFormat="1" ht="30" x14ac:dyDescent="0.25">
      <c r="A1" s="84" t="s">
        <v>0</v>
      </c>
      <c r="B1" s="5" t="s">
        <v>43</v>
      </c>
      <c r="C1" s="5" t="s">
        <v>5</v>
      </c>
      <c r="D1" s="5" t="s">
        <v>1</v>
      </c>
      <c r="E1" s="5" t="s">
        <v>2</v>
      </c>
      <c r="F1" s="7" t="s">
        <v>6</v>
      </c>
      <c r="G1" s="7" t="s">
        <v>7</v>
      </c>
      <c r="H1" s="5" t="s">
        <v>3</v>
      </c>
      <c r="I1" s="3" t="s">
        <v>4</v>
      </c>
      <c r="J1" s="3" t="s">
        <v>11</v>
      </c>
    </row>
    <row r="2" spans="1:13" s="1" customFormat="1" x14ac:dyDescent="0.25">
      <c r="A2" s="83"/>
      <c r="B2" s="5" t="s">
        <v>25</v>
      </c>
      <c r="C2" s="5" t="s">
        <v>25</v>
      </c>
      <c r="D2" s="5" t="s">
        <v>25</v>
      </c>
      <c r="E2" s="5" t="s">
        <v>25</v>
      </c>
      <c r="F2" s="7"/>
      <c r="G2" s="7"/>
      <c r="H2" s="5" t="s">
        <v>27</v>
      </c>
      <c r="I2" s="3"/>
      <c r="J2" s="82"/>
    </row>
    <row r="3" spans="1:13" ht="15.75" x14ac:dyDescent="0.25">
      <c r="A3" s="90">
        <v>44470</v>
      </c>
      <c r="B3" s="93">
        <v>11</v>
      </c>
      <c r="C3" s="93">
        <v>9</v>
      </c>
      <c r="D3" s="93">
        <v>0</v>
      </c>
      <c r="E3" s="93">
        <v>5</v>
      </c>
      <c r="F3" s="93">
        <v>0</v>
      </c>
      <c r="G3" s="93">
        <v>0</v>
      </c>
      <c r="H3" s="93">
        <v>0</v>
      </c>
      <c r="I3" s="93" t="s">
        <v>30</v>
      </c>
      <c r="J3" s="97" t="s">
        <v>28</v>
      </c>
      <c r="K3" s="92"/>
      <c r="L3" s="98"/>
      <c r="M3" s="98"/>
    </row>
    <row r="4" spans="1:13" ht="15.75" x14ac:dyDescent="0.25">
      <c r="A4" s="90">
        <f>A3+1</f>
        <v>44471</v>
      </c>
      <c r="B4" s="93">
        <v>11</v>
      </c>
      <c r="C4" s="93">
        <v>14</v>
      </c>
      <c r="D4" s="93">
        <v>0</v>
      </c>
      <c r="E4" s="93">
        <v>5</v>
      </c>
      <c r="F4" s="93">
        <v>0</v>
      </c>
      <c r="G4" s="93">
        <v>0</v>
      </c>
      <c r="H4" s="93">
        <v>0</v>
      </c>
      <c r="I4" s="93" t="s">
        <v>30</v>
      </c>
      <c r="J4" s="97"/>
      <c r="K4" s="92"/>
      <c r="L4" s="98"/>
      <c r="M4" s="98"/>
    </row>
    <row r="5" spans="1:13" ht="15.75" x14ac:dyDescent="0.25">
      <c r="A5" s="90">
        <f t="shared" ref="A5:A33" si="0">A4+1</f>
        <v>44472</v>
      </c>
      <c r="B5" s="93">
        <v>12</v>
      </c>
      <c r="C5" s="93">
        <v>14</v>
      </c>
      <c r="D5" s="93">
        <v>0</v>
      </c>
      <c r="E5" s="93">
        <v>9</v>
      </c>
      <c r="F5" s="93">
        <v>0</v>
      </c>
      <c r="G5" s="93">
        <v>0</v>
      </c>
      <c r="H5" s="93">
        <v>0</v>
      </c>
      <c r="I5" s="93" t="s">
        <v>30</v>
      </c>
      <c r="J5" s="97"/>
      <c r="K5" s="92"/>
      <c r="L5" s="98"/>
      <c r="M5" s="98"/>
    </row>
    <row r="6" spans="1:13" ht="15.75" x14ac:dyDescent="0.25">
      <c r="A6" s="90">
        <f t="shared" si="0"/>
        <v>44473</v>
      </c>
      <c r="B6" s="93">
        <v>12</v>
      </c>
      <c r="C6" s="93">
        <v>14</v>
      </c>
      <c r="D6" s="93">
        <v>0</v>
      </c>
      <c r="E6" s="93">
        <v>15</v>
      </c>
      <c r="F6" s="93">
        <v>0</v>
      </c>
      <c r="G6" s="93">
        <v>0</v>
      </c>
      <c r="H6" s="93">
        <v>0</v>
      </c>
      <c r="I6" s="93" t="s">
        <v>30</v>
      </c>
      <c r="J6" s="97"/>
      <c r="K6" s="92"/>
      <c r="L6" s="98"/>
      <c r="M6" s="98"/>
    </row>
    <row r="7" spans="1:13" ht="15.75" x14ac:dyDescent="0.25">
      <c r="A7" s="90">
        <f t="shared" si="0"/>
        <v>44474</v>
      </c>
      <c r="B7" s="93">
        <v>7</v>
      </c>
      <c r="C7" s="93">
        <v>14</v>
      </c>
      <c r="D7" s="93">
        <v>0</v>
      </c>
      <c r="E7" s="93">
        <v>18</v>
      </c>
      <c r="F7" s="93">
        <v>0</v>
      </c>
      <c r="G7" s="93">
        <v>0</v>
      </c>
      <c r="H7" s="93">
        <v>0</v>
      </c>
      <c r="I7" s="93" t="s">
        <v>30</v>
      </c>
      <c r="J7" s="97"/>
      <c r="K7" s="92"/>
      <c r="L7" s="98"/>
      <c r="M7" s="98"/>
    </row>
    <row r="8" spans="1:13" ht="15.75" x14ac:dyDescent="0.25">
      <c r="A8" s="90">
        <f t="shared" si="0"/>
        <v>44475</v>
      </c>
      <c r="B8" s="93">
        <v>6</v>
      </c>
      <c r="C8" s="93">
        <v>14</v>
      </c>
      <c r="D8" s="93">
        <v>0</v>
      </c>
      <c r="E8" s="93">
        <v>21</v>
      </c>
      <c r="F8" s="93" t="s">
        <v>29</v>
      </c>
      <c r="G8" s="93">
        <v>0</v>
      </c>
      <c r="H8" s="93">
        <v>0</v>
      </c>
      <c r="I8" s="93" t="s">
        <v>30</v>
      </c>
      <c r="J8" s="97"/>
      <c r="K8" s="92"/>
      <c r="L8" s="98"/>
      <c r="M8" s="98"/>
    </row>
    <row r="9" spans="1:13" ht="15.75" x14ac:dyDescent="0.25">
      <c r="A9" s="90">
        <f t="shared" si="0"/>
        <v>44476</v>
      </c>
      <c r="B9" s="93">
        <v>10</v>
      </c>
      <c r="C9" s="93">
        <v>14</v>
      </c>
      <c r="D9" s="93">
        <v>0</v>
      </c>
      <c r="E9" s="93">
        <v>20</v>
      </c>
      <c r="F9" s="93">
        <v>0</v>
      </c>
      <c r="G9" s="93">
        <v>0</v>
      </c>
      <c r="H9" s="93">
        <v>0</v>
      </c>
      <c r="I9" s="93" t="s">
        <v>30</v>
      </c>
      <c r="J9" s="97"/>
      <c r="K9" s="92"/>
      <c r="L9" s="98"/>
      <c r="M9" s="98"/>
    </row>
    <row r="10" spans="1:13" ht="15.75" x14ac:dyDescent="0.25">
      <c r="A10" s="90">
        <f t="shared" si="0"/>
        <v>44477</v>
      </c>
      <c r="B10" s="93">
        <v>9</v>
      </c>
      <c r="C10" s="93">
        <v>14</v>
      </c>
      <c r="D10" s="93">
        <v>0</v>
      </c>
      <c r="E10" s="93">
        <v>21</v>
      </c>
      <c r="F10" s="93">
        <v>0</v>
      </c>
      <c r="G10" s="93">
        <v>0</v>
      </c>
      <c r="H10" s="93">
        <v>0</v>
      </c>
      <c r="I10" s="93" t="s">
        <v>30</v>
      </c>
      <c r="J10" s="97"/>
      <c r="K10" s="92"/>
      <c r="L10" s="98"/>
      <c r="M10" s="98"/>
    </row>
    <row r="11" spans="1:13" ht="15.75" x14ac:dyDescent="0.25">
      <c r="A11" s="90">
        <f t="shared" si="0"/>
        <v>44478</v>
      </c>
      <c r="B11" s="93">
        <v>11</v>
      </c>
      <c r="C11" s="93">
        <v>14</v>
      </c>
      <c r="D11" s="93">
        <v>0</v>
      </c>
      <c r="E11" s="93">
        <v>21</v>
      </c>
      <c r="F11" s="93">
        <v>0</v>
      </c>
      <c r="G11" s="93">
        <v>0</v>
      </c>
      <c r="H11" s="93">
        <v>0</v>
      </c>
      <c r="I11" s="93" t="s">
        <v>30</v>
      </c>
      <c r="J11" s="97"/>
      <c r="K11" s="92"/>
      <c r="L11" s="98"/>
      <c r="M11" s="98"/>
    </row>
    <row r="12" spans="1:13" ht="15.75" x14ac:dyDescent="0.25">
      <c r="A12" s="90">
        <f t="shared" si="0"/>
        <v>44479</v>
      </c>
      <c r="B12" s="93">
        <v>8</v>
      </c>
      <c r="C12" s="93">
        <v>14</v>
      </c>
      <c r="D12" s="93">
        <v>0</v>
      </c>
      <c r="E12" s="93">
        <v>22</v>
      </c>
      <c r="F12" s="93">
        <v>0</v>
      </c>
      <c r="G12" s="93">
        <v>0</v>
      </c>
      <c r="H12" s="93">
        <v>0</v>
      </c>
      <c r="I12" s="93" t="s">
        <v>30</v>
      </c>
      <c r="J12" s="97"/>
      <c r="K12" s="92"/>
      <c r="L12" s="98"/>
      <c r="M12" s="97"/>
    </row>
    <row r="13" spans="1:13" ht="15.75" x14ac:dyDescent="0.25">
      <c r="A13" s="90">
        <f t="shared" si="0"/>
        <v>44480</v>
      </c>
      <c r="B13" s="93">
        <v>6</v>
      </c>
      <c r="C13" s="93">
        <v>14</v>
      </c>
      <c r="D13" s="93">
        <v>0</v>
      </c>
      <c r="E13" s="93">
        <v>23</v>
      </c>
      <c r="F13" s="93">
        <v>0</v>
      </c>
      <c r="G13" s="93">
        <v>0</v>
      </c>
      <c r="H13" s="93">
        <v>0</v>
      </c>
      <c r="I13" s="93" t="s">
        <v>30</v>
      </c>
      <c r="J13" s="97"/>
      <c r="K13" s="92"/>
      <c r="L13" s="98"/>
      <c r="M13" s="98"/>
    </row>
    <row r="14" spans="1:13" ht="15.75" x14ac:dyDescent="0.25">
      <c r="A14" s="90">
        <f t="shared" si="0"/>
        <v>44481</v>
      </c>
      <c r="B14" s="93">
        <v>9</v>
      </c>
      <c r="C14" s="93">
        <v>14</v>
      </c>
      <c r="D14" s="93">
        <v>0</v>
      </c>
      <c r="E14" s="93">
        <v>22</v>
      </c>
      <c r="F14" s="93">
        <v>0</v>
      </c>
      <c r="G14" s="93">
        <v>0</v>
      </c>
      <c r="H14" s="93">
        <v>0</v>
      </c>
      <c r="I14" s="93" t="s">
        <v>30</v>
      </c>
      <c r="J14" s="97"/>
      <c r="K14" s="92"/>
      <c r="L14" s="98"/>
      <c r="M14" s="98"/>
    </row>
    <row r="15" spans="1:13" ht="15.75" x14ac:dyDescent="0.25">
      <c r="A15" s="90">
        <f t="shared" si="0"/>
        <v>44482</v>
      </c>
      <c r="B15" s="93">
        <v>10</v>
      </c>
      <c r="C15" s="93">
        <v>14</v>
      </c>
      <c r="D15" s="93">
        <v>0</v>
      </c>
      <c r="E15" s="93">
        <v>23</v>
      </c>
      <c r="F15" s="93">
        <v>0.03</v>
      </c>
      <c r="G15" s="93">
        <v>0</v>
      </c>
      <c r="H15" s="93">
        <v>0</v>
      </c>
      <c r="I15" s="93" t="s">
        <v>30</v>
      </c>
      <c r="J15" s="97"/>
      <c r="K15" s="92"/>
    </row>
    <row r="16" spans="1:13" ht="15.75" x14ac:dyDescent="0.25">
      <c r="A16" s="90">
        <f t="shared" si="0"/>
        <v>44483</v>
      </c>
      <c r="B16" s="93">
        <v>11</v>
      </c>
      <c r="C16" s="93">
        <v>14</v>
      </c>
      <c r="D16" s="93">
        <v>0</v>
      </c>
      <c r="E16" s="93">
        <v>22</v>
      </c>
      <c r="F16" s="93">
        <v>0</v>
      </c>
      <c r="G16" s="93">
        <v>0</v>
      </c>
      <c r="H16" s="93">
        <v>0</v>
      </c>
      <c r="I16" s="93" t="s">
        <v>30</v>
      </c>
      <c r="J16" s="97"/>
      <c r="K16" s="92"/>
    </row>
    <row r="17" spans="1:11" ht="15.75" x14ac:dyDescent="0.25">
      <c r="A17" s="90">
        <f t="shared" si="0"/>
        <v>44484</v>
      </c>
      <c r="B17" s="93">
        <v>8</v>
      </c>
      <c r="C17" s="93">
        <v>14</v>
      </c>
      <c r="D17" s="93">
        <v>0</v>
      </c>
      <c r="E17" s="93">
        <v>22</v>
      </c>
      <c r="F17" s="93">
        <v>0</v>
      </c>
      <c r="G17" s="93">
        <v>0</v>
      </c>
      <c r="H17" s="93">
        <v>0</v>
      </c>
      <c r="I17" s="93" t="s">
        <v>30</v>
      </c>
      <c r="J17" s="97"/>
      <c r="K17" s="92"/>
    </row>
    <row r="18" spans="1:11" ht="15.75" x14ac:dyDescent="0.25">
      <c r="A18" s="90">
        <f t="shared" si="0"/>
        <v>44485</v>
      </c>
      <c r="B18" s="93">
        <v>8</v>
      </c>
      <c r="C18" s="93">
        <v>14</v>
      </c>
      <c r="D18" s="93">
        <v>0</v>
      </c>
      <c r="E18" s="93">
        <v>23</v>
      </c>
      <c r="F18" s="93">
        <v>0</v>
      </c>
      <c r="G18" s="93">
        <v>0</v>
      </c>
      <c r="H18" s="93">
        <v>0</v>
      </c>
      <c r="I18" s="93" t="s">
        <v>30</v>
      </c>
      <c r="J18" s="97"/>
      <c r="K18" s="98"/>
    </row>
    <row r="19" spans="1:11" ht="15.75" x14ac:dyDescent="0.25">
      <c r="A19" s="90">
        <f t="shared" si="0"/>
        <v>44486</v>
      </c>
      <c r="B19" s="93">
        <v>11</v>
      </c>
      <c r="C19" s="93">
        <v>14</v>
      </c>
      <c r="D19" s="93">
        <v>0</v>
      </c>
      <c r="E19" s="93">
        <v>24</v>
      </c>
      <c r="F19" s="93">
        <v>0</v>
      </c>
      <c r="G19" s="93">
        <v>0</v>
      </c>
      <c r="H19" s="93">
        <v>0</v>
      </c>
      <c r="I19" s="93" t="s">
        <v>30</v>
      </c>
      <c r="J19" s="97"/>
      <c r="K19" s="98"/>
    </row>
    <row r="20" spans="1:11" ht="15.75" x14ac:dyDescent="0.25">
      <c r="A20" s="90">
        <f t="shared" si="0"/>
        <v>44487</v>
      </c>
      <c r="B20" s="93">
        <v>11</v>
      </c>
      <c r="C20" s="93">
        <v>14</v>
      </c>
      <c r="D20" s="93">
        <v>0</v>
      </c>
      <c r="E20" s="93">
        <v>25</v>
      </c>
      <c r="F20" s="93">
        <v>0.12</v>
      </c>
      <c r="G20" s="93">
        <v>0</v>
      </c>
      <c r="H20" s="93">
        <v>0</v>
      </c>
      <c r="I20" s="93" t="s">
        <v>30</v>
      </c>
      <c r="J20" s="97"/>
      <c r="K20" s="98"/>
    </row>
    <row r="21" spans="1:11" ht="15.75" x14ac:dyDescent="0.25">
      <c r="A21" s="90">
        <f t="shared" si="0"/>
        <v>44488</v>
      </c>
      <c r="B21" s="93">
        <v>8</v>
      </c>
      <c r="C21" s="93">
        <v>14</v>
      </c>
      <c r="D21" s="93">
        <v>0</v>
      </c>
      <c r="E21" s="93">
        <v>25</v>
      </c>
      <c r="F21" s="93">
        <v>0.01</v>
      </c>
      <c r="G21" s="93">
        <v>0</v>
      </c>
      <c r="H21" s="93">
        <v>0</v>
      </c>
      <c r="I21" s="93" t="s">
        <v>30</v>
      </c>
      <c r="J21" s="97"/>
      <c r="K21" s="98"/>
    </row>
    <row r="22" spans="1:11" ht="15.75" x14ac:dyDescent="0.25">
      <c r="A22" s="90">
        <f t="shared" si="0"/>
        <v>44489</v>
      </c>
      <c r="B22" s="93">
        <v>8</v>
      </c>
      <c r="C22" s="93">
        <v>14</v>
      </c>
      <c r="D22" s="93">
        <v>0</v>
      </c>
      <c r="E22" s="93">
        <v>26</v>
      </c>
      <c r="F22" s="93">
        <v>0</v>
      </c>
      <c r="G22" s="93">
        <v>0</v>
      </c>
      <c r="H22" s="93">
        <v>0</v>
      </c>
      <c r="I22" s="93" t="s">
        <v>30</v>
      </c>
      <c r="J22" s="97"/>
    </row>
    <row r="23" spans="1:11" ht="15.75" x14ac:dyDescent="0.25">
      <c r="A23" s="90">
        <f t="shared" si="0"/>
        <v>44490</v>
      </c>
      <c r="B23" s="93">
        <v>8</v>
      </c>
      <c r="C23" s="93">
        <v>14</v>
      </c>
      <c r="D23" s="93">
        <v>0</v>
      </c>
      <c r="E23" s="93">
        <v>26</v>
      </c>
      <c r="F23" s="93">
        <v>0</v>
      </c>
      <c r="G23" s="93">
        <v>0</v>
      </c>
      <c r="H23" s="93">
        <v>0</v>
      </c>
      <c r="I23" s="93" t="s">
        <v>30</v>
      </c>
      <c r="J23" s="97"/>
    </row>
    <row r="24" spans="1:11" ht="15.75" x14ac:dyDescent="0.25">
      <c r="A24" s="90">
        <f t="shared" si="0"/>
        <v>44491</v>
      </c>
      <c r="B24" s="93">
        <v>9</v>
      </c>
      <c r="C24" s="93">
        <v>14</v>
      </c>
      <c r="D24" s="93">
        <v>0</v>
      </c>
      <c r="E24" s="93">
        <v>26</v>
      </c>
      <c r="F24" s="93">
        <v>0.9</v>
      </c>
      <c r="G24" s="93">
        <v>0</v>
      </c>
      <c r="H24" s="93">
        <v>0</v>
      </c>
      <c r="I24" s="93" t="s">
        <v>30</v>
      </c>
      <c r="J24" s="97"/>
    </row>
    <row r="25" spans="1:11" ht="15.75" x14ac:dyDescent="0.25">
      <c r="A25" s="90">
        <f t="shared" si="0"/>
        <v>44492</v>
      </c>
      <c r="B25" s="93">
        <v>7</v>
      </c>
      <c r="C25" s="93">
        <v>14</v>
      </c>
      <c r="D25" s="93">
        <v>0</v>
      </c>
      <c r="E25" s="93">
        <v>26</v>
      </c>
      <c r="F25" s="93">
        <v>0.33</v>
      </c>
      <c r="G25" s="93">
        <v>0</v>
      </c>
      <c r="H25" s="93">
        <v>0</v>
      </c>
      <c r="I25" s="93" t="s">
        <v>30</v>
      </c>
      <c r="J25" s="97"/>
    </row>
    <row r="26" spans="1:11" ht="15.75" x14ac:dyDescent="0.25">
      <c r="A26" s="90">
        <f t="shared" si="0"/>
        <v>44493</v>
      </c>
      <c r="B26" s="93">
        <v>10</v>
      </c>
      <c r="C26" s="93">
        <v>14</v>
      </c>
      <c r="D26" s="93">
        <v>0</v>
      </c>
      <c r="E26" s="93">
        <v>26</v>
      </c>
      <c r="F26" s="93">
        <v>0.2</v>
      </c>
      <c r="G26" s="93">
        <v>0</v>
      </c>
      <c r="H26" s="93">
        <v>0</v>
      </c>
      <c r="I26" s="93" t="s">
        <v>30</v>
      </c>
      <c r="J26" s="97"/>
    </row>
    <row r="27" spans="1:11" ht="15.75" x14ac:dyDescent="0.25">
      <c r="A27" s="90">
        <f t="shared" si="0"/>
        <v>44494</v>
      </c>
      <c r="B27" s="93">
        <v>23</v>
      </c>
      <c r="C27" s="93">
        <v>29</v>
      </c>
      <c r="D27" s="93">
        <v>0</v>
      </c>
      <c r="E27" s="93">
        <v>34</v>
      </c>
      <c r="F27" s="93">
        <v>0.12</v>
      </c>
      <c r="G27" s="93">
        <v>0</v>
      </c>
      <c r="H27" s="93">
        <v>0</v>
      </c>
      <c r="I27" s="93" t="s">
        <v>30</v>
      </c>
      <c r="J27" s="97" t="s">
        <v>31</v>
      </c>
    </row>
    <row r="28" spans="1:11" ht="15.75" x14ac:dyDescent="0.25">
      <c r="A28" s="90">
        <f t="shared" si="0"/>
        <v>44495</v>
      </c>
      <c r="B28" s="93">
        <v>35</v>
      </c>
      <c r="C28" s="93">
        <v>40</v>
      </c>
      <c r="D28" s="93">
        <v>0</v>
      </c>
      <c r="E28" s="93">
        <v>46</v>
      </c>
      <c r="F28" s="93">
        <v>0.01</v>
      </c>
      <c r="G28" s="93">
        <v>0</v>
      </c>
      <c r="H28" s="93">
        <v>0</v>
      </c>
      <c r="I28" s="93" t="s">
        <v>30</v>
      </c>
      <c r="J28" s="97"/>
    </row>
    <row r="29" spans="1:11" ht="15.75" x14ac:dyDescent="0.25">
      <c r="A29" s="90">
        <f t="shared" si="0"/>
        <v>44496</v>
      </c>
      <c r="B29" s="93">
        <v>35</v>
      </c>
      <c r="C29" s="93">
        <v>40</v>
      </c>
      <c r="D29" s="93">
        <v>0</v>
      </c>
      <c r="E29" s="93">
        <v>59</v>
      </c>
      <c r="F29" s="93">
        <v>0</v>
      </c>
      <c r="G29" s="93">
        <v>0</v>
      </c>
      <c r="H29" s="93">
        <v>0</v>
      </c>
      <c r="I29" s="93" t="s">
        <v>30</v>
      </c>
      <c r="J29" s="97"/>
    </row>
    <row r="30" spans="1:11" ht="15.75" x14ac:dyDescent="0.25">
      <c r="A30" s="90">
        <f t="shared" si="0"/>
        <v>44497</v>
      </c>
      <c r="B30" s="93">
        <v>29</v>
      </c>
      <c r="C30" s="93">
        <v>29</v>
      </c>
      <c r="D30" s="93">
        <v>0</v>
      </c>
      <c r="E30" s="93">
        <v>73</v>
      </c>
      <c r="F30" s="93">
        <v>0.01</v>
      </c>
      <c r="G30" s="93">
        <v>0</v>
      </c>
      <c r="H30" s="93">
        <v>0</v>
      </c>
      <c r="I30" s="93" t="s">
        <v>30</v>
      </c>
      <c r="J30" s="97" t="s">
        <v>32</v>
      </c>
    </row>
    <row r="31" spans="1:11" ht="15.75" x14ac:dyDescent="0.25">
      <c r="A31" s="90">
        <f t="shared" si="0"/>
        <v>44498</v>
      </c>
      <c r="B31" s="93">
        <v>29</v>
      </c>
      <c r="C31" s="93">
        <v>20</v>
      </c>
      <c r="D31" s="93">
        <v>0</v>
      </c>
      <c r="E31" s="93">
        <v>65</v>
      </c>
      <c r="F31" s="93" t="s">
        <v>29</v>
      </c>
      <c r="G31" s="93">
        <v>0</v>
      </c>
      <c r="H31" s="93">
        <v>0</v>
      </c>
      <c r="I31" s="93" t="s">
        <v>30</v>
      </c>
      <c r="J31" s="97"/>
    </row>
    <row r="32" spans="1:11" ht="15.75" x14ac:dyDescent="0.25">
      <c r="A32" s="90">
        <f t="shared" si="0"/>
        <v>44499</v>
      </c>
      <c r="B32" s="93">
        <v>28</v>
      </c>
      <c r="C32" s="93">
        <v>20</v>
      </c>
      <c r="D32" s="93">
        <v>0</v>
      </c>
      <c r="E32" s="93">
        <v>53</v>
      </c>
      <c r="F32" s="93">
        <v>0.03</v>
      </c>
      <c r="G32" s="93">
        <v>0</v>
      </c>
      <c r="H32" s="93">
        <v>0</v>
      </c>
      <c r="I32" s="93" t="s">
        <v>30</v>
      </c>
      <c r="J32" s="97"/>
    </row>
    <row r="33" spans="1:15" ht="16.5" thickBot="1" x14ac:dyDescent="0.3">
      <c r="A33" s="90">
        <f t="shared" si="0"/>
        <v>44500</v>
      </c>
      <c r="B33" s="93">
        <v>29</v>
      </c>
      <c r="C33" s="93">
        <v>20</v>
      </c>
      <c r="D33" s="93">
        <v>0</v>
      </c>
      <c r="E33" s="93">
        <v>54</v>
      </c>
      <c r="F33" s="93">
        <v>0</v>
      </c>
      <c r="G33" s="93">
        <v>0</v>
      </c>
      <c r="H33" s="93">
        <v>0</v>
      </c>
      <c r="I33" s="93" t="s">
        <v>30</v>
      </c>
      <c r="J33" s="97"/>
    </row>
    <row r="34" spans="1:15" ht="16.5" thickTop="1" x14ac:dyDescent="0.25">
      <c r="A34" s="86" t="s">
        <v>8</v>
      </c>
      <c r="B34" s="85">
        <f>SUM(B3:B33)</f>
        <v>429</v>
      </c>
      <c r="C34" s="85">
        <f t="shared" ref="C34:G34" si="1">SUM(C3:C33)</f>
        <v>529</v>
      </c>
      <c r="D34" s="85">
        <f t="shared" si="1"/>
        <v>0</v>
      </c>
      <c r="E34" s="85">
        <f t="shared" si="1"/>
        <v>880</v>
      </c>
      <c r="F34" s="85">
        <f t="shared" si="1"/>
        <v>1.76</v>
      </c>
      <c r="G34" s="85">
        <f t="shared" si="1"/>
        <v>0</v>
      </c>
      <c r="H34" s="85">
        <f>SUM(H3:H33)</f>
        <v>0</v>
      </c>
      <c r="I34" s="85"/>
      <c r="K34" s="11"/>
    </row>
    <row r="35" spans="1:15" s="11" customFormat="1" ht="15.75" x14ac:dyDescent="0.25">
      <c r="A35" s="87" t="s">
        <v>9</v>
      </c>
      <c r="B35" s="88">
        <f>SUM(B34+'Oct 2021'!B36)</f>
        <v>429</v>
      </c>
      <c r="C35" s="88">
        <f>SUM(C34+'Oct 2021'!C36)</f>
        <v>529</v>
      </c>
      <c r="D35" s="88">
        <f>SUM(D34+'Oct 2021'!D36)</f>
        <v>0</v>
      </c>
      <c r="E35" s="88">
        <f>SUM(E34+'Oct 2021'!E36)</f>
        <v>880</v>
      </c>
      <c r="F35" s="89">
        <f>SUM(F34+'Oct 2021'!F36)</f>
        <v>1.76</v>
      </c>
      <c r="G35" s="89">
        <f>SUM(G34+'Oct 2021'!G36)</f>
        <v>0</v>
      </c>
      <c r="H35" s="88">
        <f>SUM(H34+'Oct 2021'!H36)</f>
        <v>0</v>
      </c>
      <c r="I35" s="89"/>
    </row>
    <row r="36" spans="1:15" s="11" customFormat="1" x14ac:dyDescent="0.25">
      <c r="A36" s="2"/>
      <c r="B36" s="6"/>
      <c r="C36" s="6"/>
      <c r="D36" s="6"/>
      <c r="E36" s="6"/>
      <c r="F36"/>
      <c r="G36"/>
      <c r="H36" s="6"/>
      <c r="I36"/>
      <c r="K36"/>
    </row>
    <row r="37" spans="1:15" x14ac:dyDescent="0.25">
      <c r="A37" t="s">
        <v>10</v>
      </c>
      <c r="B37" s="22">
        <f>SUM(B3:B33)*1.9835</f>
        <v>850.92150000000004</v>
      </c>
      <c r="C37" s="22">
        <f>SUM(C3:C33)*1.9835</f>
        <v>1049.2715000000001</v>
      </c>
      <c r="D37" s="22">
        <f>SUM(D3:D33)*1.9835</f>
        <v>0</v>
      </c>
      <c r="E37" s="22">
        <f>SUM(E3:E33)*1.9835</f>
        <v>1745.48</v>
      </c>
      <c r="F37" s="22"/>
      <c r="G37" s="22"/>
      <c r="H37" s="22"/>
      <c r="I37"/>
      <c r="J37" s="21"/>
    </row>
    <row r="38" spans="1:15" x14ac:dyDescent="0.25">
      <c r="A38"/>
      <c r="B38"/>
      <c r="C38"/>
      <c r="D38"/>
      <c r="E38"/>
      <c r="F38"/>
      <c r="G38"/>
      <c r="H38"/>
      <c r="I38"/>
    </row>
    <row r="39" spans="1:15" x14ac:dyDescent="0.25">
      <c r="A39" t="s">
        <v>24</v>
      </c>
      <c r="B39" s="22">
        <f>SUM('Oct 2021'!B40+B37)</f>
        <v>850.92150000000004</v>
      </c>
      <c r="C39" s="22">
        <f>SUM('Oct 2021'!C40+C37)</f>
        <v>1049.2715000000001</v>
      </c>
      <c r="D39" s="22">
        <f>SUM('Oct 2021'!D40+D37)</f>
        <v>0</v>
      </c>
      <c r="E39" s="22">
        <f>SUM('Oct 2021'!E40+E37)</f>
        <v>1745.48</v>
      </c>
      <c r="F39" s="22"/>
      <c r="G39" s="22"/>
      <c r="H39" s="22"/>
      <c r="I39"/>
      <c r="J39" s="21"/>
    </row>
    <row r="40" spans="1:15" x14ac:dyDescent="0.25">
      <c r="A40"/>
      <c r="B40"/>
      <c r="C40" s="22"/>
      <c r="D40" s="22"/>
      <c r="E40" s="23"/>
      <c r="F40" s="22"/>
      <c r="G40" s="22"/>
      <c r="H40" s="22"/>
      <c r="I40"/>
      <c r="J40" s="21"/>
    </row>
    <row r="41" spans="1:15" ht="15" customHeight="1" x14ac:dyDescent="0.25">
      <c r="A41" s="110"/>
      <c r="B41" s="110"/>
      <c r="C41" s="110"/>
      <c r="D41" s="110"/>
      <c r="E41" s="110"/>
      <c r="F41" s="110"/>
      <c r="G41" s="111"/>
      <c r="H41" s="112" t="s">
        <v>12</v>
      </c>
      <c r="I41" s="113"/>
      <c r="J41" s="27"/>
      <c r="K41" s="27"/>
    </row>
    <row r="42" spans="1:15" ht="17.45" customHeight="1" x14ac:dyDescent="0.25">
      <c r="A42" s="26"/>
      <c r="B42" s="103"/>
      <c r="C42" s="26"/>
      <c r="D42" s="26"/>
      <c r="E42" s="26"/>
      <c r="F42" s="26"/>
      <c r="G42" s="26"/>
      <c r="H42" s="112"/>
      <c r="I42" s="113"/>
      <c r="J42" s="27"/>
      <c r="K42" s="27"/>
      <c r="L42" s="27"/>
      <c r="M42" s="27"/>
      <c r="N42" s="28"/>
      <c r="O42" s="27"/>
    </row>
    <row r="43" spans="1:15" ht="16.899999999999999" customHeight="1" x14ac:dyDescent="0.25">
      <c r="A43" s="115" t="s">
        <v>23</v>
      </c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27"/>
      <c r="M43" s="27"/>
      <c r="N43" s="28"/>
      <c r="O43" s="27"/>
    </row>
    <row r="44" spans="1:15" ht="13.9" customHeight="1" x14ac:dyDescent="0.25">
      <c r="A44" s="39" t="s">
        <v>17</v>
      </c>
      <c r="B44" s="104"/>
      <c r="C44" s="33"/>
      <c r="D44" s="34"/>
      <c r="E44" s="34"/>
      <c r="F44" s="35"/>
      <c r="G44" s="36"/>
      <c r="H44" s="37"/>
      <c r="I44" s="38"/>
      <c r="J44" s="31"/>
      <c r="K44" s="31"/>
      <c r="L44" s="29"/>
      <c r="M44" s="29"/>
      <c r="N44" s="30"/>
      <c r="O44" s="31"/>
    </row>
    <row r="45" spans="1:15" ht="15.6" customHeight="1" x14ac:dyDescent="0.25">
      <c r="A45" s="32"/>
      <c r="B45" s="105"/>
      <c r="C45" s="33"/>
      <c r="D45" s="34"/>
      <c r="E45" s="34"/>
      <c r="F45" s="40"/>
      <c r="G45" s="36">
        <f>SUM(24-E45)</f>
        <v>24</v>
      </c>
      <c r="H45" s="37">
        <f>SUM(D45+F45)</f>
        <v>0</v>
      </c>
      <c r="I45" s="38">
        <f>SUM(D45/24*E45+H45/24*G45)</f>
        <v>0</v>
      </c>
      <c r="J45" s="31"/>
      <c r="K45" s="31"/>
      <c r="L45" s="31"/>
      <c r="M45" s="31"/>
      <c r="N45" s="30"/>
    </row>
    <row r="46" spans="1:15" x14ac:dyDescent="0.25">
      <c r="A46" s="32"/>
      <c r="B46" s="105"/>
      <c r="C46" s="33"/>
      <c r="D46" s="34"/>
      <c r="E46" s="34"/>
      <c r="F46" s="40"/>
      <c r="G46" s="36">
        <f>SUM(24-E46)</f>
        <v>24</v>
      </c>
      <c r="H46" s="37">
        <f>SUM(D46+F46)</f>
        <v>0</v>
      </c>
      <c r="I46" s="38">
        <f>SUM(D46/24*E46+H46/24*G46)</f>
        <v>0</v>
      </c>
      <c r="J46" s="31"/>
      <c r="K46" s="31"/>
      <c r="L46" s="31"/>
      <c r="M46" s="31"/>
      <c r="N46" s="30"/>
    </row>
    <row r="47" spans="1:15" x14ac:dyDescent="0.25">
      <c r="A47" s="32"/>
      <c r="B47" s="105"/>
      <c r="C47" s="33"/>
      <c r="D47" s="34"/>
      <c r="E47" s="34"/>
      <c r="F47" s="40"/>
      <c r="G47" s="36">
        <f>SUM(24-E47)</f>
        <v>24</v>
      </c>
      <c r="H47" s="37">
        <f>SUM(D47+F47)</f>
        <v>0</v>
      </c>
      <c r="I47" s="38">
        <f>SUM(D47/24*E47+H47/24*G47)</f>
        <v>0</v>
      </c>
      <c r="J47" s="31"/>
      <c r="K47" s="31"/>
      <c r="L47" s="31"/>
      <c r="M47" s="31"/>
      <c r="N47" s="30"/>
    </row>
    <row r="48" spans="1:15" x14ac:dyDescent="0.25">
      <c r="A48" s="32"/>
      <c r="B48" s="105"/>
      <c r="C48" s="33"/>
      <c r="D48" s="34"/>
      <c r="E48" s="34"/>
      <c r="F48" s="40"/>
      <c r="G48" s="36">
        <f>SUM(24-E48)</f>
        <v>24</v>
      </c>
      <c r="H48" s="37">
        <f>SUM(D48+F48)</f>
        <v>0</v>
      </c>
      <c r="I48" s="38">
        <f>SUM(D48/24*E48+H48/24*G48)</f>
        <v>0</v>
      </c>
      <c r="J48" s="31"/>
      <c r="K48" s="31"/>
      <c r="L48" s="31"/>
      <c r="M48" s="31"/>
      <c r="N48" s="30"/>
    </row>
    <row r="49" spans="1:15" x14ac:dyDescent="0.25">
      <c r="A49" s="32"/>
      <c r="B49" s="105"/>
      <c r="C49" s="33"/>
      <c r="D49" s="34"/>
      <c r="E49" s="34"/>
      <c r="F49" s="40"/>
      <c r="G49" s="36">
        <f>SUM(24-E49)</f>
        <v>24</v>
      </c>
      <c r="H49" s="37">
        <f>SUM(D49+F49)</f>
        <v>0</v>
      </c>
      <c r="I49" s="38">
        <f>SUM(D49/24*E49+H49/24*G49)</f>
        <v>0</v>
      </c>
      <c r="J49" s="31"/>
      <c r="K49" s="31"/>
      <c r="L49" s="31"/>
      <c r="M49" s="31"/>
      <c r="N49" s="30"/>
    </row>
    <row r="50" spans="1:15" x14ac:dyDescent="0.25">
      <c r="A50" s="41"/>
      <c r="B50" s="41"/>
      <c r="C50" s="42"/>
      <c r="D50" s="42"/>
      <c r="E50" s="42"/>
      <c r="F50" s="42"/>
      <c r="G50" s="42"/>
      <c r="H50" s="43"/>
      <c r="I50" s="31"/>
      <c r="J50" s="31"/>
      <c r="K50" s="31"/>
      <c r="L50" s="31"/>
      <c r="M50" s="31"/>
      <c r="N50" s="30"/>
    </row>
    <row r="51" spans="1:15" ht="13.15" customHeight="1" thickBot="1" x14ac:dyDescent="0.3">
      <c r="A51" s="44" t="s">
        <v>18</v>
      </c>
      <c r="B51" s="44"/>
      <c r="C51" s="44"/>
      <c r="D51" s="44"/>
      <c r="E51" s="44"/>
      <c r="F51" s="45"/>
      <c r="G51" s="46"/>
      <c r="H51" s="43"/>
      <c r="I51" s="31"/>
      <c r="J51" s="31"/>
      <c r="K51" s="31"/>
      <c r="L51" s="31"/>
      <c r="M51" s="31"/>
      <c r="N51" s="30"/>
      <c r="O51" s="31"/>
    </row>
    <row r="52" spans="1:15" ht="26.25" x14ac:dyDescent="0.25">
      <c r="A52" s="47" t="s">
        <v>19</v>
      </c>
      <c r="B52" s="106"/>
      <c r="C52" s="48" t="s">
        <v>13</v>
      </c>
      <c r="D52" s="49" t="s">
        <v>14</v>
      </c>
      <c r="E52" s="49" t="s">
        <v>15</v>
      </c>
      <c r="F52" s="50" t="s">
        <v>16</v>
      </c>
      <c r="G52" s="51" t="s">
        <v>20</v>
      </c>
      <c r="H52" s="52"/>
      <c r="I52" s="53"/>
      <c r="J52" s="54"/>
      <c r="K52" s="54"/>
      <c r="L52" s="31"/>
      <c r="M52" s="31"/>
      <c r="N52" s="30"/>
      <c r="O52" s="31"/>
    </row>
    <row r="53" spans="1:15" ht="15.75" x14ac:dyDescent="0.25">
      <c r="A53" s="55"/>
      <c r="B53" s="107"/>
      <c r="C53" s="56"/>
      <c r="D53" s="57"/>
      <c r="E53" s="58"/>
      <c r="F53" s="59"/>
      <c r="G53" s="60"/>
      <c r="H53" s="61"/>
      <c r="I53" s="62"/>
      <c r="J53" s="63"/>
      <c r="K53" s="63"/>
    </row>
    <row r="54" spans="1:15" x14ac:dyDescent="0.25">
      <c r="A54" s="64"/>
      <c r="B54" s="108"/>
      <c r="C54" s="65"/>
      <c r="D54" s="66"/>
      <c r="E54" s="58"/>
      <c r="F54" s="67"/>
      <c r="G54" s="68"/>
      <c r="H54" s="61"/>
      <c r="I54" s="62"/>
    </row>
    <row r="55" spans="1:15" x14ac:dyDescent="0.25">
      <c r="A55" s="64"/>
      <c r="B55" s="108"/>
      <c r="C55" s="65"/>
      <c r="D55" s="66"/>
      <c r="E55" s="58"/>
      <c r="F55" s="69"/>
      <c r="G55" s="68"/>
      <c r="H55" s="61"/>
      <c r="I55" s="62"/>
    </row>
    <row r="56" spans="1:15" x14ac:dyDescent="0.25">
      <c r="A56" s="64"/>
      <c r="B56" s="108"/>
      <c r="C56" s="65"/>
      <c r="D56" s="66"/>
      <c r="E56" s="58"/>
      <c r="F56" s="69"/>
      <c r="G56" s="68"/>
      <c r="H56" s="61"/>
      <c r="I56" s="62"/>
    </row>
    <row r="57" spans="1:15" ht="15.75" thickBot="1" x14ac:dyDescent="0.3">
      <c r="A57" s="70"/>
      <c r="B57" s="109"/>
      <c r="C57" s="71"/>
      <c r="D57" s="72"/>
      <c r="E57" s="73"/>
      <c r="F57" s="72"/>
      <c r="G57" s="74"/>
      <c r="H57" s="61"/>
      <c r="I57" s="62"/>
      <c r="J57" s="75"/>
      <c r="K57" s="75"/>
    </row>
    <row r="58" spans="1:15" ht="26.25" thickBot="1" x14ac:dyDescent="0.3">
      <c r="A58" s="116" t="s">
        <v>21</v>
      </c>
      <c r="B58" s="117"/>
      <c r="C58" s="117"/>
      <c r="D58" s="118"/>
      <c r="E58" s="76">
        <f>SUM(E53:E57)</f>
        <v>0</v>
      </c>
      <c r="F58" s="77" t="s">
        <v>22</v>
      </c>
      <c r="G58" s="78">
        <f>SUM(G53:G57)</f>
        <v>0</v>
      </c>
      <c r="H58" s="79"/>
      <c r="I58" s="80"/>
      <c r="J58" s="81"/>
      <c r="K58" s="81"/>
    </row>
    <row r="59" spans="1:15" s="81" customFormat="1" ht="30" customHeight="1" x14ac:dyDescent="0.25">
      <c r="A59" s="116" t="s">
        <v>21</v>
      </c>
      <c r="B59" s="117"/>
      <c r="C59" s="117"/>
      <c r="D59" s="118"/>
      <c r="E59" s="76">
        <f>SUM(E54:E58)</f>
        <v>0</v>
      </c>
      <c r="F59" s="77" t="s">
        <v>22</v>
      </c>
      <c r="G59" s="78">
        <f>SUM(G54:G58)</f>
        <v>0</v>
      </c>
      <c r="H59" s="79"/>
      <c r="I59" s="80"/>
    </row>
  </sheetData>
  <mergeCells count="5">
    <mergeCell ref="A59:D59"/>
    <mergeCell ref="A41:G41"/>
    <mergeCell ref="H41:I42"/>
    <mergeCell ref="A43:K43"/>
    <mergeCell ref="A58:D58"/>
  </mergeCells>
  <printOptions horizontalCentered="1"/>
  <pageMargins left="0.7" right="0.5" top="1.5" bottom="1" header="1" footer="0.5"/>
  <pageSetup scale="97" orientation="portrait" r:id="rId1"/>
  <headerFooter>
    <oddHeader>&amp;C&amp;"-,Bold"&amp;12TULELAKE IRRIGATION DISTRICT &amp;"-,Regular"&amp;11
OPERATING DATA</oddHeader>
    <oddFooter>&amp;L&amp;Z&amp;F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Sep 2022</vt:lpstr>
      <vt:lpstr>Aug 2022</vt:lpstr>
      <vt:lpstr>Jul 2022</vt:lpstr>
      <vt:lpstr>Jun 2022</vt:lpstr>
      <vt:lpstr>May 2022</vt:lpstr>
      <vt:lpstr>Apr 2022</vt:lpstr>
      <vt:lpstr>Mar 2022</vt:lpstr>
      <vt:lpstr>Feb 2022</vt:lpstr>
      <vt:lpstr>Jan 2022</vt:lpstr>
      <vt:lpstr>Dec 2021</vt:lpstr>
      <vt:lpstr>Nov 2021</vt:lpstr>
      <vt:lpstr>Oct 2021</vt:lpstr>
      <vt:lpstr>'Apr 2022'!Print_Area</vt:lpstr>
      <vt:lpstr>'Aug 2022'!Print_Area</vt:lpstr>
      <vt:lpstr>'Feb 2022'!Print_Area</vt:lpstr>
      <vt:lpstr>'Jan 2022'!Print_Area</vt:lpstr>
      <vt:lpstr>'Jul 2022'!Print_Area</vt:lpstr>
      <vt:lpstr>'Jun 2022'!Print_Area</vt:lpstr>
      <vt:lpstr>'Mar 2022'!Print_Area</vt:lpstr>
      <vt:lpstr>'Nov 2021'!Print_Area</vt:lpstr>
      <vt:lpstr>'Oct 2021'!Print_Area</vt:lpstr>
      <vt:lpstr>'Sep 2022'!Print_Area</vt:lpstr>
    </vt:vector>
  </TitlesOfParts>
  <Company>Bureau of Reclamation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Birri</dc:creator>
  <cp:lastModifiedBy>Water office</cp:lastModifiedBy>
  <cp:lastPrinted>2022-05-23T16:43:26Z</cp:lastPrinted>
  <dcterms:created xsi:type="dcterms:W3CDTF">2010-05-21T17:05:57Z</dcterms:created>
  <dcterms:modified xsi:type="dcterms:W3CDTF">2022-10-03T15:13:00Z</dcterms:modified>
</cp:coreProperties>
</file>