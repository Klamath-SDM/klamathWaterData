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TID Daily Reports\"/>
    </mc:Choice>
  </mc:AlternateContent>
  <xr:revisionPtr revIDLastSave="0" documentId="13_ncr:1_{600BE38C-02B5-4307-A31B-5CDF30EAC1C7}" xr6:coauthVersionLast="47" xr6:coauthVersionMax="47" xr10:uidLastSave="{00000000-0000-0000-0000-000000000000}"/>
  <bookViews>
    <workbookView xWindow="28680" yWindow="-120" windowWidth="29040" windowHeight="15720" tabRatio="868" xr2:uid="{00000000-000D-0000-FFFF-FFFF00000000}"/>
  </bookViews>
  <sheets>
    <sheet name="Sep 2023" sheetId="12" r:id="rId1"/>
    <sheet name="Aug 2023" sheetId="11" r:id="rId2"/>
    <sheet name="Jul 2023" sheetId="10" r:id="rId3"/>
    <sheet name="Jun 2023" sheetId="9" r:id="rId4"/>
    <sheet name="May 2023" sheetId="8" r:id="rId5"/>
    <sheet name="Apr 2023" sheetId="7" r:id="rId6"/>
    <sheet name="Mar 2023" sheetId="6" r:id="rId7"/>
    <sheet name="Feb 2023" sheetId="5" r:id="rId8"/>
    <sheet name="Jan 2023" sheetId="4" r:id="rId9"/>
    <sheet name="Dec 2022" sheetId="3" r:id="rId10"/>
    <sheet name="Nov 2022" sheetId="2" r:id="rId11"/>
    <sheet name="Oct 2022" sheetId="1" r:id="rId12"/>
  </sheets>
  <definedNames>
    <definedName name="_xlnm.Print_Area" localSheetId="5">'Apr 2023'!$A$1:$I$34</definedName>
    <definedName name="_xlnm.Print_Area" localSheetId="1">'Aug 2023'!$A$1:$I$39</definedName>
    <definedName name="_xlnm.Print_Area" localSheetId="9">'Dec 2022'!$A$1:$J$39</definedName>
    <definedName name="_xlnm.Print_Area" localSheetId="7">'Feb 2023'!$A$1:$I$33</definedName>
    <definedName name="_xlnm.Print_Area" localSheetId="8">'Jan 2023'!$A$1:$J$39</definedName>
    <definedName name="_xlnm.Print_Area" localSheetId="2">'Jul 2023'!$A$1:$I$39</definedName>
    <definedName name="_xlnm.Print_Area" localSheetId="3">'Jun 2023'!$A$1:$I$38</definedName>
    <definedName name="_xlnm.Print_Area" localSheetId="6">'Mar 2023'!$A$1:$I$35</definedName>
    <definedName name="_xlnm.Print_Area" localSheetId="10">'Nov 2022'!$A$1:$J$38</definedName>
    <definedName name="_xlnm.Print_Area" localSheetId="11">'Oct 2022'!$A$1:$J$39</definedName>
    <definedName name="_xlnm.Print_Area" localSheetId="0">'Sep 2023'!$A$1:$I$38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6" l="1"/>
  <c r="D34" i="6"/>
  <c r="B33" i="12" l="1"/>
  <c r="B36" i="12"/>
  <c r="B34" i="11"/>
  <c r="B37" i="11"/>
  <c r="B34" i="10"/>
  <c r="B37" i="10"/>
  <c r="B33" i="9"/>
  <c r="B36" i="9"/>
  <c r="B34" i="8"/>
  <c r="B37" i="8"/>
  <c r="B33" i="7"/>
  <c r="B34" i="6"/>
  <c r="B37" i="6"/>
  <c r="B34" i="1"/>
  <c r="B35" i="1" s="1"/>
  <c r="B37" i="1"/>
  <c r="B39" i="1" s="1"/>
  <c r="B33" i="2"/>
  <c r="B36" i="2"/>
  <c r="B34" i="3"/>
  <c r="B37" i="3"/>
  <c r="B34" i="4"/>
  <c r="B37" i="4"/>
  <c r="B32" i="5"/>
  <c r="B35" i="5"/>
  <c r="B38" i="2" l="1"/>
  <c r="B39" i="3" s="1"/>
  <c r="B39" i="4" s="1"/>
  <c r="B37" i="5" s="1"/>
  <c r="B39" i="6" s="1"/>
  <c r="B36" i="7"/>
  <c r="B34" i="2"/>
  <c r="B35" i="3" s="1"/>
  <c r="B35" i="4" s="1"/>
  <c r="B33" i="5" s="1"/>
  <c r="B35" i="6" s="1"/>
  <c r="B34" i="7" s="1"/>
  <c r="B35" i="8" s="1"/>
  <c r="B34" i="9" s="1"/>
  <c r="B35" i="10" s="1"/>
  <c r="B35" i="11" s="1"/>
  <c r="B34" i="1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4" i="6"/>
  <c r="A5" i="6" s="1"/>
  <c r="A6" i="6" s="1"/>
  <c r="A7" i="6" s="1"/>
  <c r="A8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B38" i="7" l="1"/>
  <c r="B39" i="8" s="1"/>
  <c r="B38" i="9" s="1"/>
  <c r="B39" i="10" s="1"/>
  <c r="B39" i="11" s="1"/>
  <c r="B38" i="12" s="1"/>
  <c r="H33" i="12"/>
  <c r="G33" i="12"/>
  <c r="F33" i="12"/>
  <c r="E33" i="12"/>
  <c r="D33" i="12"/>
  <c r="C33" i="12"/>
  <c r="E37" i="11"/>
  <c r="D37" i="11"/>
  <c r="C37" i="11"/>
  <c r="H33" i="9"/>
  <c r="G33" i="9"/>
  <c r="F33" i="9"/>
  <c r="E33" i="9"/>
  <c r="D33" i="9"/>
  <c r="H33" i="2"/>
  <c r="H34" i="1"/>
  <c r="H35" i="1" s="1"/>
  <c r="D37" i="1" l="1"/>
  <c r="E37" i="1"/>
  <c r="E39" i="1" s="1"/>
  <c r="C37" i="1"/>
  <c r="C39" i="1" s="1"/>
  <c r="H32" i="5" l="1"/>
  <c r="C33" i="7"/>
  <c r="C36" i="7" s="1"/>
  <c r="D33" i="7"/>
  <c r="D36" i="7" s="1"/>
  <c r="E33" i="7"/>
  <c r="E36" i="7" s="1"/>
  <c r="F33" i="7"/>
  <c r="G33" i="7"/>
  <c r="H33" i="7"/>
  <c r="G44" i="7"/>
  <c r="H44" i="7"/>
  <c r="G45" i="7"/>
  <c r="H45" i="7"/>
  <c r="G46" i="7"/>
  <c r="H46" i="7"/>
  <c r="G47" i="7"/>
  <c r="H47" i="7"/>
  <c r="G48" i="7"/>
  <c r="H48" i="7"/>
  <c r="I48" i="7" s="1"/>
  <c r="G52" i="7"/>
  <c r="G53" i="7"/>
  <c r="G54" i="7"/>
  <c r="G55" i="7"/>
  <c r="G56" i="7"/>
  <c r="E57" i="7"/>
  <c r="C34" i="11"/>
  <c r="D34" i="11"/>
  <c r="E34" i="11"/>
  <c r="F34" i="11"/>
  <c r="G34" i="11"/>
  <c r="H34" i="11"/>
  <c r="G45" i="11"/>
  <c r="H45" i="11"/>
  <c r="G46" i="11"/>
  <c r="H46" i="11"/>
  <c r="G47" i="11"/>
  <c r="H47" i="11"/>
  <c r="G48" i="11"/>
  <c r="H48" i="11"/>
  <c r="G49" i="11"/>
  <c r="H49" i="11"/>
  <c r="G53" i="11"/>
  <c r="G54" i="11"/>
  <c r="G55" i="11"/>
  <c r="G56" i="11"/>
  <c r="G57" i="11"/>
  <c r="E58" i="11"/>
  <c r="C34" i="3"/>
  <c r="D34" i="3"/>
  <c r="E34" i="3"/>
  <c r="F34" i="3"/>
  <c r="G34" i="3"/>
  <c r="H34" i="3"/>
  <c r="C37" i="3"/>
  <c r="D37" i="3"/>
  <c r="E37" i="3"/>
  <c r="G45" i="3"/>
  <c r="H45" i="3"/>
  <c r="G46" i="3"/>
  <c r="H46" i="3"/>
  <c r="G47" i="3"/>
  <c r="H47" i="3"/>
  <c r="G48" i="3"/>
  <c r="H48" i="3"/>
  <c r="G49" i="3"/>
  <c r="H49" i="3"/>
  <c r="E58" i="3"/>
  <c r="G58" i="3"/>
  <c r="C32" i="5"/>
  <c r="D32" i="5"/>
  <c r="E32" i="5"/>
  <c r="F32" i="5"/>
  <c r="G32" i="5"/>
  <c r="C35" i="5"/>
  <c r="D35" i="5"/>
  <c r="E35" i="5"/>
  <c r="G43" i="5"/>
  <c r="H43" i="5"/>
  <c r="G44" i="5"/>
  <c r="H44" i="5"/>
  <c r="G45" i="5"/>
  <c r="H45" i="5"/>
  <c r="G46" i="5"/>
  <c r="H46" i="5"/>
  <c r="G47" i="5"/>
  <c r="H47" i="5"/>
  <c r="G51" i="5"/>
  <c r="G52" i="5"/>
  <c r="G53" i="5"/>
  <c r="G54" i="5"/>
  <c r="G55" i="5"/>
  <c r="E56" i="5"/>
  <c r="C34" i="4"/>
  <c r="D34" i="4"/>
  <c r="E34" i="4"/>
  <c r="F34" i="4"/>
  <c r="G34" i="4"/>
  <c r="H34" i="4"/>
  <c r="C37" i="4"/>
  <c r="D37" i="4"/>
  <c r="E37" i="4"/>
  <c r="G45" i="4"/>
  <c r="H45" i="4"/>
  <c r="G46" i="4"/>
  <c r="H46" i="4"/>
  <c r="G47" i="4"/>
  <c r="H47" i="4"/>
  <c r="G48" i="4"/>
  <c r="H48" i="4"/>
  <c r="G49" i="4"/>
  <c r="H49" i="4"/>
  <c r="G53" i="4"/>
  <c r="G54" i="4"/>
  <c r="G55" i="4"/>
  <c r="G56" i="4"/>
  <c r="G57" i="4"/>
  <c r="E58" i="4"/>
  <c r="C34" i="10"/>
  <c r="D34" i="10"/>
  <c r="E34" i="10"/>
  <c r="F34" i="10"/>
  <c r="G34" i="10"/>
  <c r="H34" i="10"/>
  <c r="C37" i="10"/>
  <c r="D37" i="10"/>
  <c r="E37" i="10"/>
  <c r="G45" i="10"/>
  <c r="H45" i="10"/>
  <c r="G46" i="10"/>
  <c r="H46" i="10"/>
  <c r="G47" i="10"/>
  <c r="H47" i="10"/>
  <c r="G48" i="10"/>
  <c r="H48" i="10"/>
  <c r="G49" i="10"/>
  <c r="H49" i="10"/>
  <c r="G53" i="10"/>
  <c r="G54" i="10"/>
  <c r="G55" i="10"/>
  <c r="G56" i="10"/>
  <c r="G57" i="10"/>
  <c r="E58" i="10"/>
  <c r="C33" i="9"/>
  <c r="C36" i="9"/>
  <c r="D36" i="9"/>
  <c r="E36" i="9"/>
  <c r="G44" i="9"/>
  <c r="H44" i="9"/>
  <c r="G45" i="9"/>
  <c r="H45" i="9"/>
  <c r="G46" i="9"/>
  <c r="H46" i="9"/>
  <c r="G47" i="9"/>
  <c r="H47" i="9"/>
  <c r="G48" i="9"/>
  <c r="H48" i="9"/>
  <c r="G52" i="9"/>
  <c r="G53" i="9"/>
  <c r="G54" i="9"/>
  <c r="G55" i="9"/>
  <c r="G56" i="9"/>
  <c r="E57" i="9"/>
  <c r="C34" i="6"/>
  <c r="E34" i="6"/>
  <c r="F34" i="6"/>
  <c r="G34" i="6"/>
  <c r="H34" i="6"/>
  <c r="C37" i="6"/>
  <c r="E37" i="6"/>
  <c r="G45" i="6"/>
  <c r="H45" i="6"/>
  <c r="G46" i="6"/>
  <c r="H46" i="6"/>
  <c r="G47" i="6"/>
  <c r="H47" i="6"/>
  <c r="G48" i="6"/>
  <c r="H48" i="6"/>
  <c r="G49" i="6"/>
  <c r="H49" i="6"/>
  <c r="G53" i="6"/>
  <c r="G54" i="6"/>
  <c r="G55" i="6"/>
  <c r="G56" i="6"/>
  <c r="G57" i="6"/>
  <c r="E58" i="6"/>
  <c r="C34" i="8"/>
  <c r="D34" i="8"/>
  <c r="E34" i="8"/>
  <c r="F34" i="8"/>
  <c r="G34" i="8"/>
  <c r="H34" i="8"/>
  <c r="C37" i="8"/>
  <c r="D37" i="8"/>
  <c r="E37" i="8"/>
  <c r="G45" i="8"/>
  <c r="H45" i="8"/>
  <c r="G46" i="8"/>
  <c r="H46" i="8"/>
  <c r="G47" i="8"/>
  <c r="H47" i="8"/>
  <c r="G48" i="8"/>
  <c r="H48" i="8"/>
  <c r="G49" i="8"/>
  <c r="H49" i="8"/>
  <c r="G53" i="8"/>
  <c r="G54" i="8"/>
  <c r="G55" i="8"/>
  <c r="G56" i="8"/>
  <c r="G57" i="8"/>
  <c r="E58" i="8"/>
  <c r="C33" i="2"/>
  <c r="D33" i="2"/>
  <c r="E33" i="2"/>
  <c r="F33" i="2"/>
  <c r="G33" i="2"/>
  <c r="H34" i="2"/>
  <c r="C36" i="2"/>
  <c r="D36" i="2"/>
  <c r="E36" i="2"/>
  <c r="E38" i="2" s="1"/>
  <c r="G44" i="2"/>
  <c r="H44" i="2"/>
  <c r="G45" i="2"/>
  <c r="H45" i="2"/>
  <c r="G46" i="2"/>
  <c r="H46" i="2"/>
  <c r="G47" i="2"/>
  <c r="H47" i="2"/>
  <c r="I47" i="2" s="1"/>
  <c r="G48" i="2"/>
  <c r="H48" i="2"/>
  <c r="E57" i="2"/>
  <c r="G57" i="2"/>
  <c r="C34" i="1"/>
  <c r="C35" i="1" s="1"/>
  <c r="D34" i="1"/>
  <c r="D35" i="1" s="1"/>
  <c r="E34" i="1"/>
  <c r="E35" i="1" s="1"/>
  <c r="F34" i="1"/>
  <c r="F35" i="1" s="1"/>
  <c r="G34" i="1"/>
  <c r="G35" i="1" s="1"/>
  <c r="D39" i="1"/>
  <c r="G45" i="1"/>
  <c r="H45" i="1"/>
  <c r="G46" i="1"/>
  <c r="H46" i="1"/>
  <c r="G47" i="1"/>
  <c r="H47" i="1"/>
  <c r="G48" i="1"/>
  <c r="H48" i="1"/>
  <c r="G49" i="1"/>
  <c r="H49" i="1"/>
  <c r="E58" i="1"/>
  <c r="E59" i="1" s="1"/>
  <c r="G58" i="1"/>
  <c r="G59" i="1" s="1"/>
  <c r="C36" i="12"/>
  <c r="D36" i="12"/>
  <c r="E36" i="12"/>
  <c r="G44" i="12"/>
  <c r="H44" i="12"/>
  <c r="G45" i="12"/>
  <c r="H45" i="12"/>
  <c r="G46" i="12"/>
  <c r="H46" i="12"/>
  <c r="G47" i="12"/>
  <c r="H47" i="12"/>
  <c r="G48" i="12"/>
  <c r="H48" i="12"/>
  <c r="G52" i="12"/>
  <c r="G53" i="12"/>
  <c r="G54" i="12"/>
  <c r="G55" i="12"/>
  <c r="G56" i="12"/>
  <c r="E57" i="12"/>
  <c r="I47" i="1" l="1"/>
  <c r="I45" i="5"/>
  <c r="I43" i="5"/>
  <c r="I49" i="6"/>
  <c r="I45" i="6"/>
  <c r="I46" i="1"/>
  <c r="I46" i="2"/>
  <c r="I48" i="6"/>
  <c r="I49" i="1"/>
  <c r="I47" i="6"/>
  <c r="I44" i="7"/>
  <c r="I49" i="8"/>
  <c r="I45" i="8"/>
  <c r="I47" i="3"/>
  <c r="I45" i="4"/>
  <c r="I47" i="12"/>
  <c r="I44" i="9"/>
  <c r="I46" i="5"/>
  <c r="G58" i="10"/>
  <c r="I47" i="4"/>
  <c r="I46" i="10"/>
  <c r="I45" i="3"/>
  <c r="I44" i="12"/>
  <c r="E39" i="3"/>
  <c r="E39" i="4" s="1"/>
  <c r="E37" i="5" s="1"/>
  <c r="E39" i="6" s="1"/>
  <c r="E38" i="7" s="1"/>
  <c r="E39" i="8" s="1"/>
  <c r="E38" i="9" s="1"/>
  <c r="E39" i="10" s="1"/>
  <c r="E39" i="11" s="1"/>
  <c r="E38" i="12" s="1"/>
  <c r="I47" i="8"/>
  <c r="I46" i="6"/>
  <c r="I47" i="9"/>
  <c r="I45" i="9"/>
  <c r="I45" i="10"/>
  <c r="G56" i="5"/>
  <c r="I48" i="3"/>
  <c r="G57" i="12"/>
  <c r="I45" i="12"/>
  <c r="I48" i="8"/>
  <c r="I46" i="8"/>
  <c r="I48" i="9"/>
  <c r="I45" i="1"/>
  <c r="I48" i="2"/>
  <c r="I45" i="2"/>
  <c r="G57" i="9"/>
  <c r="I46" i="9"/>
  <c r="I48" i="10"/>
  <c r="I49" i="4"/>
  <c r="I49" i="3"/>
  <c r="I44" i="2"/>
  <c r="G58" i="8"/>
  <c r="I49" i="10"/>
  <c r="I47" i="10"/>
  <c r="I48" i="4"/>
  <c r="G57" i="7"/>
  <c r="I46" i="7"/>
  <c r="I48" i="12"/>
  <c r="I46" i="12"/>
  <c r="I48" i="1"/>
  <c r="G58" i="4"/>
  <c r="I46" i="4"/>
  <c r="I47" i="5"/>
  <c r="I44" i="5"/>
  <c r="I46" i="3"/>
  <c r="I47" i="7"/>
  <c r="I45" i="7"/>
  <c r="G58" i="6"/>
  <c r="I46" i="11"/>
  <c r="I49" i="11"/>
  <c r="I47" i="11"/>
  <c r="I45" i="11"/>
  <c r="I48" i="11"/>
  <c r="G58" i="11"/>
  <c r="C34" i="2"/>
  <c r="C35" i="3" s="1"/>
  <c r="C35" i="4" s="1"/>
  <c r="C33" i="5" s="1"/>
  <c r="C35" i="6" s="1"/>
  <c r="C34" i="7" s="1"/>
  <c r="C35" i="8" s="1"/>
  <c r="C34" i="9" s="1"/>
  <c r="C35" i="10" s="1"/>
  <c r="C35" i="11" s="1"/>
  <c r="C34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D38" i="2"/>
  <c r="D39" i="3" s="1"/>
  <c r="D39" i="4" s="1"/>
  <c r="D37" i="5" s="1"/>
  <c r="D39" i="6" s="1"/>
  <c r="D38" i="7" s="1"/>
  <c r="D39" i="8" s="1"/>
  <c r="D38" i="9" s="1"/>
  <c r="D39" i="10" s="1"/>
  <c r="D39" i="11" s="1"/>
  <c r="D38" i="12" s="1"/>
  <c r="D34" i="2"/>
  <c r="D35" i="3" s="1"/>
  <c r="D35" i="4" s="1"/>
  <c r="D33" i="5" s="1"/>
  <c r="G34" i="2"/>
  <c r="G35" i="3" s="1"/>
  <c r="G35" i="4" s="1"/>
  <c r="G33" i="5" s="1"/>
  <c r="G35" i="6" s="1"/>
  <c r="G34" i="7" s="1"/>
  <c r="G35" i="8" s="1"/>
  <c r="G34" i="9" s="1"/>
  <c r="G35" i="10" s="1"/>
  <c r="G35" i="11" s="1"/>
  <c r="G34" i="12" s="1"/>
  <c r="H35" i="3"/>
  <c r="H35" i="4" s="1"/>
  <c r="H33" i="5" s="1"/>
  <c r="H35" i="6" s="1"/>
  <c r="H34" i="7" s="1"/>
  <c r="H35" i="8" s="1"/>
  <c r="H34" i="9" s="1"/>
  <c r="H35" i="10" s="1"/>
  <c r="H35" i="11" s="1"/>
  <c r="H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  <c r="D35" i="6" l="1"/>
  <c r="D34" i="7" s="1"/>
  <c r="D35" i="8" s="1"/>
  <c r="D34" i="9" s="1"/>
  <c r="D35" i="10" s="1"/>
  <c r="D35" i="11" s="1"/>
  <c r="D34" i="12" s="1"/>
</calcChain>
</file>

<file path=xl/sharedStrings.xml><?xml version="1.0" encoding="utf-8"?>
<sst xmlns="http://schemas.openxmlformats.org/spreadsheetml/2006/main" count="842" uniqueCount="126">
  <si>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</si>
  <si>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</si>
  <si>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</si>
  <si>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</si>
  <si>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</si>
  <si>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</si>
  <si>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</si>
  <si>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</si>
  <si>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</si>
  <si>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</si>
  <si>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</si>
  <si>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</si>
  <si>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</si>
  <si>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</si>
  <si>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</si>
  <si>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</si>
  <si>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</si>
  <si>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</si>
  <si>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</si>
  <si>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</si>
  <si>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</si>
  <si>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</si>
  <si>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</si>
  <si>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</si>
  <si>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</si>
  <si>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</si>
  <si>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</si>
  <si>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</si>
  <si>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LRDC</t>
  </si>
  <si>
    <t>-</t>
  </si>
  <si>
    <t>T</t>
  </si>
  <si>
    <t>* 00:30 0/100</t>
  </si>
  <si>
    <t>* 16:30 100/125</t>
  </si>
  <si>
    <t>* 08:00 125/150 * 14:00 150/200</t>
  </si>
  <si>
    <t>* 14:00 200/250</t>
  </si>
  <si>
    <t>* 10:00 250/200 * 14:00 200/225</t>
  </si>
  <si>
    <t>* 09:00 225/200</t>
  </si>
  <si>
    <t>* 23:00 200/225</t>
  </si>
  <si>
    <t>* 09:00 225/275 * 16:00 275/250</t>
  </si>
  <si>
    <t>* 07:00 250/200 * 18:00 200/225</t>
  </si>
  <si>
    <t>* 04:30 225/250 * 14:00 250/275</t>
  </si>
  <si>
    <t>* 18:30 275/300</t>
  </si>
  <si>
    <t>* 16:00 300/325</t>
  </si>
  <si>
    <t>* 13:30 325/350 * 17:00 350/300</t>
  </si>
  <si>
    <t>* 11:00 300/325 * 17:00 325/350</t>
  </si>
  <si>
    <t>* 06:00 350/400 * 14:00 400/375 * 19:30 375/350</t>
  </si>
  <si>
    <t>* 14:00 325/350</t>
  </si>
  <si>
    <t>* 15:30 350/300</t>
  </si>
  <si>
    <t>* 10:00 300/250 * 17:00 250/300</t>
  </si>
  <si>
    <t>* 16:00 300/350</t>
  </si>
  <si>
    <t>* 07:30 325/375 * 14:30 375/350 * 20:00 350/300 * 22:00 300/250</t>
  </si>
  <si>
    <t>* 16:00 250/200</t>
  </si>
  <si>
    <t>* 19:30 200/175</t>
  </si>
  <si>
    <t>* 08:00 175/150</t>
  </si>
  <si>
    <t>* 16:00 150/100</t>
  </si>
  <si>
    <t>* 07:00 100/150</t>
  </si>
  <si>
    <t>* 16:30 150/200</t>
  </si>
  <si>
    <t>* 08:00 200/150</t>
  </si>
  <si>
    <t>* 05:00 150/200</t>
  </si>
  <si>
    <t>* 18:00 200/150</t>
  </si>
  <si>
    <t>* 14:00 150/100</t>
  </si>
  <si>
    <t>* 10:00 100/150</t>
  </si>
  <si>
    <t>* 14:00 150/200</t>
  </si>
  <si>
    <t>* 08:00 200/250 * 17:00 250/300</t>
  </si>
  <si>
    <t>* 09:00 300/250</t>
  </si>
  <si>
    <t>*12:00 250/300 * 17:00 300/250</t>
  </si>
  <si>
    <t>* 08:00 250/300 *17:00 300/250</t>
  </si>
  <si>
    <t>* 14:00 250/200</t>
  </si>
  <si>
    <t>* 09:00 200/250 * 11:00 250/300 *17:00 300/250</t>
  </si>
  <si>
    <t>* 14:30 250/300 * 16:30 300/350</t>
  </si>
  <si>
    <t>* 14:15 350/450</t>
  </si>
  <si>
    <t>* 10:00 450/400 * 17:00 400/450</t>
  </si>
  <si>
    <t>* 12:00 450/500</t>
  </si>
  <si>
    <t>* 16:00 500/450</t>
  </si>
  <si>
    <t>* 14:00 450/500</t>
  </si>
  <si>
    <t>* 09:00 500/450 * 13:30 450/400</t>
  </si>
  <si>
    <t>* 06:00 400/450</t>
  </si>
  <si>
    <t>* 06:00 450/350 * 14:00 350/400</t>
  </si>
  <si>
    <t>* 09:30 400/450 * 21:00 450/500</t>
  </si>
  <si>
    <t>* 17:50 500/450</t>
  </si>
  <si>
    <t>* 09:30 400/450</t>
  </si>
  <si>
    <t>* 10:00 450/400</t>
  </si>
  <si>
    <t>* 14:00 400/350</t>
  </si>
  <si>
    <t>* 09:30 350/300</t>
  </si>
  <si>
    <t>* 14:00 300/250</t>
  </si>
  <si>
    <t>* 10:00 250/200</t>
  </si>
  <si>
    <t>* 04:00 200/250 16:00 250/200</t>
  </si>
  <si>
    <t>* 09:30 200/250</t>
  </si>
  <si>
    <t>* 12:30 250/300</t>
  </si>
  <si>
    <t>* 11:30 300/250 * 16:00 250/300</t>
  </si>
  <si>
    <t>* 07:00 300/350 15:00 350/300</t>
  </si>
  <si>
    <t>* 14:30 300/350</t>
  </si>
  <si>
    <t>* 06:30 350/400</t>
  </si>
  <si>
    <t>* 16:00 400/350</t>
  </si>
  <si>
    <t>* 10:00 350/300 * 14:30 00/350</t>
  </si>
  <si>
    <t>* 14:30 350/400</t>
  </si>
  <si>
    <t>* 10:00 400/450</t>
  </si>
  <si>
    <t>* 14:30 450/500</t>
  </si>
  <si>
    <t>* 12:00 500/450</t>
  </si>
  <si>
    <t>* 16:45 450/400</t>
  </si>
  <si>
    <t>* 07:00 400/300 * 14:00 300/250</t>
  </si>
  <si>
    <t>* 07:00 250/300 * 14:00 300/250</t>
  </si>
  <si>
    <t>* 14:00 200/150</t>
  </si>
  <si>
    <t>* 24:00 150/200</t>
  </si>
  <si>
    <t>* 13:30 200/150</t>
  </si>
  <si>
    <t>* 16:30 150/100 * 22:00 100/125</t>
  </si>
  <si>
    <t>* 11:00 125/150 * 13:30 150/175 23:00 175/200</t>
  </si>
  <si>
    <t>* 09:00 200/100 * 15:30 100/150</t>
  </si>
  <si>
    <t>* 10:00 150/50</t>
  </si>
  <si>
    <t>* 08:30 50/25</t>
  </si>
  <si>
    <t>* 07:00 25/150 13:00 150/100 * 14:00 100/18</t>
  </si>
  <si>
    <t>* 07:00 18/0</t>
  </si>
  <si>
    <t>* 07:00 0/50</t>
  </si>
  <si>
    <t>* 08:00 50/100</t>
  </si>
  <si>
    <t>* 12:00 100/50</t>
  </si>
  <si>
    <t>* 12:30 50/18</t>
  </si>
  <si>
    <t>* 08:30 18/0</t>
  </si>
  <si>
    <t>* 13:00 0/50</t>
  </si>
  <si>
    <t>* 14:00 50/18</t>
  </si>
  <si>
    <t>* 14:00 18/0</t>
  </si>
  <si>
    <t>* 11:00 0/50</t>
  </si>
  <si>
    <t>* 10:00 50/75 * 14:00 75/125</t>
  </si>
  <si>
    <t>* 16:00 125/150</t>
  </si>
  <si>
    <t>* 09:30 150/100</t>
  </si>
  <si>
    <t>* 07:30 100/125</t>
  </si>
  <si>
    <t>* 13:00 125/150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</si>
</sst>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_);[Red]\(0\)"/>
    <numFmt numFmtId="167" formatCode="h:mm;@"/>
  </numFmts>
  <fonts count="2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11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Border="1" applyAlignment="1">
      <alignment horizontal="right" wrapText="1"/>
    </xf>
    <xf numFmtId="1" fontId="4" fillId="0" borderId="1" xfId="2" applyNumberFormat="1" applyFont="1" applyBorder="1" applyAlignment="1">
      <alignment horizontal="right" wrapText="1"/>
    </xf>
    <xf numFmtId="2" fontId="4" fillId="0" borderId="1" xfId="2" applyNumberFormat="1" applyFont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4" fontId="1" fillId="0" borderId="1" xfId="3" applyNumberFormat="1" applyFont="1" applyBorder="1" applyAlignment="1">
      <alignment horizontal="right" wrapText="1"/>
    </xf>
    <xf numFmtId="14" fontId="1" fillId="0" borderId="1" xfId="3" applyNumberFormat="1" applyFont="1" applyBorder="1" applyAlignment="1">
      <alignment horizontal="right" wrapText="1"/>
    </xf>
    <xf numFmtId="0" fontId="7" fillId="0" borderId="0" xfId="0" applyFont="1" applyAlignment="1">
      <alignment horizontal="center"/>
    </xf>
    <xf numFmtId="0" fontId="9" fillId="0" borderId="0" xfId="2" applyFont="1"/>
    <xf numFmtId="166" fontId="9" fillId="0" borderId="0" xfId="2" applyNumberFormat="1" applyFont="1"/>
    <xf numFmtId="0" fontId="10" fillId="0" borderId="0" xfId="0" applyFont="1"/>
    <xf numFmtId="166" fontId="10" fillId="0" borderId="0" xfId="0" applyNumberFormat="1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3" fontId="22" fillId="0" borderId="1" xfId="3" applyNumberFormat="1" applyFont="1" applyBorder="1" applyAlignment="1">
      <alignment horizontal="right" wrapText="1"/>
    </xf>
    <xf numFmtId="14" fontId="21" fillId="0" borderId="2" xfId="0" applyNumberFormat="1" applyFont="1" applyBorder="1"/>
    <xf numFmtId="14" fontId="21" fillId="0" borderId="1" xfId="0" applyNumberFormat="1" applyFont="1" applyBorder="1"/>
    <xf numFmtId="3" fontId="21" fillId="0" borderId="1" xfId="0" applyNumberFormat="1" applyFont="1" applyBorder="1"/>
    <xf numFmtId="4" fontId="21" fillId="0" borderId="1" xfId="0" applyNumberFormat="1" applyFont="1" applyBorder="1"/>
    <xf numFmtId="14" fontId="22" fillId="0" borderId="1" xfId="3" applyNumberFormat="1" applyFont="1" applyBorder="1" applyAlignment="1">
      <alignment horizontal="right" wrapText="1"/>
    </xf>
    <xf numFmtId="0" fontId="23" fillId="0" borderId="0" xfId="0" applyFont="1"/>
    <xf numFmtId="0" fontId="24" fillId="0" borderId="27" xfId="0" applyFont="1" applyBorder="1" applyAlignment="1">
      <alignment horizontal="right" wrapText="1"/>
    </xf>
    <xf numFmtId="0" fontId="24" fillId="0" borderId="0" xfId="0" applyFont="1"/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4" fillId="0" borderId="27" xfId="0" applyFont="1" applyBorder="1" applyAlignment="1">
      <alignment horizontal="right"/>
    </xf>
    <xf numFmtId="14" fontId="24" fillId="0" borderId="27" xfId="0" applyNumberFormat="1" applyFont="1" applyBorder="1" applyAlignment="1">
      <alignment horizontal="right" wrapText="1"/>
    </xf>
    <xf numFmtId="14" fontId="11" fillId="0" borderId="28" xfId="0" applyNumberFormat="1" applyFont="1" applyBorder="1" applyAlignment="1">
      <alignment horizontal="left"/>
    </xf>
    <xf numFmtId="14" fontId="10" fillId="0" borderId="28" xfId="0" applyNumberFormat="1" applyFont="1" applyBorder="1" applyAlignment="1">
      <alignment horizontal="right"/>
    </xf>
    <xf numFmtId="14" fontId="11" fillId="0" borderId="26" xfId="0" applyNumberFormat="1" applyFont="1" applyBorder="1" applyAlignment="1">
      <alignment horizontal="center" wrapText="1"/>
    </xf>
    <xf numFmtId="14" fontId="15" fillId="0" borderId="29" xfId="0" applyNumberFormat="1" applyFont="1" applyBorder="1" applyAlignment="1">
      <alignment horizontal="right"/>
    </xf>
    <xf numFmtId="14" fontId="15" fillId="0" borderId="28" xfId="0" applyNumberFormat="1" applyFont="1" applyBorder="1"/>
    <xf numFmtId="0" fontId="15" fillId="0" borderId="30" xfId="0" applyFont="1" applyBorder="1"/>
    <xf numFmtId="0" fontId="24" fillId="0" borderId="27" xfId="0" quotePrefix="1" applyFont="1" applyBorder="1" applyAlignment="1">
      <alignment horizontal="right" wrapText="1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/>
    </xf>
    <xf numFmtId="0" fontId="8" fillId="0" borderId="22" xfId="2" applyFont="1" applyBorder="1" applyAlignment="1">
      <alignment horizontal="center" wrapText="1"/>
    </xf>
    <xf numFmtId="0" fontId="8" fillId="0" borderId="21" xfId="2" applyFont="1" applyBorder="1" applyAlignment="1">
      <alignment horizontal="center" wrapText="1"/>
    </xf>
    <xf numFmtId="14" fontId="7" fillId="0" borderId="23" xfId="0" applyNumberFormat="1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" fontId="13" fillId="0" borderId="24" xfId="0" applyNumberFormat="1" applyFont="1" applyBorder="1" applyAlignment="1">
      <alignment horizontal="right" vertical="center" wrapText="1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</cellXfs>
  <cellStyles count="4">
    <cellStyle name="Normal" xfId="0" builtinId="0"/>
    <cellStyle name="Normal_Sheet1" xfId="1" xr:uid="{00000000-0005-0000-0000-000001000000}"/>
    <cellStyle name="Normal_Sheet1_1" xfId="2" xr:uid="{00000000-0005-0000-0000-000002000000}"/>
    <cellStyle name="Normal_Sheet1_1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7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3" sqref="I33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6.28515625" bestFit="1" customWidth="1"/>
  </cols>
  <sheetData>
    <row r="1" spans="1:12" s="1" customFormat="1" ht="30" x14ac:dyDescent="0.25">
      <c r="A1" s="81" t="s">
        <v>0</v>
      </c>
      <c r="B1" s="9" t="s">
        <v>28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2" s="1" customFormat="1" x14ac:dyDescent="0.25">
      <c r="A2" s="80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79"/>
    </row>
    <row r="3" spans="1:12" x14ac:dyDescent="0.25">
      <c r="A3" s="24">
        <v>45170</v>
      </c>
      <c r="B3" s="89">
        <v>0</v>
      </c>
      <c r="C3" s="89">
        <v>83</v>
      </c>
      <c r="D3" s="89">
        <v>0</v>
      </c>
      <c r="E3" s="89">
        <v>273</v>
      </c>
      <c r="F3" s="89">
        <v>7.0000000000000007E-2</v>
      </c>
      <c r="G3" s="89">
        <v>0</v>
      </c>
      <c r="H3" s="89">
        <v>0</v>
      </c>
      <c r="I3" s="89" t="s">
        <v>29</v>
      </c>
      <c r="J3" s="88" t="s">
        <v>113</v>
      </c>
      <c r="K3" s="88"/>
      <c r="L3" s="90"/>
    </row>
    <row r="4" spans="1:12" x14ac:dyDescent="0.25">
      <c r="A4" s="24">
        <f>A3+1</f>
        <v>45171</v>
      </c>
      <c r="B4" s="89">
        <v>0</v>
      </c>
      <c r="C4" s="89">
        <v>75</v>
      </c>
      <c r="D4" s="89">
        <v>0</v>
      </c>
      <c r="E4" s="89">
        <v>283</v>
      </c>
      <c r="F4" s="89">
        <v>0.15</v>
      </c>
      <c r="G4" s="89">
        <v>0</v>
      </c>
      <c r="H4" s="89">
        <v>0</v>
      </c>
      <c r="I4" s="89" t="s">
        <v>29</v>
      </c>
      <c r="J4" s="88" t="s">
        <v>114</v>
      </c>
      <c r="K4" s="88"/>
      <c r="L4" s="90"/>
    </row>
    <row r="5" spans="1:12" x14ac:dyDescent="0.25">
      <c r="A5" s="24">
        <f t="shared" ref="A5:A32" si="0">A4+1</f>
        <v>45172</v>
      </c>
      <c r="B5" s="89">
        <v>0</v>
      </c>
      <c r="C5" s="89">
        <v>31</v>
      </c>
      <c r="D5" s="89">
        <v>20</v>
      </c>
      <c r="E5" s="89">
        <v>276</v>
      </c>
      <c r="F5" s="89">
        <v>0.03</v>
      </c>
      <c r="G5" s="89">
        <v>0</v>
      </c>
      <c r="H5" s="89">
        <v>0</v>
      </c>
      <c r="I5" s="89" t="s">
        <v>29</v>
      </c>
      <c r="J5" s="88" t="s">
        <v>115</v>
      </c>
      <c r="K5" s="88"/>
      <c r="L5" s="90"/>
    </row>
    <row r="6" spans="1:12" x14ac:dyDescent="0.25">
      <c r="A6" s="24">
        <f t="shared" si="0"/>
        <v>45173</v>
      </c>
      <c r="B6" s="89">
        <v>0</v>
      </c>
      <c r="C6" s="89">
        <v>4</v>
      </c>
      <c r="D6" s="89">
        <v>19</v>
      </c>
      <c r="E6" s="89">
        <v>281</v>
      </c>
      <c r="F6" s="89">
        <v>0</v>
      </c>
      <c r="G6" s="89">
        <v>0</v>
      </c>
      <c r="H6" s="89">
        <v>0</v>
      </c>
      <c r="I6" s="89" t="s">
        <v>29</v>
      </c>
      <c r="J6" s="88" t="s">
        <v>116</v>
      </c>
      <c r="K6" s="88"/>
      <c r="L6" s="90"/>
    </row>
    <row r="7" spans="1:12" x14ac:dyDescent="0.25">
      <c r="A7" s="24">
        <f t="shared" si="0"/>
        <v>45174</v>
      </c>
      <c r="B7" s="89">
        <v>0</v>
      </c>
      <c r="C7" s="89">
        <v>23</v>
      </c>
      <c r="D7" s="89">
        <v>0</v>
      </c>
      <c r="E7" s="89">
        <v>268</v>
      </c>
      <c r="F7" s="89">
        <v>0</v>
      </c>
      <c r="G7" s="89">
        <v>0</v>
      </c>
      <c r="H7" s="89">
        <v>0</v>
      </c>
      <c r="I7" s="89" t="s">
        <v>29</v>
      </c>
      <c r="J7" s="88" t="s">
        <v>117</v>
      </c>
      <c r="K7" s="88"/>
      <c r="L7" s="90"/>
    </row>
    <row r="8" spans="1:12" x14ac:dyDescent="0.25">
      <c r="A8" s="24">
        <f t="shared" si="0"/>
        <v>45175</v>
      </c>
      <c r="B8" s="89">
        <v>0</v>
      </c>
      <c r="C8" s="89">
        <v>50</v>
      </c>
      <c r="D8" s="89">
        <v>0</v>
      </c>
      <c r="E8" s="89">
        <v>264</v>
      </c>
      <c r="F8" s="89">
        <v>0</v>
      </c>
      <c r="G8" s="89">
        <v>0</v>
      </c>
      <c r="H8" s="89">
        <v>0</v>
      </c>
      <c r="I8" s="89" t="s">
        <v>29</v>
      </c>
      <c r="J8" s="88"/>
      <c r="K8" s="88"/>
      <c r="L8" s="90"/>
    </row>
    <row r="9" spans="1:12" x14ac:dyDescent="0.25">
      <c r="A9" s="24">
        <f t="shared" si="0"/>
        <v>45176</v>
      </c>
      <c r="B9" s="89">
        <v>0</v>
      </c>
      <c r="C9" s="89">
        <v>37</v>
      </c>
      <c r="D9" s="89">
        <v>0</v>
      </c>
      <c r="E9" s="89">
        <v>264</v>
      </c>
      <c r="F9" s="89">
        <v>0</v>
      </c>
      <c r="G9" s="89">
        <v>0</v>
      </c>
      <c r="H9" s="89">
        <v>0</v>
      </c>
      <c r="I9" s="89" t="s">
        <v>29</v>
      </c>
      <c r="J9" s="88" t="s">
        <v>118</v>
      </c>
      <c r="K9" s="88"/>
      <c r="L9" s="90"/>
    </row>
    <row r="10" spans="1:12" x14ac:dyDescent="0.25">
      <c r="A10" s="24">
        <f t="shared" si="0"/>
        <v>45177</v>
      </c>
      <c r="B10" s="89">
        <v>0</v>
      </c>
      <c r="C10" s="89">
        <v>10</v>
      </c>
      <c r="D10" s="89">
        <v>2</v>
      </c>
      <c r="E10" s="89">
        <v>269</v>
      </c>
      <c r="F10" s="89">
        <v>0</v>
      </c>
      <c r="G10" s="89">
        <v>0</v>
      </c>
      <c r="H10" s="89">
        <v>0</v>
      </c>
      <c r="I10" s="89" t="s">
        <v>29</v>
      </c>
      <c r="J10" s="88" t="s">
        <v>119</v>
      </c>
      <c r="K10" s="88"/>
      <c r="L10" s="90"/>
    </row>
    <row r="11" spans="1:12" x14ac:dyDescent="0.25">
      <c r="A11" s="24">
        <f t="shared" si="0"/>
        <v>45178</v>
      </c>
      <c r="B11" s="89">
        <v>0</v>
      </c>
      <c r="C11" s="89">
        <v>0</v>
      </c>
      <c r="D11" s="89">
        <v>10</v>
      </c>
      <c r="E11" s="89">
        <v>245</v>
      </c>
      <c r="F11" s="89">
        <v>0</v>
      </c>
      <c r="G11" s="89">
        <v>0</v>
      </c>
      <c r="H11" s="89">
        <v>0</v>
      </c>
      <c r="I11" s="89" t="s">
        <v>29</v>
      </c>
      <c r="J11" s="88"/>
      <c r="K11" s="88"/>
      <c r="L11" s="90"/>
    </row>
    <row r="12" spans="1:12" x14ac:dyDescent="0.25">
      <c r="A12" s="24">
        <f t="shared" si="0"/>
        <v>45179</v>
      </c>
      <c r="B12" s="89">
        <v>0</v>
      </c>
      <c r="C12" s="89">
        <v>0</v>
      </c>
      <c r="D12" s="89">
        <v>19</v>
      </c>
      <c r="E12" s="89">
        <v>221</v>
      </c>
      <c r="F12" s="89">
        <v>0</v>
      </c>
      <c r="G12" s="89">
        <v>0</v>
      </c>
      <c r="H12" s="89">
        <v>0</v>
      </c>
      <c r="I12" s="89" t="s">
        <v>29</v>
      </c>
      <c r="J12" s="88"/>
      <c r="K12" s="88"/>
      <c r="L12" s="90"/>
    </row>
    <row r="13" spans="1:12" x14ac:dyDescent="0.25">
      <c r="A13" s="24">
        <f t="shared" si="0"/>
        <v>45180</v>
      </c>
      <c r="B13" s="89">
        <v>0</v>
      </c>
      <c r="C13" s="89">
        <v>0</v>
      </c>
      <c r="D13" s="89">
        <v>12</v>
      </c>
      <c r="E13" s="89">
        <v>231</v>
      </c>
      <c r="F13" s="89">
        <v>0</v>
      </c>
      <c r="G13" s="89">
        <v>0</v>
      </c>
      <c r="H13" s="89">
        <v>0</v>
      </c>
      <c r="I13" s="89" t="s">
        <v>29</v>
      </c>
      <c r="J13" s="88"/>
      <c r="K13" s="88"/>
      <c r="L13" s="90"/>
    </row>
    <row r="14" spans="1:12" x14ac:dyDescent="0.25">
      <c r="A14" s="24">
        <f t="shared" si="0"/>
        <v>45181</v>
      </c>
      <c r="B14" s="89">
        <v>0</v>
      </c>
      <c r="C14" s="89">
        <v>27</v>
      </c>
      <c r="D14" s="89">
        <v>0</v>
      </c>
      <c r="E14" s="89">
        <v>271</v>
      </c>
      <c r="F14" s="89">
        <v>0</v>
      </c>
      <c r="G14" s="89">
        <v>0</v>
      </c>
      <c r="H14" s="89">
        <v>0</v>
      </c>
      <c r="I14" s="89" t="s">
        <v>29</v>
      </c>
      <c r="J14" s="88" t="s">
        <v>120</v>
      </c>
      <c r="K14" s="88"/>
      <c r="L14" s="90"/>
    </row>
    <row r="15" spans="1:12" x14ac:dyDescent="0.25">
      <c r="A15" s="24">
        <f t="shared" si="0"/>
        <v>45182</v>
      </c>
      <c r="B15" s="89">
        <v>0</v>
      </c>
      <c r="C15" s="89">
        <v>85</v>
      </c>
      <c r="D15" s="89">
        <v>0</v>
      </c>
      <c r="E15" s="89">
        <v>326</v>
      </c>
      <c r="F15" s="89">
        <v>0</v>
      </c>
      <c r="G15" s="89">
        <v>0</v>
      </c>
      <c r="H15" s="89">
        <v>0</v>
      </c>
      <c r="I15" s="89" t="s">
        <v>29</v>
      </c>
      <c r="J15" s="88" t="s">
        <v>121</v>
      </c>
      <c r="K15" s="88"/>
      <c r="L15" s="90"/>
    </row>
    <row r="16" spans="1:12" x14ac:dyDescent="0.25">
      <c r="A16" s="24">
        <f t="shared" si="0"/>
        <v>45183</v>
      </c>
      <c r="B16" s="89">
        <v>0</v>
      </c>
      <c r="C16" s="89">
        <v>133</v>
      </c>
      <c r="D16" s="89">
        <v>0</v>
      </c>
      <c r="E16" s="89">
        <v>326</v>
      </c>
      <c r="F16" s="89">
        <v>0</v>
      </c>
      <c r="G16" s="89">
        <v>0</v>
      </c>
      <c r="H16" s="89">
        <v>0</v>
      </c>
      <c r="I16" s="89" t="s">
        <v>29</v>
      </c>
      <c r="J16" s="88" t="s">
        <v>122</v>
      </c>
      <c r="K16" s="88"/>
      <c r="L16" s="90"/>
    </row>
    <row r="17" spans="1:12" x14ac:dyDescent="0.25">
      <c r="A17" s="24">
        <f t="shared" si="0"/>
        <v>45184</v>
      </c>
      <c r="B17" s="89">
        <v>0</v>
      </c>
      <c r="C17" s="89">
        <v>150</v>
      </c>
      <c r="D17" s="89">
        <v>0</v>
      </c>
      <c r="E17" s="89">
        <v>306</v>
      </c>
      <c r="F17" s="89">
        <v>0</v>
      </c>
      <c r="G17" s="89">
        <v>0</v>
      </c>
      <c r="H17" s="89">
        <v>0</v>
      </c>
      <c r="I17" s="89" t="s">
        <v>29</v>
      </c>
      <c r="J17" s="88"/>
      <c r="K17" s="88"/>
      <c r="L17" s="90"/>
    </row>
    <row r="18" spans="1:12" x14ac:dyDescent="0.25">
      <c r="A18" s="24">
        <f t="shared" si="0"/>
        <v>45185</v>
      </c>
      <c r="B18" s="89">
        <v>0</v>
      </c>
      <c r="C18" s="89">
        <v>150</v>
      </c>
      <c r="D18" s="89">
        <v>0</v>
      </c>
      <c r="E18" s="89">
        <v>304</v>
      </c>
      <c r="F18" s="89">
        <v>0</v>
      </c>
      <c r="G18" s="89">
        <v>0</v>
      </c>
      <c r="H18" s="89">
        <v>0</v>
      </c>
      <c r="I18" s="89" t="s">
        <v>29</v>
      </c>
      <c r="J18" s="88"/>
      <c r="K18" s="88"/>
      <c r="L18" s="90"/>
    </row>
    <row r="19" spans="1:12" x14ac:dyDescent="0.25">
      <c r="A19" s="24">
        <f t="shared" si="0"/>
        <v>45186</v>
      </c>
      <c r="B19" s="89">
        <v>0</v>
      </c>
      <c r="C19" s="89">
        <v>120</v>
      </c>
      <c r="D19" s="89">
        <v>0</v>
      </c>
      <c r="E19" s="89">
        <v>301</v>
      </c>
      <c r="F19" s="89">
        <v>0</v>
      </c>
      <c r="G19" s="89">
        <v>0</v>
      </c>
      <c r="H19" s="89">
        <v>0</v>
      </c>
      <c r="I19" s="89" t="s">
        <v>29</v>
      </c>
      <c r="J19" s="88" t="s">
        <v>123</v>
      </c>
      <c r="K19" s="88"/>
      <c r="L19" s="90"/>
    </row>
    <row r="20" spans="1:12" x14ac:dyDescent="0.25">
      <c r="A20" s="24">
        <f t="shared" si="0"/>
        <v>45187</v>
      </c>
      <c r="B20" s="89">
        <v>0</v>
      </c>
      <c r="C20" s="89">
        <v>100</v>
      </c>
      <c r="D20" s="89">
        <v>0</v>
      </c>
      <c r="E20" s="89">
        <v>290</v>
      </c>
      <c r="F20" s="89">
        <v>0</v>
      </c>
      <c r="G20" s="89">
        <v>0</v>
      </c>
      <c r="H20" s="89">
        <v>0</v>
      </c>
      <c r="I20" s="89" t="s">
        <v>29</v>
      </c>
      <c r="J20" s="88"/>
      <c r="K20" s="88"/>
      <c r="L20" s="90"/>
    </row>
    <row r="21" spans="1:12" x14ac:dyDescent="0.25">
      <c r="A21" s="24">
        <f t="shared" si="0"/>
        <v>45188</v>
      </c>
      <c r="B21" s="89">
        <v>0</v>
      </c>
      <c r="C21" s="89">
        <v>100</v>
      </c>
      <c r="D21" s="89">
        <v>73</v>
      </c>
      <c r="E21" s="89">
        <v>272</v>
      </c>
      <c r="F21" s="89">
        <v>0</v>
      </c>
      <c r="G21" s="89">
        <v>0</v>
      </c>
      <c r="H21" s="89">
        <v>0</v>
      </c>
      <c r="I21" s="89" t="s">
        <v>29</v>
      </c>
      <c r="J21" s="88"/>
      <c r="K21" s="88"/>
      <c r="L21" s="90"/>
    </row>
    <row r="22" spans="1:12" x14ac:dyDescent="0.25">
      <c r="A22" s="24">
        <f t="shared" si="0"/>
        <v>45189</v>
      </c>
      <c r="B22" s="89">
        <v>0</v>
      </c>
      <c r="C22" s="89">
        <v>100</v>
      </c>
      <c r="D22" s="89">
        <v>0</v>
      </c>
      <c r="E22" s="89">
        <v>269</v>
      </c>
      <c r="F22" s="89">
        <v>0</v>
      </c>
      <c r="G22" s="89">
        <v>0</v>
      </c>
      <c r="H22" s="89">
        <v>0</v>
      </c>
      <c r="I22" s="89" t="s">
        <v>29</v>
      </c>
      <c r="J22" s="88"/>
      <c r="K22" s="88"/>
      <c r="L22" s="90"/>
    </row>
    <row r="23" spans="1:12" x14ac:dyDescent="0.25">
      <c r="A23" s="24">
        <f t="shared" si="0"/>
        <v>45190</v>
      </c>
      <c r="B23" s="89">
        <v>0</v>
      </c>
      <c r="C23" s="89">
        <v>100</v>
      </c>
      <c r="D23" s="89">
        <v>0</v>
      </c>
      <c r="E23" s="89">
        <v>251</v>
      </c>
      <c r="F23" s="89">
        <v>0</v>
      </c>
      <c r="G23" s="89">
        <v>0</v>
      </c>
      <c r="H23" s="89">
        <v>0</v>
      </c>
      <c r="I23" s="89" t="s">
        <v>29</v>
      </c>
      <c r="J23" s="88"/>
      <c r="K23" s="88"/>
      <c r="L23" s="90"/>
    </row>
    <row r="24" spans="1:12" x14ac:dyDescent="0.25">
      <c r="A24" s="24">
        <f t="shared" si="0"/>
        <v>45191</v>
      </c>
      <c r="B24" s="89">
        <v>0</v>
      </c>
      <c r="C24" s="89">
        <v>100</v>
      </c>
      <c r="D24" s="89">
        <v>0</v>
      </c>
      <c r="E24" s="89">
        <v>259</v>
      </c>
      <c r="F24" s="89">
        <v>0</v>
      </c>
      <c r="G24" s="89">
        <v>0</v>
      </c>
      <c r="H24" s="89">
        <v>0</v>
      </c>
      <c r="I24" s="89" t="s">
        <v>29</v>
      </c>
      <c r="J24" s="88"/>
      <c r="K24" s="88"/>
      <c r="L24" s="90"/>
    </row>
    <row r="25" spans="1:12" x14ac:dyDescent="0.25">
      <c r="A25" s="24">
        <f t="shared" si="0"/>
        <v>45192</v>
      </c>
      <c r="B25" s="89">
        <v>0</v>
      </c>
      <c r="C25" s="89">
        <v>100</v>
      </c>
      <c r="D25" s="89">
        <v>0</v>
      </c>
      <c r="E25" s="89">
        <v>271</v>
      </c>
      <c r="F25" s="89">
        <v>0</v>
      </c>
      <c r="G25" s="89">
        <v>0</v>
      </c>
      <c r="H25" s="89">
        <v>0</v>
      </c>
      <c r="I25" s="89" t="s">
        <v>29</v>
      </c>
      <c r="J25" s="88"/>
      <c r="K25" s="88"/>
      <c r="L25" s="90"/>
    </row>
    <row r="26" spans="1:12" x14ac:dyDescent="0.25">
      <c r="A26" s="24">
        <f t="shared" si="0"/>
        <v>45193</v>
      </c>
      <c r="B26" s="89">
        <v>0</v>
      </c>
      <c r="C26" s="89">
        <v>100</v>
      </c>
      <c r="D26" s="89">
        <v>0</v>
      </c>
      <c r="E26" s="89">
        <v>325</v>
      </c>
      <c r="F26" s="89">
        <v>0.05</v>
      </c>
      <c r="G26" s="89">
        <v>0</v>
      </c>
      <c r="H26" s="89">
        <v>0</v>
      </c>
      <c r="I26" s="89" t="s">
        <v>29</v>
      </c>
      <c r="J26" s="88"/>
      <c r="K26" s="88"/>
      <c r="L26" s="90"/>
    </row>
    <row r="27" spans="1:12" x14ac:dyDescent="0.25">
      <c r="A27" s="24">
        <f t="shared" si="0"/>
        <v>45194</v>
      </c>
      <c r="B27" s="89">
        <v>0</v>
      </c>
      <c r="C27" s="89">
        <v>100</v>
      </c>
      <c r="D27" s="89">
        <v>0</v>
      </c>
      <c r="E27" s="89">
        <v>362</v>
      </c>
      <c r="F27" s="89">
        <v>0</v>
      </c>
      <c r="G27" s="89">
        <v>0</v>
      </c>
      <c r="H27" s="89">
        <v>0</v>
      </c>
      <c r="I27" s="89" t="s">
        <v>29</v>
      </c>
      <c r="J27" s="88"/>
      <c r="K27" s="88"/>
      <c r="L27" s="90"/>
    </row>
    <row r="28" spans="1:12" x14ac:dyDescent="0.25">
      <c r="A28" s="24">
        <f t="shared" si="0"/>
        <v>45195</v>
      </c>
      <c r="B28" s="89">
        <v>0</v>
      </c>
      <c r="C28" s="89">
        <v>100</v>
      </c>
      <c r="D28" s="89">
        <v>0</v>
      </c>
      <c r="E28" s="89">
        <v>370</v>
      </c>
      <c r="F28" s="89">
        <v>0</v>
      </c>
      <c r="G28" s="89">
        <v>0</v>
      </c>
      <c r="H28" s="89">
        <v>0</v>
      </c>
      <c r="I28" s="89" t="s">
        <v>29</v>
      </c>
      <c r="J28" s="88"/>
      <c r="K28" s="88"/>
      <c r="L28" s="90"/>
    </row>
    <row r="29" spans="1:12" x14ac:dyDescent="0.25">
      <c r="A29" s="24">
        <f t="shared" si="0"/>
        <v>45196</v>
      </c>
      <c r="B29" s="89">
        <v>0</v>
      </c>
      <c r="C29" s="89">
        <v>100</v>
      </c>
      <c r="D29" s="89">
        <v>0</v>
      </c>
      <c r="E29" s="89">
        <v>382</v>
      </c>
      <c r="F29" s="89">
        <v>0</v>
      </c>
      <c r="G29" s="89">
        <v>0</v>
      </c>
      <c r="H29" s="89">
        <v>0</v>
      </c>
      <c r="I29" s="89" t="s">
        <v>29</v>
      </c>
      <c r="J29" s="88"/>
      <c r="K29" s="88"/>
    </row>
    <row r="30" spans="1:12" x14ac:dyDescent="0.25">
      <c r="A30" s="24">
        <f t="shared" si="0"/>
        <v>45197</v>
      </c>
      <c r="B30" s="89">
        <v>0</v>
      </c>
      <c r="C30" s="89">
        <v>117</v>
      </c>
      <c r="D30" s="89">
        <v>0</v>
      </c>
      <c r="E30" s="89">
        <v>364</v>
      </c>
      <c r="F30" s="89">
        <v>0</v>
      </c>
      <c r="G30" s="89">
        <v>0</v>
      </c>
      <c r="H30" s="89">
        <v>0</v>
      </c>
      <c r="I30" s="89" t="s">
        <v>29</v>
      </c>
      <c r="J30" s="88" t="s">
        <v>124</v>
      </c>
      <c r="K30" s="88"/>
    </row>
    <row r="31" spans="1:12" x14ac:dyDescent="0.25">
      <c r="A31" s="24">
        <f t="shared" si="0"/>
        <v>45198</v>
      </c>
      <c r="B31" s="89">
        <v>0</v>
      </c>
      <c r="C31" s="89">
        <v>136</v>
      </c>
      <c r="D31" s="89">
        <v>0</v>
      </c>
      <c r="E31" s="89">
        <v>367</v>
      </c>
      <c r="F31" s="89">
        <v>0</v>
      </c>
      <c r="G31" s="89">
        <v>0</v>
      </c>
      <c r="H31" s="89">
        <v>0</v>
      </c>
      <c r="I31" s="89" t="s">
        <v>29</v>
      </c>
      <c r="J31" s="88" t="s">
        <v>125</v>
      </c>
      <c r="K31" s="88"/>
    </row>
    <row r="32" spans="1:12" ht="15.75" thickBot="1" x14ac:dyDescent="0.3">
      <c r="A32" s="24">
        <f t="shared" si="0"/>
        <v>45199</v>
      </c>
      <c r="B32" s="89">
        <v>0</v>
      </c>
      <c r="C32" s="89">
        <v>150</v>
      </c>
      <c r="D32" s="89">
        <v>0</v>
      </c>
      <c r="E32" s="89">
        <v>374</v>
      </c>
      <c r="F32" s="89">
        <v>0.28000000000000003</v>
      </c>
      <c r="G32" s="89">
        <v>0</v>
      </c>
      <c r="H32" s="89">
        <v>0</v>
      </c>
      <c r="I32" s="89" t="s">
        <v>29</v>
      </c>
    </row>
    <row r="33" spans="1:15" s="11" customFormat="1" ht="15.75" thickTop="1" x14ac:dyDescent="0.25">
      <c r="A33" s="15" t="s">
        <v>8</v>
      </c>
      <c r="B33" s="16">
        <f>SUM(B3:B32)</f>
        <v>0</v>
      </c>
      <c r="C33" s="16">
        <f t="shared" ref="C33:H33" si="1">SUM(C3:C32)</f>
        <v>2381</v>
      </c>
      <c r="D33" s="16">
        <f t="shared" si="1"/>
        <v>155</v>
      </c>
      <c r="E33" s="16">
        <f t="shared" si="1"/>
        <v>8865</v>
      </c>
      <c r="F33" s="17">
        <f t="shared" si="1"/>
        <v>0.58000000000000007</v>
      </c>
      <c r="G33" s="17">
        <f t="shared" si="1"/>
        <v>0</v>
      </c>
      <c r="H33" s="16">
        <f t="shared" si="1"/>
        <v>0</v>
      </c>
      <c r="I33" s="17"/>
    </row>
    <row r="34" spans="1:15" s="11" customFormat="1" x14ac:dyDescent="0.25">
      <c r="A34" s="18" t="s">
        <v>9</v>
      </c>
      <c r="B34" s="19">
        <f>SUM(B33+'Aug 2023'!B35)</f>
        <v>327</v>
      </c>
      <c r="C34" s="19">
        <f>SUM(C33+'Aug 2023'!C35)</f>
        <v>33979</v>
      </c>
      <c r="D34" s="19">
        <f>SUM(D33+'Aug 2023'!D35)</f>
        <v>1760.5</v>
      </c>
      <c r="E34" s="19">
        <f>SUM(E33+'Aug 2023'!E35)</f>
        <v>73301</v>
      </c>
      <c r="F34" s="20">
        <f>SUM(F33+'Aug 2023'!F35)</f>
        <v>12.620000000000001</v>
      </c>
      <c r="G34" s="20">
        <f>SUM(G33+'Aug 2023'!G35)</f>
        <v>25.5</v>
      </c>
      <c r="H34" s="19">
        <f>SUM(H33+'Aug 2023'!H35)</f>
        <v>0</v>
      </c>
      <c r="I34" s="20"/>
    </row>
    <row r="36" spans="1:15" x14ac:dyDescent="0.25">
      <c r="A36" t="s">
        <v>10</v>
      </c>
      <c r="B36" s="22">
        <f>SUM(B3:B32)*1.9835</f>
        <v>0</v>
      </c>
      <c r="C36" s="22">
        <f>SUM(C3:C32)*1.9835</f>
        <v>4722.7134999999998</v>
      </c>
      <c r="D36" s="22">
        <f>SUM(D3:D32)*1.9835</f>
        <v>307.4425</v>
      </c>
      <c r="E36" s="22">
        <f>SUM(E3:E32)*1.9835</f>
        <v>17583.727500000001</v>
      </c>
      <c r="F36" s="22"/>
      <c r="G36" s="22"/>
      <c r="H36" s="22"/>
    </row>
    <row r="37" spans="1:15" x14ac:dyDescent="0.25">
      <c r="B37" s="22"/>
      <c r="C37" s="22"/>
      <c r="D37" s="22"/>
      <c r="E37" s="22"/>
      <c r="F37" s="22"/>
      <c r="G37" s="22"/>
      <c r="H37" s="22"/>
    </row>
    <row r="38" spans="1:15" x14ac:dyDescent="0.25">
      <c r="A38" t="s">
        <v>24</v>
      </c>
      <c r="B38" s="22">
        <f>SUM(B36+'Aug 2023'!B39)</f>
        <v>648.60450000000003</v>
      </c>
      <c r="C38" s="22">
        <f>SUM(C36+'Aug 2023'!C39)</f>
        <v>67397.3465</v>
      </c>
      <c r="D38" s="22">
        <f>SUM(D36+'Aug 2023'!D39)</f>
        <v>3491.9517500000002</v>
      </c>
      <c r="E38" s="22">
        <f>SUM(E36+'Aug 2023'!E39)</f>
        <v>151317.24800000002</v>
      </c>
      <c r="F38" s="22"/>
      <c r="G38" s="22"/>
      <c r="H38" s="22"/>
    </row>
    <row r="40" spans="1:15" ht="17.45" customHeight="1" x14ac:dyDescent="0.25">
      <c r="A40" s="102"/>
      <c r="B40" s="102"/>
      <c r="C40" s="102"/>
      <c r="D40" s="102"/>
      <c r="E40" s="102"/>
      <c r="F40" s="102"/>
      <c r="G40" s="103"/>
      <c r="H40" s="104" t="s">
        <v>12</v>
      </c>
      <c r="I40" s="105"/>
      <c r="J40" s="26"/>
      <c r="K40" s="26"/>
      <c r="L40" s="26"/>
      <c r="M40" s="26"/>
      <c r="N40" s="27"/>
      <c r="O40" s="26"/>
    </row>
    <row r="41" spans="1:15" ht="16.899999999999999" customHeight="1" x14ac:dyDescent="0.25">
      <c r="A41" s="25"/>
      <c r="B41" s="25"/>
      <c r="C41" s="25"/>
      <c r="D41" s="25"/>
      <c r="E41" s="25"/>
      <c r="F41" s="25"/>
      <c r="G41" s="25"/>
      <c r="H41" s="104"/>
      <c r="I41" s="105"/>
      <c r="J41" s="26"/>
      <c r="K41" s="26"/>
      <c r="L41" s="26"/>
      <c r="M41" s="26"/>
      <c r="N41" s="27"/>
      <c r="O41" s="26"/>
    </row>
    <row r="42" spans="1:15" ht="13.9" customHeight="1" thickBot="1" x14ac:dyDescent="0.3">
      <c r="A42" s="106" t="s">
        <v>23</v>
      </c>
      <c r="B42" s="106"/>
      <c r="C42" s="106"/>
      <c r="D42" s="106"/>
      <c r="E42" s="106"/>
      <c r="F42" s="106"/>
      <c r="G42" s="106"/>
      <c r="H42" s="106"/>
      <c r="I42" s="106"/>
      <c r="J42" s="107"/>
      <c r="K42" s="28"/>
      <c r="L42" s="28"/>
      <c r="M42" s="28"/>
      <c r="N42" s="29"/>
      <c r="O42" s="28"/>
    </row>
    <row r="43" spans="1:15" ht="15.6" customHeight="1" x14ac:dyDescent="0.25">
      <c r="A43" s="37" t="s">
        <v>17</v>
      </c>
      <c r="B43" s="95"/>
      <c r="C43" s="31"/>
      <c r="D43" s="32"/>
      <c r="E43" s="32"/>
      <c r="F43" s="33"/>
      <c r="G43" s="34"/>
      <c r="H43" s="35"/>
      <c r="I43" s="36"/>
      <c r="J43" s="28"/>
      <c r="K43" s="28"/>
      <c r="L43" s="28"/>
      <c r="M43" s="28"/>
      <c r="N43" s="29"/>
    </row>
    <row r="44" spans="1:15" x14ac:dyDescent="0.25">
      <c r="A44" s="30"/>
      <c r="B44" s="96"/>
      <c r="C44" s="31"/>
      <c r="D44" s="32"/>
      <c r="E44" s="32"/>
      <c r="F44" s="38"/>
      <c r="G44" s="34">
        <f>SUM(24-E44)</f>
        <v>24</v>
      </c>
      <c r="H44" s="35">
        <f>SUM(D44+F44)</f>
        <v>0</v>
      </c>
      <c r="I44" s="36">
        <f>SUM(D44/24*E44+H44/24*G44)</f>
        <v>0</v>
      </c>
      <c r="J44" s="28"/>
      <c r="K44" s="28"/>
      <c r="L44" s="28"/>
      <c r="M44" s="28"/>
      <c r="N44" s="29"/>
    </row>
    <row r="45" spans="1:15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9"/>
    </row>
    <row r="46" spans="1:15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9"/>
    </row>
    <row r="47" spans="1:15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28"/>
      <c r="K47" s="28"/>
      <c r="L47" s="28"/>
      <c r="M47" s="28"/>
      <c r="N47" s="29"/>
    </row>
    <row r="48" spans="1:15" x14ac:dyDescent="0.25">
      <c r="A48" s="30"/>
      <c r="B48" s="96"/>
      <c r="C48" s="31"/>
      <c r="D48" s="32"/>
      <c r="E48" s="32"/>
      <c r="F48" s="38"/>
      <c r="G48" s="34">
        <f>SUM(24-E48)</f>
        <v>24</v>
      </c>
      <c r="H48" s="35">
        <f>SUM(D48+F48)</f>
        <v>0</v>
      </c>
      <c r="I48" s="36">
        <f>SUM(D48/24*E48+H48/24*G48)</f>
        <v>0</v>
      </c>
      <c r="J48" s="28"/>
      <c r="K48" s="28"/>
      <c r="L48" s="28"/>
      <c r="M48" s="28"/>
      <c r="N48" s="29"/>
    </row>
    <row r="49" spans="1:15" ht="13.15" customHeight="1" x14ac:dyDescent="0.25">
      <c r="A49" s="39"/>
      <c r="B49" s="39"/>
      <c r="C49" s="40"/>
      <c r="D49" s="40"/>
      <c r="E49" s="40"/>
      <c r="F49" s="40"/>
      <c r="G49" s="40"/>
      <c r="H49" s="41"/>
      <c r="I49" s="28"/>
      <c r="J49" s="28"/>
      <c r="K49" s="28"/>
      <c r="L49" s="28"/>
      <c r="M49" s="28"/>
      <c r="N49" s="29"/>
      <c r="O49" s="28"/>
    </row>
    <row r="50" spans="1:15" ht="15.75" thickBot="1" x14ac:dyDescent="0.3">
      <c r="A50" s="42" t="s">
        <v>18</v>
      </c>
      <c r="B50" s="42"/>
      <c r="C50" s="42"/>
      <c r="D50" s="42"/>
      <c r="E50" s="42"/>
      <c r="F50" s="43"/>
      <c r="G50" s="44"/>
      <c r="H50" s="41"/>
      <c r="I50" s="28"/>
      <c r="J50" s="28"/>
      <c r="K50" s="28"/>
      <c r="L50" s="28"/>
      <c r="M50" s="28"/>
      <c r="N50" s="29"/>
      <c r="O50" s="28"/>
    </row>
    <row r="51" spans="1:15" ht="26.25" x14ac:dyDescent="0.25">
      <c r="A51" s="45" t="s">
        <v>19</v>
      </c>
      <c r="B51" s="97"/>
      <c r="C51" s="46" t="s">
        <v>13</v>
      </c>
      <c r="D51" s="47" t="s">
        <v>14</v>
      </c>
      <c r="E51" s="47" t="s">
        <v>15</v>
      </c>
      <c r="F51" s="48" t="s">
        <v>16</v>
      </c>
      <c r="G51" s="49" t="s">
        <v>20</v>
      </c>
      <c r="H51" s="50"/>
      <c r="I51" s="51"/>
      <c r="J51" s="52"/>
    </row>
    <row r="52" spans="1:15" ht="15.75" x14ac:dyDescent="0.25">
      <c r="A52" s="53"/>
      <c r="B52" s="98"/>
      <c r="C52" s="54"/>
      <c r="D52" s="55"/>
      <c r="E52" s="56"/>
      <c r="F52" s="57"/>
      <c r="G52" s="58">
        <f>SUM(D52/24*E52)</f>
        <v>0</v>
      </c>
      <c r="H52" s="59"/>
      <c r="I52" s="60"/>
      <c r="J52" s="61"/>
    </row>
    <row r="53" spans="1:15" x14ac:dyDescent="0.25">
      <c r="A53" s="62"/>
      <c r="B53" s="99"/>
      <c r="C53" s="63"/>
      <c r="D53" s="64"/>
      <c r="E53" s="56"/>
      <c r="F53" s="65"/>
      <c r="G53" s="66">
        <f>SUM(D53/24*E53)</f>
        <v>0</v>
      </c>
      <c r="H53" s="59"/>
      <c r="I53" s="60"/>
    </row>
    <row r="54" spans="1:15" x14ac:dyDescent="0.25">
      <c r="A54" s="62"/>
      <c r="B54" s="99"/>
      <c r="C54" s="63"/>
      <c r="D54" s="64"/>
      <c r="E54" s="56"/>
      <c r="F54" s="67"/>
      <c r="G54" s="66">
        <f>SUM(D54/24*E54)</f>
        <v>0</v>
      </c>
      <c r="H54" s="59"/>
      <c r="I54" s="60"/>
    </row>
    <row r="55" spans="1:15" x14ac:dyDescent="0.25">
      <c r="A55" s="62"/>
      <c r="B55" s="99"/>
      <c r="C55" s="63"/>
      <c r="D55" s="64"/>
      <c r="E55" s="56"/>
      <c r="F55" s="67"/>
      <c r="G55" s="66">
        <f>SUM(D55/24*E55)</f>
        <v>0</v>
      </c>
      <c r="H55" s="59"/>
      <c r="I55" s="60"/>
    </row>
    <row r="56" spans="1:15" ht="15.75" thickBot="1" x14ac:dyDescent="0.3">
      <c r="A56" s="68"/>
      <c r="B56" s="100"/>
      <c r="C56" s="69"/>
      <c r="D56" s="70"/>
      <c r="E56" s="71"/>
      <c r="F56" s="70"/>
      <c r="G56" s="72">
        <f>SUM(D56/24*E56)</f>
        <v>0</v>
      </c>
      <c r="H56" s="59"/>
      <c r="I56" s="60"/>
    </row>
    <row r="57" spans="1:15" s="78" customFormat="1" ht="30" customHeight="1" x14ac:dyDescent="0.25">
      <c r="A57" s="108" t="s">
        <v>21</v>
      </c>
      <c r="B57" s="109"/>
      <c r="C57" s="109"/>
      <c r="D57" s="110"/>
      <c r="E57" s="73">
        <f>SUM(E52:E56)</f>
        <v>0</v>
      </c>
      <c r="F57" s="74" t="s">
        <v>22</v>
      </c>
      <c r="G57" s="75">
        <f>SUM(G52:G56)</f>
        <v>0</v>
      </c>
      <c r="H57" s="76"/>
      <c r="I57" s="77"/>
    </row>
  </sheetData>
  <mergeCells count="4">
    <mergeCell ref="A40:G40"/>
    <mergeCell ref="H40:I41"/>
    <mergeCell ref="A42:J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8"/>
  <sheetViews>
    <sheetView zoomScaleNormal="10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I34" sqref="I34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41.28515625" customWidth="1"/>
  </cols>
  <sheetData>
    <row r="1" spans="1:15" s="1" customFormat="1" ht="30" x14ac:dyDescent="0.25">
      <c r="A1" s="81" t="s">
        <v>0</v>
      </c>
      <c r="B1" s="9" t="s">
        <v>28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5" s="1" customFormat="1" x14ac:dyDescent="0.25">
      <c r="A2" s="80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79"/>
    </row>
    <row r="3" spans="1:15" x14ac:dyDescent="0.25">
      <c r="A3" s="12">
        <v>45139</v>
      </c>
      <c r="B3" s="89">
        <v>0</v>
      </c>
      <c r="C3" s="89">
        <v>470</v>
      </c>
      <c r="D3" s="89">
        <v>0</v>
      </c>
      <c r="E3" s="89">
        <v>536</v>
      </c>
      <c r="F3" s="89">
        <v>0</v>
      </c>
      <c r="G3" s="89">
        <v>0</v>
      </c>
      <c r="H3" s="89">
        <v>0</v>
      </c>
      <c r="I3" s="89" t="s">
        <v>29</v>
      </c>
      <c r="J3" s="91" t="s">
        <v>97</v>
      </c>
      <c r="K3" s="90"/>
      <c r="L3" s="90"/>
      <c r="M3" s="90"/>
      <c r="N3" s="90"/>
      <c r="O3" s="90"/>
    </row>
    <row r="4" spans="1:15" x14ac:dyDescent="0.25">
      <c r="A4" s="12">
        <f>A3+1</f>
        <v>45140</v>
      </c>
      <c r="B4" s="89">
        <v>0</v>
      </c>
      <c r="C4" s="89">
        <v>475</v>
      </c>
      <c r="D4" s="89">
        <v>0</v>
      </c>
      <c r="E4" s="89">
        <v>591</v>
      </c>
      <c r="F4" s="89">
        <v>0</v>
      </c>
      <c r="G4" s="89">
        <v>0</v>
      </c>
      <c r="H4" s="89">
        <v>0</v>
      </c>
      <c r="I4" s="89" t="s">
        <v>29</v>
      </c>
      <c r="J4" s="91" t="s">
        <v>98</v>
      </c>
      <c r="K4" s="90"/>
      <c r="L4" s="90"/>
      <c r="M4" s="90"/>
      <c r="N4" s="90"/>
      <c r="O4" s="90"/>
    </row>
    <row r="5" spans="1:15" x14ac:dyDescent="0.25">
      <c r="A5" s="12">
        <f t="shared" ref="A5:A33" si="0">A4+1</f>
        <v>45141</v>
      </c>
      <c r="B5" s="89">
        <v>0</v>
      </c>
      <c r="C5" s="89">
        <v>435</v>
      </c>
      <c r="D5" s="89">
        <v>0</v>
      </c>
      <c r="E5" s="89">
        <v>591</v>
      </c>
      <c r="F5" s="89">
        <v>0</v>
      </c>
      <c r="G5" s="89">
        <v>0</v>
      </c>
      <c r="H5" s="89">
        <v>0</v>
      </c>
      <c r="I5" s="89" t="s">
        <v>29</v>
      </c>
      <c r="J5" s="91" t="s">
        <v>99</v>
      </c>
      <c r="K5" s="90"/>
      <c r="L5" s="90"/>
      <c r="M5" s="90"/>
      <c r="N5" s="90"/>
      <c r="O5" s="90"/>
    </row>
    <row r="6" spans="1:15" x14ac:dyDescent="0.25">
      <c r="A6" s="12">
        <f t="shared" si="0"/>
        <v>45142</v>
      </c>
      <c r="B6" s="89">
        <v>0</v>
      </c>
      <c r="C6" s="89">
        <v>400</v>
      </c>
      <c r="D6" s="89">
        <v>4</v>
      </c>
      <c r="E6" s="89">
        <v>581</v>
      </c>
      <c r="F6" s="89">
        <v>0</v>
      </c>
      <c r="G6" s="89">
        <v>0</v>
      </c>
      <c r="H6" s="89">
        <v>0</v>
      </c>
      <c r="I6" s="89" t="s">
        <v>29</v>
      </c>
      <c r="J6" s="91"/>
      <c r="K6" s="90"/>
      <c r="L6" s="90"/>
      <c r="M6" s="90"/>
      <c r="N6" s="90"/>
      <c r="O6" s="90"/>
    </row>
    <row r="7" spans="1:15" x14ac:dyDescent="0.25">
      <c r="A7" s="12">
        <f t="shared" si="0"/>
        <v>45143</v>
      </c>
      <c r="B7" s="89">
        <v>0</v>
      </c>
      <c r="C7" s="89">
        <v>308</v>
      </c>
      <c r="D7" s="89">
        <v>20</v>
      </c>
      <c r="E7" s="89">
        <v>572</v>
      </c>
      <c r="F7" s="89">
        <v>0.28999999999999998</v>
      </c>
      <c r="G7" s="89">
        <v>0</v>
      </c>
      <c r="H7" s="89">
        <v>0</v>
      </c>
      <c r="I7" s="89" t="s">
        <v>29</v>
      </c>
      <c r="J7" s="91" t="s">
        <v>100</v>
      </c>
      <c r="K7" s="90"/>
      <c r="L7" s="90"/>
      <c r="M7" s="90"/>
      <c r="N7" s="90"/>
      <c r="O7" s="90"/>
    </row>
    <row r="8" spans="1:15" x14ac:dyDescent="0.25">
      <c r="A8" s="12">
        <f t="shared" si="0"/>
        <v>45144</v>
      </c>
      <c r="B8" s="89">
        <v>0</v>
      </c>
      <c r="C8" s="89">
        <v>265</v>
      </c>
      <c r="D8" s="89">
        <v>0</v>
      </c>
      <c r="E8" s="89">
        <v>479</v>
      </c>
      <c r="F8" s="89">
        <v>0</v>
      </c>
      <c r="G8" s="89">
        <v>0</v>
      </c>
      <c r="H8" s="89">
        <v>0</v>
      </c>
      <c r="I8" s="89" t="s">
        <v>29</v>
      </c>
      <c r="J8" s="91" t="s">
        <v>101</v>
      </c>
      <c r="K8" s="90"/>
      <c r="L8" s="90"/>
      <c r="M8" s="90"/>
      <c r="N8" s="90"/>
      <c r="O8" s="90"/>
    </row>
    <row r="9" spans="1:15" x14ac:dyDescent="0.25">
      <c r="A9" s="12">
        <f t="shared" si="0"/>
        <v>45145</v>
      </c>
      <c r="B9" s="89">
        <v>0</v>
      </c>
      <c r="C9" s="89">
        <v>250</v>
      </c>
      <c r="D9" s="89">
        <v>0</v>
      </c>
      <c r="E9" s="89">
        <v>365</v>
      </c>
      <c r="F9" s="89">
        <v>0</v>
      </c>
      <c r="G9" s="89">
        <v>0</v>
      </c>
      <c r="H9" s="89">
        <v>0</v>
      </c>
      <c r="I9" s="89" t="s">
        <v>29</v>
      </c>
      <c r="J9" s="91"/>
      <c r="K9" s="90"/>
      <c r="L9" s="90"/>
      <c r="M9" s="90"/>
      <c r="N9" s="90"/>
      <c r="O9" s="90"/>
    </row>
    <row r="10" spans="1:15" x14ac:dyDescent="0.25">
      <c r="A10" s="12">
        <f t="shared" si="0"/>
        <v>45146</v>
      </c>
      <c r="B10" s="89">
        <v>0</v>
      </c>
      <c r="C10" s="89">
        <v>233</v>
      </c>
      <c r="D10" s="89">
        <v>0</v>
      </c>
      <c r="E10" s="89">
        <v>340</v>
      </c>
      <c r="F10" s="89">
        <v>0</v>
      </c>
      <c r="G10" s="89">
        <v>0</v>
      </c>
      <c r="H10" s="89">
        <v>0</v>
      </c>
      <c r="I10" s="89" t="s">
        <v>29</v>
      </c>
      <c r="J10" s="91" t="s">
        <v>51</v>
      </c>
      <c r="K10" s="90"/>
      <c r="L10" s="90"/>
      <c r="M10" s="90"/>
      <c r="N10" s="90"/>
      <c r="O10" s="90"/>
    </row>
    <row r="11" spans="1:15" x14ac:dyDescent="0.25">
      <c r="A11" s="12">
        <f t="shared" si="0"/>
        <v>45147</v>
      </c>
      <c r="B11" s="89">
        <v>0</v>
      </c>
      <c r="C11" s="89">
        <v>179</v>
      </c>
      <c r="D11" s="89">
        <v>13</v>
      </c>
      <c r="E11" s="89">
        <v>347</v>
      </c>
      <c r="F11" s="89">
        <v>0</v>
      </c>
      <c r="G11" s="89">
        <v>0</v>
      </c>
      <c r="H11" s="89">
        <v>0</v>
      </c>
      <c r="I11" s="89" t="s">
        <v>29</v>
      </c>
      <c r="J11" s="91" t="s">
        <v>102</v>
      </c>
      <c r="K11" s="90"/>
      <c r="L11" s="90"/>
      <c r="M11" s="90"/>
      <c r="N11" s="90"/>
      <c r="O11" s="90"/>
    </row>
    <row r="12" spans="1:15" x14ac:dyDescent="0.25">
      <c r="A12" s="12">
        <f t="shared" si="0"/>
        <v>45148</v>
      </c>
      <c r="B12" s="89">
        <v>0</v>
      </c>
      <c r="C12" s="89">
        <v>150</v>
      </c>
      <c r="D12" s="89">
        <v>5</v>
      </c>
      <c r="E12" s="89">
        <v>327</v>
      </c>
      <c r="F12" s="89">
        <v>0</v>
      </c>
      <c r="G12" s="89">
        <v>0</v>
      </c>
      <c r="H12" s="89">
        <v>0</v>
      </c>
      <c r="I12" s="89" t="s">
        <v>29</v>
      </c>
      <c r="J12" s="88"/>
      <c r="K12" s="90"/>
      <c r="L12" s="90"/>
      <c r="M12" s="90"/>
      <c r="N12" s="90"/>
      <c r="O12" s="90"/>
    </row>
    <row r="13" spans="1:15" x14ac:dyDescent="0.25">
      <c r="A13" s="12">
        <f t="shared" si="0"/>
        <v>45149</v>
      </c>
      <c r="B13" s="89">
        <v>0</v>
      </c>
      <c r="C13" s="89">
        <v>150</v>
      </c>
      <c r="D13" s="89">
        <v>0</v>
      </c>
      <c r="E13" s="89">
        <v>329</v>
      </c>
      <c r="F13" s="89">
        <v>0</v>
      </c>
      <c r="G13" s="89">
        <v>0</v>
      </c>
      <c r="H13" s="89">
        <v>0</v>
      </c>
      <c r="I13" s="89" t="s">
        <v>29</v>
      </c>
      <c r="J13" s="88"/>
      <c r="K13" s="88"/>
      <c r="L13" s="90"/>
      <c r="M13" s="90"/>
      <c r="N13" s="90"/>
      <c r="O13" s="90"/>
    </row>
    <row r="14" spans="1:15" x14ac:dyDescent="0.25">
      <c r="A14" s="12">
        <f t="shared" si="0"/>
        <v>45150</v>
      </c>
      <c r="B14" s="89">
        <v>0</v>
      </c>
      <c r="C14" s="89">
        <v>200</v>
      </c>
      <c r="D14" s="89">
        <v>0</v>
      </c>
      <c r="E14" s="89">
        <v>330</v>
      </c>
      <c r="F14" s="89">
        <v>0</v>
      </c>
      <c r="G14" s="89">
        <v>0</v>
      </c>
      <c r="H14" s="89">
        <v>0</v>
      </c>
      <c r="I14" s="89" t="s">
        <v>29</v>
      </c>
      <c r="J14" s="88" t="s">
        <v>103</v>
      </c>
      <c r="K14" s="88"/>
      <c r="L14" s="90"/>
      <c r="M14" s="90"/>
      <c r="N14" s="90"/>
      <c r="O14" s="90"/>
    </row>
    <row r="15" spans="1:15" x14ac:dyDescent="0.25">
      <c r="A15" s="12">
        <f t="shared" si="0"/>
        <v>45151</v>
      </c>
      <c r="B15" s="89">
        <v>0</v>
      </c>
      <c r="C15" s="89">
        <v>178</v>
      </c>
      <c r="D15" s="89">
        <v>0</v>
      </c>
      <c r="E15" s="89">
        <v>320</v>
      </c>
      <c r="F15" s="89">
        <v>0</v>
      </c>
      <c r="G15" s="89">
        <v>0</v>
      </c>
      <c r="H15" s="89">
        <v>0</v>
      </c>
      <c r="I15" s="89" t="s">
        <v>29</v>
      </c>
      <c r="J15" s="88" t="s">
        <v>104</v>
      </c>
      <c r="K15" s="88"/>
      <c r="L15" s="90"/>
      <c r="M15" s="90"/>
      <c r="N15" s="90"/>
      <c r="O15" s="90"/>
    </row>
    <row r="16" spans="1:15" x14ac:dyDescent="0.25">
      <c r="A16" s="12">
        <f t="shared" si="0"/>
        <v>45152</v>
      </c>
      <c r="B16" s="89">
        <v>0</v>
      </c>
      <c r="C16" s="89">
        <v>136</v>
      </c>
      <c r="D16" s="89">
        <v>0</v>
      </c>
      <c r="E16" s="89">
        <v>325</v>
      </c>
      <c r="F16" s="89">
        <v>0</v>
      </c>
      <c r="G16" s="89">
        <v>0</v>
      </c>
      <c r="H16" s="89">
        <v>0</v>
      </c>
      <c r="I16" s="89" t="s">
        <v>29</v>
      </c>
      <c r="J16" s="88" t="s">
        <v>105</v>
      </c>
      <c r="K16" s="88"/>
      <c r="L16" s="90"/>
      <c r="M16" s="90"/>
      <c r="N16" s="90"/>
      <c r="O16" s="90"/>
    </row>
    <row r="17" spans="1:15" x14ac:dyDescent="0.25">
      <c r="A17" s="12">
        <f t="shared" si="0"/>
        <v>45153</v>
      </c>
      <c r="B17" s="89">
        <v>0</v>
      </c>
      <c r="C17" s="89">
        <v>151</v>
      </c>
      <c r="D17" s="89">
        <v>0</v>
      </c>
      <c r="E17" s="89">
        <v>328</v>
      </c>
      <c r="F17" s="89">
        <v>0</v>
      </c>
      <c r="G17" s="89">
        <v>0</v>
      </c>
      <c r="H17" s="89">
        <v>0</v>
      </c>
      <c r="I17" s="89" t="s">
        <v>29</v>
      </c>
      <c r="J17" s="88" t="s">
        <v>106</v>
      </c>
      <c r="K17" s="88"/>
      <c r="L17" s="90"/>
      <c r="M17" s="90"/>
      <c r="N17" s="90"/>
      <c r="O17" s="90"/>
    </row>
    <row r="18" spans="1:15" x14ac:dyDescent="0.25">
      <c r="A18" s="12">
        <f t="shared" si="0"/>
        <v>45154</v>
      </c>
      <c r="B18" s="89">
        <v>0</v>
      </c>
      <c r="C18" s="89">
        <v>179</v>
      </c>
      <c r="D18" s="89">
        <v>0</v>
      </c>
      <c r="E18" s="89">
        <v>304</v>
      </c>
      <c r="F18" s="89">
        <v>0</v>
      </c>
      <c r="G18" s="89">
        <v>0</v>
      </c>
      <c r="H18" s="89">
        <v>0</v>
      </c>
      <c r="I18" s="89" t="s">
        <v>29</v>
      </c>
      <c r="J18" s="88" t="s">
        <v>102</v>
      </c>
      <c r="K18" s="88"/>
      <c r="L18" s="90"/>
      <c r="M18" s="90"/>
      <c r="N18" s="90"/>
      <c r="O18" s="90"/>
    </row>
    <row r="19" spans="1:15" x14ac:dyDescent="0.25">
      <c r="A19" s="12">
        <f t="shared" si="0"/>
        <v>45155</v>
      </c>
      <c r="B19" s="89">
        <v>0</v>
      </c>
      <c r="C19" s="89">
        <v>171</v>
      </c>
      <c r="D19" s="89">
        <v>0</v>
      </c>
      <c r="E19" s="89">
        <v>305</v>
      </c>
      <c r="F19" s="89">
        <v>0.02</v>
      </c>
      <c r="G19" s="89">
        <v>0</v>
      </c>
      <c r="H19" s="89">
        <v>0</v>
      </c>
      <c r="I19" s="89" t="s">
        <v>29</v>
      </c>
      <c r="J19" s="88" t="s">
        <v>62</v>
      </c>
      <c r="K19" s="88"/>
      <c r="L19" s="90"/>
      <c r="M19" s="90"/>
      <c r="N19" s="90"/>
      <c r="O19" s="90"/>
    </row>
    <row r="20" spans="1:15" x14ac:dyDescent="0.25">
      <c r="A20" s="12">
        <f t="shared" si="0"/>
        <v>45156</v>
      </c>
      <c r="B20" s="89">
        <v>0</v>
      </c>
      <c r="C20" s="89">
        <v>155</v>
      </c>
      <c r="D20" s="89">
        <v>0</v>
      </c>
      <c r="E20" s="89">
        <v>333</v>
      </c>
      <c r="F20" s="89">
        <v>0.09</v>
      </c>
      <c r="G20" s="89">
        <v>0</v>
      </c>
      <c r="H20" s="89">
        <v>0</v>
      </c>
      <c r="I20" s="89" t="s">
        <v>29</v>
      </c>
      <c r="J20" s="88" t="s">
        <v>107</v>
      </c>
      <c r="K20" s="88"/>
      <c r="L20" s="90"/>
      <c r="M20" s="90"/>
      <c r="N20" s="90"/>
      <c r="O20" s="90"/>
    </row>
    <row r="21" spans="1:15" x14ac:dyDescent="0.25">
      <c r="A21" s="12">
        <f t="shared" si="0"/>
        <v>45157</v>
      </c>
      <c r="B21" s="89">
        <v>0</v>
      </c>
      <c r="C21" s="89">
        <v>92</v>
      </c>
      <c r="D21" s="89">
        <v>1</v>
      </c>
      <c r="E21" s="89">
        <v>282</v>
      </c>
      <c r="F21" s="89">
        <v>0</v>
      </c>
      <c r="G21" s="89">
        <v>0</v>
      </c>
      <c r="H21" s="89">
        <v>0</v>
      </c>
      <c r="I21" s="89" t="s">
        <v>29</v>
      </c>
      <c r="J21" s="88" t="s">
        <v>108</v>
      </c>
      <c r="K21" s="88"/>
      <c r="L21" s="90"/>
      <c r="M21" s="90"/>
      <c r="N21" s="90"/>
      <c r="O21" s="90"/>
    </row>
    <row r="22" spans="1:15" x14ac:dyDescent="0.25">
      <c r="A22" s="12">
        <f t="shared" si="0"/>
        <v>45158</v>
      </c>
      <c r="B22" s="89">
        <v>0</v>
      </c>
      <c r="C22" s="89">
        <v>34</v>
      </c>
      <c r="D22" s="89">
        <v>7</v>
      </c>
      <c r="E22" s="89">
        <v>268</v>
      </c>
      <c r="F22" s="89">
        <v>0</v>
      </c>
      <c r="G22" s="89">
        <v>0</v>
      </c>
      <c r="H22" s="89">
        <v>0</v>
      </c>
      <c r="I22" s="89" t="s">
        <v>29</v>
      </c>
      <c r="J22" s="88" t="s">
        <v>109</v>
      </c>
      <c r="K22" s="88"/>
      <c r="L22" s="90"/>
      <c r="M22" s="90"/>
      <c r="N22" s="90"/>
      <c r="O22" s="90"/>
    </row>
    <row r="23" spans="1:15" x14ac:dyDescent="0.25">
      <c r="A23" s="12">
        <f t="shared" si="0"/>
        <v>45159</v>
      </c>
      <c r="B23" s="89">
        <v>0</v>
      </c>
      <c r="C23" s="89">
        <v>56</v>
      </c>
      <c r="D23" s="89">
        <v>0</v>
      </c>
      <c r="E23" s="89">
        <v>258</v>
      </c>
      <c r="F23" s="89">
        <v>0.45</v>
      </c>
      <c r="G23" s="89">
        <v>0</v>
      </c>
      <c r="H23" s="89">
        <v>0</v>
      </c>
      <c r="I23" s="89" t="s">
        <v>29</v>
      </c>
      <c r="J23" s="88" t="s">
        <v>110</v>
      </c>
      <c r="K23" s="88"/>
      <c r="L23" s="90"/>
      <c r="M23" s="90"/>
      <c r="N23" s="90"/>
      <c r="O23" s="90"/>
    </row>
    <row r="24" spans="1:15" x14ac:dyDescent="0.25">
      <c r="A24" s="12">
        <f t="shared" si="0"/>
        <v>45160</v>
      </c>
      <c r="B24" s="89">
        <v>0</v>
      </c>
      <c r="C24" s="89">
        <v>18</v>
      </c>
      <c r="D24" s="89">
        <v>11</v>
      </c>
      <c r="E24" s="89">
        <v>257</v>
      </c>
      <c r="F24" s="89">
        <v>1.04</v>
      </c>
      <c r="G24" s="89">
        <v>0</v>
      </c>
      <c r="H24" s="89">
        <v>0</v>
      </c>
      <c r="I24" s="89" t="s">
        <v>29</v>
      </c>
      <c r="J24" s="88"/>
      <c r="K24" s="88"/>
      <c r="L24" s="90"/>
      <c r="M24" s="90"/>
      <c r="N24" s="90"/>
      <c r="O24" s="90"/>
    </row>
    <row r="25" spans="1:15" x14ac:dyDescent="0.25">
      <c r="A25" s="12">
        <f t="shared" si="0"/>
        <v>45161</v>
      </c>
      <c r="B25" s="89">
        <v>0</v>
      </c>
      <c r="C25" s="89">
        <v>5</v>
      </c>
      <c r="D25" s="89">
        <v>36</v>
      </c>
      <c r="E25" s="89">
        <v>249</v>
      </c>
      <c r="F25" s="89">
        <v>0.01</v>
      </c>
      <c r="G25" s="89">
        <v>0</v>
      </c>
      <c r="H25" s="89">
        <v>0</v>
      </c>
      <c r="I25" s="89" t="s">
        <v>29</v>
      </c>
      <c r="J25" s="88" t="s">
        <v>111</v>
      </c>
      <c r="K25" s="88"/>
      <c r="L25" s="90"/>
      <c r="M25" s="90"/>
      <c r="N25" s="90"/>
      <c r="O25" s="90"/>
    </row>
    <row r="26" spans="1:15" x14ac:dyDescent="0.25">
      <c r="A26" s="12">
        <f t="shared" si="0"/>
        <v>45162</v>
      </c>
      <c r="B26" s="89">
        <v>0</v>
      </c>
      <c r="C26" s="89">
        <v>0</v>
      </c>
      <c r="D26" s="89">
        <v>57</v>
      </c>
      <c r="E26" s="89">
        <v>228</v>
      </c>
      <c r="F26" s="89">
        <v>0</v>
      </c>
      <c r="G26" s="89">
        <v>0</v>
      </c>
      <c r="H26" s="89">
        <v>0</v>
      </c>
      <c r="I26" s="89" t="s">
        <v>29</v>
      </c>
      <c r="J26" s="88"/>
      <c r="K26" s="88"/>
      <c r="L26" s="90"/>
      <c r="M26" s="90"/>
      <c r="N26" s="90"/>
      <c r="O26" s="90"/>
    </row>
    <row r="27" spans="1:15" x14ac:dyDescent="0.25">
      <c r="A27" s="12">
        <f t="shared" si="0"/>
        <v>45163</v>
      </c>
      <c r="B27" s="89">
        <v>0</v>
      </c>
      <c r="C27" s="89">
        <v>0</v>
      </c>
      <c r="D27" s="89">
        <v>154</v>
      </c>
      <c r="E27" s="89">
        <v>224</v>
      </c>
      <c r="F27" s="89">
        <v>0</v>
      </c>
      <c r="G27" s="89">
        <v>0</v>
      </c>
      <c r="H27" s="89">
        <v>0</v>
      </c>
      <c r="I27" s="89" t="s">
        <v>29</v>
      </c>
      <c r="J27" s="88"/>
      <c r="K27" s="88"/>
      <c r="L27" s="90"/>
      <c r="M27" s="90"/>
      <c r="N27" s="90"/>
      <c r="O27" s="90"/>
    </row>
    <row r="28" spans="1:15" x14ac:dyDescent="0.25">
      <c r="A28" s="12">
        <f t="shared" si="0"/>
        <v>45164</v>
      </c>
      <c r="B28" s="89">
        <v>0</v>
      </c>
      <c r="C28" s="89">
        <v>0</v>
      </c>
      <c r="D28" s="89">
        <v>180</v>
      </c>
      <c r="E28" s="89">
        <v>229</v>
      </c>
      <c r="F28" s="89">
        <v>0</v>
      </c>
      <c r="G28" s="89">
        <v>0</v>
      </c>
      <c r="H28" s="89">
        <v>0</v>
      </c>
      <c r="I28" s="89" t="s">
        <v>29</v>
      </c>
      <c r="J28" s="88"/>
      <c r="K28" s="88"/>
      <c r="L28" s="90"/>
      <c r="M28" s="90"/>
      <c r="N28" s="90"/>
      <c r="O28" s="90"/>
    </row>
    <row r="29" spans="1:15" x14ac:dyDescent="0.25">
      <c r="A29" s="12">
        <f t="shared" si="0"/>
        <v>45165</v>
      </c>
      <c r="B29" s="89">
        <v>0</v>
      </c>
      <c r="C29" s="89">
        <v>0</v>
      </c>
      <c r="D29" s="89">
        <v>150</v>
      </c>
      <c r="E29" s="89">
        <v>245</v>
      </c>
      <c r="F29" s="89">
        <v>0</v>
      </c>
      <c r="G29" s="89">
        <v>0</v>
      </c>
      <c r="H29" s="89">
        <v>0</v>
      </c>
      <c r="I29" s="89" t="s">
        <v>29</v>
      </c>
      <c r="J29" s="88"/>
      <c r="K29" s="88"/>
      <c r="L29" s="90"/>
      <c r="M29" s="90"/>
      <c r="N29" s="90"/>
      <c r="O29" s="90"/>
    </row>
    <row r="30" spans="1:15" x14ac:dyDescent="0.25">
      <c r="A30" s="12">
        <f t="shared" si="0"/>
        <v>45166</v>
      </c>
      <c r="B30" s="89">
        <v>0</v>
      </c>
      <c r="C30" s="89">
        <v>0</v>
      </c>
      <c r="D30" s="89">
        <v>64</v>
      </c>
      <c r="E30" s="89">
        <v>295</v>
      </c>
      <c r="F30" s="89">
        <v>0</v>
      </c>
      <c r="G30" s="89">
        <v>0</v>
      </c>
      <c r="H30" s="89">
        <v>0</v>
      </c>
      <c r="I30" s="89" t="s">
        <v>29</v>
      </c>
      <c r="J30" s="88"/>
      <c r="K30" s="88"/>
      <c r="L30" s="90"/>
      <c r="M30" s="90"/>
      <c r="N30" s="90"/>
      <c r="O30" s="90"/>
    </row>
    <row r="31" spans="1:15" x14ac:dyDescent="0.25">
      <c r="A31" s="12">
        <f t="shared" si="0"/>
        <v>45167</v>
      </c>
      <c r="B31" s="89">
        <v>0</v>
      </c>
      <c r="C31" s="89">
        <v>0</v>
      </c>
      <c r="D31" s="89">
        <v>0</v>
      </c>
      <c r="E31" s="89">
        <v>312</v>
      </c>
      <c r="F31" s="89">
        <v>0</v>
      </c>
      <c r="G31" s="89">
        <v>0</v>
      </c>
      <c r="H31" s="89">
        <v>0</v>
      </c>
      <c r="I31" s="89" t="s">
        <v>29</v>
      </c>
      <c r="J31" s="88"/>
      <c r="K31" s="88"/>
      <c r="L31" s="90"/>
      <c r="M31" s="90"/>
      <c r="N31" s="90"/>
      <c r="O31" s="90"/>
    </row>
    <row r="32" spans="1:15" x14ac:dyDescent="0.25">
      <c r="A32" s="12">
        <f t="shared" si="0"/>
        <v>45168</v>
      </c>
      <c r="B32" s="89">
        <v>0</v>
      </c>
      <c r="C32" s="89">
        <v>0</v>
      </c>
      <c r="D32" s="89">
        <v>0</v>
      </c>
      <c r="E32" s="89">
        <v>251</v>
      </c>
      <c r="F32" s="89">
        <v>0</v>
      </c>
      <c r="G32" s="89">
        <v>0</v>
      </c>
      <c r="H32" s="89">
        <v>0</v>
      </c>
      <c r="I32" s="89" t="s">
        <v>29</v>
      </c>
      <c r="J32" s="88"/>
      <c r="K32" s="88"/>
      <c r="L32" s="90"/>
      <c r="M32" s="90"/>
      <c r="N32" s="90"/>
      <c r="O32" s="90"/>
    </row>
    <row r="33" spans="1:15" ht="15.75" thickBot="1" x14ac:dyDescent="0.3">
      <c r="A33" s="12">
        <f t="shared" si="0"/>
        <v>45169</v>
      </c>
      <c r="B33" s="89">
        <v>0</v>
      </c>
      <c r="C33" s="89">
        <v>35</v>
      </c>
      <c r="D33" s="89">
        <v>0</v>
      </c>
      <c r="E33" s="89">
        <v>262</v>
      </c>
      <c r="F33" s="89">
        <v>0</v>
      </c>
      <c r="G33" s="89">
        <v>0</v>
      </c>
      <c r="H33" s="89">
        <v>0</v>
      </c>
      <c r="I33" s="89" t="s">
        <v>29</v>
      </c>
      <c r="J33" s="88" t="s">
        <v>112</v>
      </c>
      <c r="K33" s="88"/>
      <c r="L33" s="90"/>
      <c r="M33" s="90"/>
      <c r="N33" s="90"/>
      <c r="O33" s="90"/>
    </row>
    <row r="34" spans="1:15" s="11" customFormat="1" ht="15.75" collapsed="1" thickTop="1" x14ac:dyDescent="0.25">
      <c r="A34" s="15" t="s">
        <v>8</v>
      </c>
      <c r="B34" s="16">
        <f>SUM(B3:B33)</f>
        <v>0</v>
      </c>
      <c r="C34" s="16">
        <f t="shared" ref="C34:H34" si="1">SUM(C3:C33)</f>
        <v>4725</v>
      </c>
      <c r="D34" s="16">
        <f t="shared" si="1"/>
        <v>702</v>
      </c>
      <c r="E34" s="16">
        <f t="shared" si="1"/>
        <v>10663</v>
      </c>
      <c r="F34" s="17">
        <f t="shared" si="1"/>
        <v>1.9000000000000001</v>
      </c>
      <c r="G34" s="17">
        <f t="shared" si="1"/>
        <v>0</v>
      </c>
      <c r="H34" s="16">
        <f t="shared" si="1"/>
        <v>0</v>
      </c>
      <c r="I34" s="17"/>
    </row>
    <row r="35" spans="1:15" s="11" customFormat="1" x14ac:dyDescent="0.25">
      <c r="A35" s="18" t="s">
        <v>9</v>
      </c>
      <c r="B35" s="19">
        <f>SUM(B34+'Jul 2023'!B35)</f>
        <v>327</v>
      </c>
      <c r="C35" s="19">
        <f>SUM(C34+'Jul 2023'!C35)</f>
        <v>31598</v>
      </c>
      <c r="D35" s="19">
        <f>SUM(D34+'Jul 2023'!D35)</f>
        <v>1605.5</v>
      </c>
      <c r="E35" s="19">
        <f>SUM(E34+'Jul 2023'!E35)</f>
        <v>64436</v>
      </c>
      <c r="F35" s="20">
        <f>SUM(F34+'Jul 2023'!F35)</f>
        <v>12.040000000000001</v>
      </c>
      <c r="G35" s="20">
        <f>SUM(G34+'Jul 2023'!G35)</f>
        <v>25.5</v>
      </c>
      <c r="H35" s="19">
        <f>SUM(H34+'Jul 2023'!H35)</f>
        <v>0</v>
      </c>
      <c r="I35" s="20"/>
    </row>
    <row r="37" spans="1:15" x14ac:dyDescent="0.25">
      <c r="A37" t="s">
        <v>10</v>
      </c>
      <c r="B37" s="22">
        <f>SUM(B3:B33)*1.9835</f>
        <v>0</v>
      </c>
      <c r="C37" s="22">
        <f>SUM(C3:C33)*1.9835</f>
        <v>9372.0375000000004</v>
      </c>
      <c r="D37" s="22">
        <f>SUM(D3:D33)*1.9835</f>
        <v>1392.4169999999999</v>
      </c>
      <c r="E37" s="22">
        <f>SUM(E3:E33)*1.9835</f>
        <v>21150.0605</v>
      </c>
      <c r="F37" s="22"/>
      <c r="G37" s="22"/>
      <c r="H37" s="22"/>
    </row>
    <row r="38" spans="1:15" x14ac:dyDescent="0.25">
      <c r="B38" s="22"/>
      <c r="C38" s="22"/>
      <c r="D38" s="22"/>
      <c r="E38" s="22"/>
      <c r="F38" s="22"/>
      <c r="G38" s="22"/>
      <c r="H38" s="22"/>
    </row>
    <row r="39" spans="1:15" x14ac:dyDescent="0.25">
      <c r="A39" t="s">
        <v>24</v>
      </c>
      <c r="B39" s="22">
        <f>SUM(B37+'Jul 2023'!B39)</f>
        <v>648.60450000000003</v>
      </c>
      <c r="C39" s="22">
        <f>SUM(C37+'Jul 2023'!C39)</f>
        <v>62674.632999999994</v>
      </c>
      <c r="D39" s="22">
        <f>SUM(D37+'Jul 2023'!D39)</f>
        <v>3184.5092500000001</v>
      </c>
      <c r="E39" s="22">
        <f>SUM(E37+'Jul 2023'!E39)</f>
        <v>133733.52050000001</v>
      </c>
      <c r="F39" s="22"/>
      <c r="G39" s="22"/>
      <c r="H39" s="22"/>
    </row>
    <row r="41" spans="1:15" ht="17.45" customHeight="1" x14ac:dyDescent="0.25">
      <c r="A41" s="102"/>
      <c r="B41" s="102"/>
      <c r="C41" s="102"/>
      <c r="D41" s="102"/>
      <c r="E41" s="102"/>
      <c r="F41" s="102"/>
      <c r="G41" s="103"/>
      <c r="H41" s="104" t="s">
        <v>12</v>
      </c>
      <c r="I41" s="105"/>
      <c r="J41" s="26"/>
      <c r="K41" s="26"/>
      <c r="L41" s="26"/>
      <c r="M41" s="26"/>
      <c r="N41" s="27"/>
      <c r="O41" s="26"/>
    </row>
    <row r="42" spans="1:15" ht="16.899999999999999" customHeight="1" x14ac:dyDescent="0.25">
      <c r="A42" s="25"/>
      <c r="B42" s="25"/>
      <c r="C42" s="25"/>
      <c r="D42" s="25"/>
      <c r="E42" s="25"/>
      <c r="F42" s="25"/>
      <c r="G42" s="25"/>
      <c r="H42" s="104"/>
      <c r="I42" s="105"/>
      <c r="J42" s="26"/>
      <c r="K42" s="26"/>
      <c r="L42" s="26"/>
      <c r="M42" s="26"/>
      <c r="N42" s="27"/>
      <c r="O42" s="26"/>
    </row>
    <row r="43" spans="1:15" ht="13.9" customHeight="1" thickBot="1" x14ac:dyDescent="0.3">
      <c r="A43" s="106" t="s">
        <v>23</v>
      </c>
      <c r="B43" s="106"/>
      <c r="C43" s="106"/>
      <c r="D43" s="106"/>
      <c r="E43" s="106"/>
      <c r="F43" s="106"/>
      <c r="G43" s="106"/>
      <c r="H43" s="106"/>
      <c r="I43" s="106"/>
      <c r="J43" s="107"/>
      <c r="K43" s="28"/>
      <c r="L43" s="28"/>
      <c r="M43" s="28"/>
      <c r="N43" s="29"/>
      <c r="O43" s="28"/>
    </row>
    <row r="44" spans="1:15" ht="15.6" customHeight="1" x14ac:dyDescent="0.25">
      <c r="A44" s="37" t="s">
        <v>17</v>
      </c>
      <c r="B44" s="95"/>
      <c r="C44" s="31"/>
      <c r="D44" s="32"/>
      <c r="E44" s="32"/>
      <c r="F44" s="33"/>
      <c r="G44" s="34"/>
      <c r="H44" s="35"/>
      <c r="I44" s="36"/>
      <c r="J44" s="28"/>
      <c r="K44" s="28"/>
      <c r="L44" s="28"/>
      <c r="M44" s="28"/>
      <c r="N44" s="29"/>
    </row>
    <row r="45" spans="1:15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9"/>
    </row>
    <row r="46" spans="1:15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9"/>
    </row>
    <row r="47" spans="1:15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28"/>
      <c r="K47" s="28"/>
      <c r="L47" s="28"/>
      <c r="M47" s="28"/>
      <c r="N47" s="29"/>
    </row>
    <row r="48" spans="1:15" x14ac:dyDescent="0.25">
      <c r="A48" s="30"/>
      <c r="B48" s="96"/>
      <c r="C48" s="31"/>
      <c r="D48" s="32"/>
      <c r="E48" s="32"/>
      <c r="F48" s="38"/>
      <c r="G48" s="34">
        <f>SUM(24-E48)</f>
        <v>24</v>
      </c>
      <c r="H48" s="35">
        <f>SUM(D48+F48)</f>
        <v>0</v>
      </c>
      <c r="I48" s="36">
        <f>SUM(D48/24*E48+H48/24*G48)</f>
        <v>0</v>
      </c>
      <c r="J48" s="28"/>
      <c r="K48" s="28"/>
      <c r="L48" s="28"/>
      <c r="M48" s="28"/>
      <c r="N48" s="29"/>
    </row>
    <row r="49" spans="1:15" x14ac:dyDescent="0.25">
      <c r="A49" s="30"/>
      <c r="B49" s="96"/>
      <c r="C49" s="31"/>
      <c r="D49" s="32"/>
      <c r="E49" s="32"/>
      <c r="F49" s="38"/>
      <c r="G49" s="34">
        <f>SUM(24-E49)</f>
        <v>24</v>
      </c>
      <c r="H49" s="35">
        <f>SUM(D49+F49)</f>
        <v>0</v>
      </c>
      <c r="I49" s="36">
        <f>SUM(D49/24*E49+H49/24*G49)</f>
        <v>0</v>
      </c>
      <c r="J49" s="28"/>
      <c r="K49" s="28"/>
      <c r="L49" s="28"/>
      <c r="M49" s="28"/>
      <c r="N49" s="29"/>
    </row>
    <row r="50" spans="1:15" ht="13.15" customHeight="1" x14ac:dyDescent="0.25">
      <c r="A50" s="39"/>
      <c r="B50" s="39"/>
      <c r="C50" s="40"/>
      <c r="D50" s="40"/>
      <c r="E50" s="40"/>
      <c r="F50" s="40"/>
      <c r="G50" s="40"/>
      <c r="H50" s="41"/>
      <c r="I50" s="28"/>
      <c r="J50" s="28"/>
      <c r="K50" s="28"/>
      <c r="L50" s="28"/>
      <c r="M50" s="28"/>
      <c r="N50" s="29"/>
      <c r="O50" s="28"/>
    </row>
    <row r="51" spans="1:15" ht="15.75" thickBot="1" x14ac:dyDescent="0.3">
      <c r="A51" s="42" t="s">
        <v>18</v>
      </c>
      <c r="B51" s="42"/>
      <c r="C51" s="42"/>
      <c r="D51" s="42"/>
      <c r="E51" s="42"/>
      <c r="F51" s="43"/>
      <c r="G51" s="44"/>
      <c r="H51" s="41"/>
      <c r="I51" s="28"/>
      <c r="J51" s="28"/>
      <c r="K51" s="28"/>
      <c r="L51" s="28"/>
      <c r="M51" s="28"/>
      <c r="N51" s="29"/>
      <c r="O51" s="28"/>
    </row>
    <row r="52" spans="1:15" ht="26.25" x14ac:dyDescent="0.25">
      <c r="A52" s="45" t="s">
        <v>19</v>
      </c>
      <c r="B52" s="97"/>
      <c r="C52" s="46" t="s">
        <v>13</v>
      </c>
      <c r="D52" s="47" t="s">
        <v>14</v>
      </c>
      <c r="E52" s="47" t="s">
        <v>15</v>
      </c>
      <c r="F52" s="48" t="s">
        <v>16</v>
      </c>
      <c r="G52" s="49" t="s">
        <v>20</v>
      </c>
      <c r="H52" s="50"/>
      <c r="I52" s="51"/>
      <c r="J52" s="52"/>
    </row>
    <row r="53" spans="1:15" ht="15.75" x14ac:dyDescent="0.25">
      <c r="A53" s="53"/>
      <c r="B53" s="98"/>
      <c r="C53" s="54"/>
      <c r="D53" s="55"/>
      <c r="E53" s="56"/>
      <c r="F53" s="57"/>
      <c r="G53" s="58">
        <f>SUM(D53/24*E53)</f>
        <v>0</v>
      </c>
      <c r="H53" s="59"/>
      <c r="I53" s="60"/>
      <c r="J53" s="61"/>
    </row>
    <row r="54" spans="1:15" x14ac:dyDescent="0.25">
      <c r="A54" s="62"/>
      <c r="B54" s="99"/>
      <c r="C54" s="63"/>
      <c r="D54" s="64"/>
      <c r="E54" s="56"/>
      <c r="F54" s="65"/>
      <c r="G54" s="66">
        <f>SUM(D54/24*E54)</f>
        <v>0</v>
      </c>
      <c r="H54" s="59"/>
      <c r="I54" s="60"/>
    </row>
    <row r="55" spans="1:15" x14ac:dyDescent="0.25">
      <c r="A55" s="62"/>
      <c r="B55" s="99"/>
      <c r="C55" s="63"/>
      <c r="D55" s="64"/>
      <c r="E55" s="56"/>
      <c r="F55" s="67"/>
      <c r="G55" s="66">
        <f>SUM(D55/24*E55)</f>
        <v>0</v>
      </c>
      <c r="H55" s="59"/>
      <c r="I55" s="60"/>
    </row>
    <row r="56" spans="1:15" x14ac:dyDescent="0.25">
      <c r="A56" s="62"/>
      <c r="B56" s="99"/>
      <c r="C56" s="63"/>
      <c r="D56" s="64"/>
      <c r="E56" s="56"/>
      <c r="F56" s="67"/>
      <c r="G56" s="66">
        <f>SUM(D56/24*E56)</f>
        <v>0</v>
      </c>
      <c r="H56" s="59"/>
      <c r="I56" s="60"/>
    </row>
    <row r="57" spans="1:15" ht="15.75" thickBot="1" x14ac:dyDescent="0.3">
      <c r="A57" s="68"/>
      <c r="B57" s="100"/>
      <c r="C57" s="69"/>
      <c r="D57" s="70"/>
      <c r="E57" s="71"/>
      <c r="F57" s="70"/>
      <c r="G57" s="72">
        <f>SUM(D57/24*E57)</f>
        <v>0</v>
      </c>
      <c r="H57" s="59"/>
      <c r="I57" s="60"/>
    </row>
    <row r="58" spans="1:15" s="78" customFormat="1" ht="30" customHeight="1" x14ac:dyDescent="0.25">
      <c r="A58" s="108" t="s">
        <v>21</v>
      </c>
      <c r="B58" s="109"/>
      <c r="C58" s="109"/>
      <c r="D58" s="110"/>
      <c r="E58" s="73">
        <f>SUM(E53:E57)</f>
        <v>0</v>
      </c>
      <c r="F58" s="74" t="s">
        <v>22</v>
      </c>
      <c r="G58" s="75">
        <f>SUM(G53:G57)</f>
        <v>0</v>
      </c>
      <c r="H58" s="76"/>
      <c r="I58" s="77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26" sqref="M26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39.140625" customWidth="1"/>
  </cols>
  <sheetData>
    <row r="1" spans="1:10" s="1" customFormat="1" ht="30" x14ac:dyDescent="0.25">
      <c r="A1" s="81" t="s">
        <v>0</v>
      </c>
      <c r="B1" s="9" t="s">
        <v>28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0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79"/>
    </row>
    <row r="3" spans="1:10" x14ac:dyDescent="0.25">
      <c r="A3" s="24">
        <v>45108</v>
      </c>
      <c r="B3" s="89">
        <v>0</v>
      </c>
      <c r="C3" s="89">
        <v>447</v>
      </c>
      <c r="D3" s="89">
        <v>9</v>
      </c>
      <c r="E3" s="89">
        <v>627</v>
      </c>
      <c r="F3" s="89">
        <v>0</v>
      </c>
      <c r="G3" s="89">
        <v>0</v>
      </c>
      <c r="H3" s="89">
        <v>0</v>
      </c>
      <c r="I3" s="89" t="s">
        <v>29</v>
      </c>
      <c r="J3" s="88" t="s">
        <v>75</v>
      </c>
    </row>
    <row r="4" spans="1:10" x14ac:dyDescent="0.25">
      <c r="A4" s="24">
        <f>A3+1</f>
        <v>45109</v>
      </c>
      <c r="B4" s="89">
        <v>0</v>
      </c>
      <c r="C4" s="89">
        <v>438</v>
      </c>
      <c r="D4" s="89">
        <v>0</v>
      </c>
      <c r="E4" s="89">
        <v>582</v>
      </c>
      <c r="F4" s="89">
        <v>0</v>
      </c>
      <c r="G4" s="89">
        <v>0</v>
      </c>
      <c r="H4" s="89">
        <v>0</v>
      </c>
      <c r="I4" s="89" t="s">
        <v>29</v>
      </c>
      <c r="J4" s="88" t="s">
        <v>76</v>
      </c>
    </row>
    <row r="5" spans="1:10" x14ac:dyDescent="0.25">
      <c r="A5" s="24">
        <f t="shared" ref="A5:A33" si="0">A4+1</f>
        <v>45110</v>
      </c>
      <c r="B5" s="89">
        <v>0</v>
      </c>
      <c r="C5" s="89">
        <v>450</v>
      </c>
      <c r="D5" s="89">
        <v>0</v>
      </c>
      <c r="E5" s="89">
        <v>555</v>
      </c>
      <c r="F5" s="89">
        <v>0</v>
      </c>
      <c r="G5" s="89">
        <v>0</v>
      </c>
      <c r="H5" s="89">
        <v>0</v>
      </c>
      <c r="I5" s="89" t="s">
        <v>29</v>
      </c>
      <c r="J5" s="88"/>
    </row>
    <row r="6" spans="1:10" x14ac:dyDescent="0.25">
      <c r="A6" s="24">
        <f t="shared" si="0"/>
        <v>45111</v>
      </c>
      <c r="B6" s="89">
        <v>0</v>
      </c>
      <c r="C6" s="89">
        <v>450</v>
      </c>
      <c r="D6" s="89">
        <v>0</v>
      </c>
      <c r="E6" s="89">
        <v>530</v>
      </c>
      <c r="F6" s="89">
        <v>0</v>
      </c>
      <c r="G6" s="89">
        <v>0</v>
      </c>
      <c r="H6" s="89">
        <v>0</v>
      </c>
      <c r="I6" s="89" t="s">
        <v>29</v>
      </c>
      <c r="J6" s="88"/>
    </row>
    <row r="7" spans="1:10" x14ac:dyDescent="0.25">
      <c r="A7" s="24">
        <f t="shared" si="0"/>
        <v>45112</v>
      </c>
      <c r="B7" s="89">
        <v>0</v>
      </c>
      <c r="C7" s="89">
        <v>371</v>
      </c>
      <c r="D7" s="89">
        <v>0</v>
      </c>
      <c r="E7" s="89">
        <v>555</v>
      </c>
      <c r="F7" s="89">
        <v>0</v>
      </c>
      <c r="G7" s="89">
        <v>0</v>
      </c>
      <c r="H7" s="89">
        <v>0</v>
      </c>
      <c r="I7" s="89" t="s">
        <v>29</v>
      </c>
      <c r="J7" s="88" t="s">
        <v>77</v>
      </c>
    </row>
    <row r="8" spans="1:10" x14ac:dyDescent="0.25">
      <c r="A8" s="24">
        <f t="shared" si="0"/>
        <v>45113</v>
      </c>
      <c r="B8" s="89">
        <v>0</v>
      </c>
      <c r="C8" s="89">
        <v>436</v>
      </c>
      <c r="D8" s="89">
        <v>0</v>
      </c>
      <c r="E8" s="89">
        <v>563</v>
      </c>
      <c r="F8" s="89">
        <v>0</v>
      </c>
      <c r="G8" s="89">
        <v>0</v>
      </c>
      <c r="H8" s="89">
        <v>0</v>
      </c>
      <c r="I8" s="89" t="s">
        <v>29</v>
      </c>
      <c r="J8" s="88" t="s">
        <v>78</v>
      </c>
    </row>
    <row r="9" spans="1:10" x14ac:dyDescent="0.25">
      <c r="A9" s="24">
        <f t="shared" si="0"/>
        <v>45114</v>
      </c>
      <c r="B9" s="89">
        <v>0</v>
      </c>
      <c r="C9" s="89">
        <v>486</v>
      </c>
      <c r="D9" s="89">
        <v>0</v>
      </c>
      <c r="E9" s="89">
        <v>572</v>
      </c>
      <c r="F9" s="89">
        <v>0</v>
      </c>
      <c r="G9" s="89">
        <v>0</v>
      </c>
      <c r="H9" s="89">
        <v>0</v>
      </c>
      <c r="I9" s="89" t="s">
        <v>29</v>
      </c>
      <c r="J9" s="88" t="s">
        <v>79</v>
      </c>
    </row>
    <row r="10" spans="1:10" x14ac:dyDescent="0.25">
      <c r="A10" s="24">
        <f t="shared" si="0"/>
        <v>45115</v>
      </c>
      <c r="B10" s="89">
        <v>0</v>
      </c>
      <c r="C10" s="89">
        <v>450</v>
      </c>
      <c r="D10" s="89">
        <v>3</v>
      </c>
      <c r="E10" s="89">
        <v>564</v>
      </c>
      <c r="F10" s="89">
        <v>0</v>
      </c>
      <c r="G10" s="89">
        <v>0</v>
      </c>
      <c r="H10" s="89">
        <v>0</v>
      </c>
      <c r="I10" s="89" t="s">
        <v>29</v>
      </c>
      <c r="J10" s="88"/>
    </row>
    <row r="11" spans="1:10" x14ac:dyDescent="0.25">
      <c r="A11" s="24">
        <f t="shared" si="0"/>
        <v>45116</v>
      </c>
      <c r="B11" s="89">
        <v>0</v>
      </c>
      <c r="C11" s="89">
        <v>418</v>
      </c>
      <c r="D11" s="89">
        <v>3</v>
      </c>
      <c r="E11" s="89">
        <v>547</v>
      </c>
      <c r="F11" s="89">
        <v>0</v>
      </c>
      <c r="G11" s="89">
        <v>0</v>
      </c>
      <c r="H11" s="89">
        <v>0</v>
      </c>
      <c r="I11" s="89" t="s">
        <v>29</v>
      </c>
      <c r="J11" s="88" t="s">
        <v>80</v>
      </c>
    </row>
    <row r="12" spans="1:10" x14ac:dyDescent="0.25">
      <c r="A12" s="24">
        <f t="shared" si="0"/>
        <v>45117</v>
      </c>
      <c r="B12" s="89">
        <v>0</v>
      </c>
      <c r="C12" s="89">
        <v>406</v>
      </c>
      <c r="D12" s="89">
        <v>0</v>
      </c>
      <c r="E12" s="89">
        <v>546</v>
      </c>
      <c r="F12" s="89">
        <v>0</v>
      </c>
      <c r="G12" s="89">
        <v>0</v>
      </c>
      <c r="H12" s="89">
        <v>0</v>
      </c>
      <c r="I12" s="89" t="s">
        <v>29</v>
      </c>
      <c r="J12" s="88" t="s">
        <v>81</v>
      </c>
    </row>
    <row r="13" spans="1:10" x14ac:dyDescent="0.25">
      <c r="A13" s="24">
        <f t="shared" si="0"/>
        <v>45118</v>
      </c>
      <c r="B13" s="89">
        <v>0</v>
      </c>
      <c r="C13" s="89">
        <v>421</v>
      </c>
      <c r="D13" s="89">
        <v>0</v>
      </c>
      <c r="E13" s="89">
        <v>545</v>
      </c>
      <c r="F13" s="89">
        <v>0</v>
      </c>
      <c r="G13" s="89">
        <v>0</v>
      </c>
      <c r="H13" s="89">
        <v>0</v>
      </c>
      <c r="I13" s="89" t="s">
        <v>29</v>
      </c>
      <c r="J13" s="88"/>
    </row>
    <row r="14" spans="1:10" x14ac:dyDescent="0.25">
      <c r="A14" s="24">
        <f t="shared" si="0"/>
        <v>45119</v>
      </c>
      <c r="B14" s="89">
        <v>0</v>
      </c>
      <c r="C14" s="89">
        <v>379</v>
      </c>
      <c r="D14" s="89">
        <v>0.5</v>
      </c>
      <c r="E14" s="89">
        <v>506</v>
      </c>
      <c r="F14" s="89">
        <v>0</v>
      </c>
      <c r="G14" s="89">
        <v>0</v>
      </c>
      <c r="H14" s="89">
        <v>0</v>
      </c>
      <c r="I14" s="89" t="s">
        <v>29</v>
      </c>
      <c r="J14" s="88" t="s">
        <v>82</v>
      </c>
    </row>
    <row r="15" spans="1:10" x14ac:dyDescent="0.25">
      <c r="A15" s="24">
        <f t="shared" si="0"/>
        <v>45120</v>
      </c>
      <c r="B15" s="89">
        <v>0</v>
      </c>
      <c r="C15" s="89">
        <v>320</v>
      </c>
      <c r="D15" s="89">
        <v>1</v>
      </c>
      <c r="E15" s="89">
        <v>454</v>
      </c>
      <c r="F15" s="89">
        <v>0</v>
      </c>
      <c r="G15" s="89">
        <v>0</v>
      </c>
      <c r="H15" s="89">
        <v>0</v>
      </c>
      <c r="I15" s="89" t="s">
        <v>29</v>
      </c>
      <c r="J15" s="88" t="s">
        <v>83</v>
      </c>
    </row>
    <row r="16" spans="1:10" x14ac:dyDescent="0.25">
      <c r="A16" s="24">
        <f t="shared" si="0"/>
        <v>45121</v>
      </c>
      <c r="B16" s="89">
        <v>0</v>
      </c>
      <c r="C16" s="89">
        <v>300</v>
      </c>
      <c r="D16" s="89">
        <v>0</v>
      </c>
      <c r="E16" s="89">
        <v>437</v>
      </c>
      <c r="F16" s="89">
        <v>0</v>
      </c>
      <c r="G16" s="89">
        <v>0</v>
      </c>
      <c r="H16" s="89">
        <v>0</v>
      </c>
      <c r="I16" s="89" t="s">
        <v>29</v>
      </c>
      <c r="J16" s="88"/>
    </row>
    <row r="17" spans="1:10" x14ac:dyDescent="0.25">
      <c r="A17" s="24">
        <f t="shared" si="0"/>
        <v>45122</v>
      </c>
      <c r="B17" s="89">
        <v>0</v>
      </c>
      <c r="C17" s="89">
        <v>300</v>
      </c>
      <c r="D17" s="89">
        <v>0</v>
      </c>
      <c r="E17" s="89">
        <v>423</v>
      </c>
      <c r="F17" s="89">
        <v>0</v>
      </c>
      <c r="G17" s="89">
        <v>0</v>
      </c>
      <c r="H17" s="89">
        <v>0</v>
      </c>
      <c r="I17" s="89" t="s">
        <v>29</v>
      </c>
      <c r="J17" s="88"/>
    </row>
    <row r="18" spans="1:10" x14ac:dyDescent="0.25">
      <c r="A18" s="24">
        <f t="shared" si="0"/>
        <v>45123</v>
      </c>
      <c r="B18" s="89">
        <v>0</v>
      </c>
      <c r="C18" s="89">
        <v>279</v>
      </c>
      <c r="D18" s="89">
        <v>0</v>
      </c>
      <c r="E18" s="89">
        <v>382</v>
      </c>
      <c r="F18" s="89">
        <v>0</v>
      </c>
      <c r="G18" s="89">
        <v>0</v>
      </c>
      <c r="H18" s="89">
        <v>0</v>
      </c>
      <c r="I18" s="89" t="s">
        <v>29</v>
      </c>
      <c r="J18" s="88" t="s">
        <v>84</v>
      </c>
    </row>
    <row r="19" spans="1:10" x14ac:dyDescent="0.25">
      <c r="A19" s="24">
        <f t="shared" si="0"/>
        <v>45124</v>
      </c>
      <c r="B19" s="89">
        <v>0</v>
      </c>
      <c r="C19" s="89">
        <v>221</v>
      </c>
      <c r="D19" s="89">
        <v>0</v>
      </c>
      <c r="E19" s="89">
        <v>383</v>
      </c>
      <c r="F19" s="89">
        <v>0</v>
      </c>
      <c r="G19" s="89">
        <v>0</v>
      </c>
      <c r="H19" s="89">
        <v>0</v>
      </c>
      <c r="I19" s="89" t="s">
        <v>29</v>
      </c>
      <c r="J19" s="88" t="s">
        <v>85</v>
      </c>
    </row>
    <row r="20" spans="1:10" x14ac:dyDescent="0.25">
      <c r="A20" s="24">
        <f t="shared" si="0"/>
        <v>45125</v>
      </c>
      <c r="B20" s="89">
        <v>0</v>
      </c>
      <c r="C20" s="89">
        <v>200</v>
      </c>
      <c r="D20" s="89">
        <v>0</v>
      </c>
      <c r="E20" s="89">
        <v>391</v>
      </c>
      <c r="F20" s="89">
        <v>0</v>
      </c>
      <c r="G20" s="89">
        <v>0</v>
      </c>
      <c r="H20" s="89">
        <v>0</v>
      </c>
      <c r="I20" s="89" t="s">
        <v>29</v>
      </c>
      <c r="J20" s="88"/>
    </row>
    <row r="21" spans="1:10" x14ac:dyDescent="0.25">
      <c r="A21" s="24">
        <f t="shared" si="0"/>
        <v>45126</v>
      </c>
      <c r="B21" s="89">
        <v>0</v>
      </c>
      <c r="C21" s="89">
        <v>225</v>
      </c>
      <c r="D21" s="89">
        <v>0</v>
      </c>
      <c r="E21" s="89">
        <v>390</v>
      </c>
      <c r="F21" s="89">
        <v>0</v>
      </c>
      <c r="G21" s="89">
        <v>0</v>
      </c>
      <c r="H21" s="89">
        <v>0</v>
      </c>
      <c r="I21" s="89" t="s">
        <v>29</v>
      </c>
      <c r="J21" s="88" t="s">
        <v>86</v>
      </c>
    </row>
    <row r="22" spans="1:10" x14ac:dyDescent="0.25">
      <c r="A22" s="24">
        <f t="shared" si="0"/>
        <v>45127</v>
      </c>
      <c r="B22" s="89">
        <v>0</v>
      </c>
      <c r="C22" s="89">
        <v>230</v>
      </c>
      <c r="D22" s="89">
        <v>0</v>
      </c>
      <c r="E22" s="89">
        <v>367</v>
      </c>
      <c r="F22" s="89">
        <v>0</v>
      </c>
      <c r="G22" s="89">
        <v>0</v>
      </c>
      <c r="H22" s="89">
        <v>0</v>
      </c>
      <c r="I22" s="89" t="s">
        <v>29</v>
      </c>
      <c r="J22" s="88" t="s">
        <v>87</v>
      </c>
    </row>
    <row r="23" spans="1:10" x14ac:dyDescent="0.25">
      <c r="A23" s="24">
        <f t="shared" si="0"/>
        <v>45128</v>
      </c>
      <c r="B23" s="89">
        <v>0</v>
      </c>
      <c r="C23" s="89">
        <v>274</v>
      </c>
      <c r="D23" s="89">
        <v>0</v>
      </c>
      <c r="E23" s="89">
        <v>380</v>
      </c>
      <c r="F23" s="89">
        <v>0</v>
      </c>
      <c r="G23" s="89">
        <v>0</v>
      </c>
      <c r="H23" s="89">
        <v>0</v>
      </c>
      <c r="I23" s="89" t="s">
        <v>29</v>
      </c>
      <c r="J23" s="88" t="s">
        <v>88</v>
      </c>
    </row>
    <row r="24" spans="1:10" x14ac:dyDescent="0.25">
      <c r="A24" s="24">
        <f t="shared" si="0"/>
        <v>45129</v>
      </c>
      <c r="B24" s="89">
        <v>0</v>
      </c>
      <c r="C24" s="89">
        <v>291</v>
      </c>
      <c r="D24" s="89">
        <v>0</v>
      </c>
      <c r="E24" s="89">
        <v>438</v>
      </c>
      <c r="F24" s="89">
        <v>0</v>
      </c>
      <c r="G24" s="89">
        <v>0</v>
      </c>
      <c r="H24" s="89">
        <v>0</v>
      </c>
      <c r="I24" s="89" t="s">
        <v>29</v>
      </c>
      <c r="J24" s="88" t="s">
        <v>89</v>
      </c>
    </row>
    <row r="25" spans="1:10" x14ac:dyDescent="0.25">
      <c r="A25" s="24">
        <f t="shared" si="0"/>
        <v>45130</v>
      </c>
      <c r="B25" s="89">
        <v>0</v>
      </c>
      <c r="C25" s="89">
        <v>300</v>
      </c>
      <c r="D25" s="89">
        <v>0</v>
      </c>
      <c r="E25" s="89">
        <v>440</v>
      </c>
      <c r="F25" s="89">
        <v>0</v>
      </c>
      <c r="G25" s="89">
        <v>0</v>
      </c>
      <c r="H25" s="89">
        <v>0</v>
      </c>
      <c r="I25" s="89" t="s">
        <v>29</v>
      </c>
      <c r="J25" s="88"/>
    </row>
    <row r="26" spans="1:10" x14ac:dyDescent="0.25">
      <c r="A26" s="24">
        <f t="shared" si="0"/>
        <v>45131</v>
      </c>
      <c r="B26" s="89">
        <v>0</v>
      </c>
      <c r="C26" s="89">
        <v>317</v>
      </c>
      <c r="D26" s="89">
        <v>0</v>
      </c>
      <c r="E26" s="89">
        <v>413</v>
      </c>
      <c r="F26" s="89">
        <v>0</v>
      </c>
      <c r="G26" s="89">
        <v>0</v>
      </c>
      <c r="H26" s="89">
        <v>0</v>
      </c>
      <c r="I26" s="89" t="s">
        <v>29</v>
      </c>
      <c r="J26" s="88" t="s">
        <v>90</v>
      </c>
    </row>
    <row r="27" spans="1:10" x14ac:dyDescent="0.25">
      <c r="A27" s="24">
        <f t="shared" si="0"/>
        <v>45132</v>
      </c>
      <c r="B27" s="89">
        <v>0</v>
      </c>
      <c r="C27" s="89">
        <v>320</v>
      </c>
      <c r="D27" s="89">
        <v>0</v>
      </c>
      <c r="E27" s="89">
        <v>449</v>
      </c>
      <c r="F27" s="89">
        <v>0</v>
      </c>
      <c r="G27" s="89">
        <v>0</v>
      </c>
      <c r="H27" s="89">
        <v>0</v>
      </c>
      <c r="I27" s="89" t="s">
        <v>29</v>
      </c>
      <c r="J27" s="88" t="s">
        <v>91</v>
      </c>
    </row>
    <row r="28" spans="1:10" x14ac:dyDescent="0.25">
      <c r="A28" s="24">
        <f t="shared" si="0"/>
        <v>45133</v>
      </c>
      <c r="B28" s="89">
        <v>0</v>
      </c>
      <c r="C28" s="89">
        <v>386</v>
      </c>
      <c r="D28" s="89">
        <v>0</v>
      </c>
      <c r="E28" s="89">
        <v>484</v>
      </c>
      <c r="F28" s="89">
        <v>0</v>
      </c>
      <c r="G28" s="89">
        <v>0</v>
      </c>
      <c r="H28" s="89">
        <v>0</v>
      </c>
      <c r="I28" s="89" t="s">
        <v>29</v>
      </c>
      <c r="J28" s="88" t="s">
        <v>92</v>
      </c>
    </row>
    <row r="29" spans="1:10" x14ac:dyDescent="0.25">
      <c r="A29" s="24">
        <f t="shared" si="0"/>
        <v>45134</v>
      </c>
      <c r="B29" s="89">
        <v>0</v>
      </c>
      <c r="C29" s="89">
        <v>400</v>
      </c>
      <c r="D29" s="89">
        <v>0</v>
      </c>
      <c r="E29" s="89">
        <v>483</v>
      </c>
      <c r="F29" s="89">
        <v>0</v>
      </c>
      <c r="G29" s="89">
        <v>0</v>
      </c>
      <c r="H29" s="89">
        <v>0</v>
      </c>
      <c r="I29" s="89" t="s">
        <v>29</v>
      </c>
      <c r="J29" s="88"/>
    </row>
    <row r="30" spans="1:10" x14ac:dyDescent="0.25">
      <c r="A30" s="24">
        <f t="shared" si="0"/>
        <v>45135</v>
      </c>
      <c r="B30" s="89">
        <v>0</v>
      </c>
      <c r="C30" s="89">
        <v>383</v>
      </c>
      <c r="D30" s="89">
        <v>0</v>
      </c>
      <c r="E30" s="89">
        <v>481</v>
      </c>
      <c r="F30" s="89">
        <v>0</v>
      </c>
      <c r="G30" s="89">
        <v>0</v>
      </c>
      <c r="H30" s="89">
        <v>0</v>
      </c>
      <c r="I30" s="89" t="s">
        <v>29</v>
      </c>
      <c r="J30" s="88" t="s">
        <v>93</v>
      </c>
    </row>
    <row r="31" spans="1:10" x14ac:dyDescent="0.25">
      <c r="A31" s="24">
        <f t="shared" si="0"/>
        <v>45136</v>
      </c>
      <c r="B31" s="89">
        <v>0</v>
      </c>
      <c r="C31" s="89">
        <v>341</v>
      </c>
      <c r="D31" s="89">
        <v>0</v>
      </c>
      <c r="E31" s="89">
        <v>488</v>
      </c>
      <c r="F31" s="89">
        <v>0</v>
      </c>
      <c r="G31" s="89">
        <v>0</v>
      </c>
      <c r="H31" s="89">
        <v>0</v>
      </c>
      <c r="I31" s="89" t="s">
        <v>29</v>
      </c>
      <c r="J31" s="88" t="s">
        <v>94</v>
      </c>
    </row>
    <row r="32" spans="1:10" x14ac:dyDescent="0.25">
      <c r="A32" s="24">
        <f t="shared" si="0"/>
        <v>45137</v>
      </c>
      <c r="B32" s="89">
        <v>0</v>
      </c>
      <c r="C32" s="89">
        <v>370</v>
      </c>
      <c r="D32" s="89">
        <v>0</v>
      </c>
      <c r="E32" s="89">
        <v>512</v>
      </c>
      <c r="F32" s="89">
        <v>0</v>
      </c>
      <c r="G32" s="89">
        <v>0</v>
      </c>
      <c r="H32" s="89">
        <v>0</v>
      </c>
      <c r="I32" s="89" t="s">
        <v>29</v>
      </c>
      <c r="J32" s="88" t="s">
        <v>95</v>
      </c>
    </row>
    <row r="33" spans="1:15" ht="15.75" thickBot="1" x14ac:dyDescent="0.3">
      <c r="A33" s="24">
        <f t="shared" si="0"/>
        <v>45138</v>
      </c>
      <c r="B33" s="89">
        <v>0</v>
      </c>
      <c r="C33" s="89">
        <v>429</v>
      </c>
      <c r="D33" s="89">
        <v>0</v>
      </c>
      <c r="E33" s="89">
        <v>567</v>
      </c>
      <c r="F33" s="89">
        <v>0</v>
      </c>
      <c r="G33" s="89">
        <v>0</v>
      </c>
      <c r="H33" s="89">
        <v>0</v>
      </c>
      <c r="I33" s="89" t="s">
        <v>29</v>
      </c>
      <c r="J33" s="88" t="s">
        <v>96</v>
      </c>
    </row>
    <row r="34" spans="1:15" s="11" customFormat="1" ht="15.75" thickTop="1" x14ac:dyDescent="0.25">
      <c r="A34" s="15" t="s">
        <v>8</v>
      </c>
      <c r="B34" s="16">
        <f>SUM(B3:B33)</f>
        <v>0</v>
      </c>
      <c r="C34" s="16">
        <f t="shared" ref="C34:H34" si="1">SUM(C3:C33)</f>
        <v>11038</v>
      </c>
      <c r="D34" s="16">
        <f t="shared" si="1"/>
        <v>16.5</v>
      </c>
      <c r="E34" s="16">
        <f t="shared" si="1"/>
        <v>15054</v>
      </c>
      <c r="F34" s="17">
        <f t="shared" si="1"/>
        <v>0</v>
      </c>
      <c r="G34" s="17">
        <f t="shared" si="1"/>
        <v>0</v>
      </c>
      <c r="H34" s="16">
        <f t="shared" si="1"/>
        <v>0</v>
      </c>
      <c r="I34" s="17"/>
    </row>
    <row r="35" spans="1:15" s="11" customFormat="1" x14ac:dyDescent="0.25">
      <c r="A35" s="18" t="s">
        <v>9</v>
      </c>
      <c r="B35" s="19">
        <f>SUM(B34+'Jun 2023'!B34)</f>
        <v>327</v>
      </c>
      <c r="C35" s="19">
        <f>SUM(C34+'Jun 2023'!C34)</f>
        <v>26873</v>
      </c>
      <c r="D35" s="19">
        <f>SUM(D34+'Jun 2023'!D34)</f>
        <v>903.5</v>
      </c>
      <c r="E35" s="19">
        <f>SUM(E34+'Jun 2023'!E34)</f>
        <v>53773</v>
      </c>
      <c r="F35" s="20">
        <f>SUM(F34+'Jun 2023'!F34)</f>
        <v>10.14</v>
      </c>
      <c r="G35" s="20">
        <f>SUM(G34+'Jun 2023'!G34)</f>
        <v>25.5</v>
      </c>
      <c r="H35" s="19">
        <f>SUM(H34+'Jun 2023'!H34)</f>
        <v>0</v>
      </c>
      <c r="I35" s="20"/>
    </row>
    <row r="37" spans="1:15" x14ac:dyDescent="0.25">
      <c r="A37" t="s">
        <v>10</v>
      </c>
      <c r="B37" s="22">
        <f>SUM(B3:B33)*1.9835</f>
        <v>0</v>
      </c>
      <c r="C37" s="22">
        <f>SUM(C3:C33)*1.9835</f>
        <v>21893.873</v>
      </c>
      <c r="D37" s="22">
        <f>SUM(D3:D33)*1.9835</f>
        <v>32.72775</v>
      </c>
      <c r="E37" s="22">
        <f>SUM(E3:E33)*1.9835</f>
        <v>29859.609</v>
      </c>
      <c r="F37" s="22"/>
      <c r="G37" s="22"/>
      <c r="H37" s="22"/>
    </row>
    <row r="38" spans="1:15" x14ac:dyDescent="0.25">
      <c r="B38" s="22"/>
      <c r="C38" s="22"/>
      <c r="D38" s="22"/>
      <c r="E38" s="22"/>
      <c r="F38" s="22"/>
      <c r="G38" s="22"/>
      <c r="H38" s="22"/>
    </row>
    <row r="39" spans="1:15" x14ac:dyDescent="0.25">
      <c r="A39" t="s">
        <v>24</v>
      </c>
      <c r="B39" s="22">
        <f>SUM(B37+'Jun 2023'!B38)</f>
        <v>648.60450000000003</v>
      </c>
      <c r="C39" s="22">
        <f>SUM(C37+'Jun 2023'!C38)</f>
        <v>53302.595499999996</v>
      </c>
      <c r="D39" s="22">
        <f>SUM(D37+'Jun 2023'!D38)</f>
        <v>1792.0922500000001</v>
      </c>
      <c r="E39" s="22">
        <f>SUM(E37+'Jun 2023'!E38)</f>
        <v>112583.46</v>
      </c>
      <c r="F39" s="22"/>
      <c r="G39" s="22"/>
      <c r="H39" s="22"/>
    </row>
    <row r="41" spans="1:15" ht="17.45" customHeight="1" x14ac:dyDescent="0.25">
      <c r="A41" s="102"/>
      <c r="B41" s="102"/>
      <c r="C41" s="102"/>
      <c r="D41" s="102"/>
      <c r="E41" s="102"/>
      <c r="F41" s="102"/>
      <c r="G41" s="103"/>
      <c r="H41" s="104" t="s">
        <v>12</v>
      </c>
      <c r="I41" s="105"/>
      <c r="J41" s="26"/>
      <c r="K41" s="26"/>
      <c r="L41" s="26"/>
      <c r="M41" s="26"/>
      <c r="N41" s="27"/>
      <c r="O41" s="26"/>
    </row>
    <row r="42" spans="1:15" ht="16.899999999999999" customHeight="1" x14ac:dyDescent="0.25">
      <c r="A42" s="25"/>
      <c r="B42" s="25"/>
      <c r="C42" s="25"/>
      <c r="D42" s="25"/>
      <c r="E42" s="25"/>
      <c r="F42" s="25"/>
      <c r="G42" s="25"/>
      <c r="H42" s="104"/>
      <c r="I42" s="105"/>
      <c r="J42" s="26"/>
      <c r="K42" s="26"/>
      <c r="L42" s="26"/>
      <c r="M42" s="26"/>
      <c r="N42" s="27"/>
      <c r="O42" s="26"/>
    </row>
    <row r="43" spans="1:15" ht="13.9" customHeight="1" thickBot="1" x14ac:dyDescent="0.3">
      <c r="A43" s="106" t="s">
        <v>23</v>
      </c>
      <c r="B43" s="106"/>
      <c r="C43" s="106"/>
      <c r="D43" s="106"/>
      <c r="E43" s="106"/>
      <c r="F43" s="106"/>
      <c r="G43" s="106"/>
      <c r="H43" s="106"/>
      <c r="I43" s="106"/>
      <c r="J43" s="107"/>
      <c r="K43" s="28"/>
      <c r="L43" s="28"/>
      <c r="M43" s="28"/>
      <c r="N43" s="29"/>
      <c r="O43" s="28"/>
    </row>
    <row r="44" spans="1:15" ht="15.6" customHeight="1" x14ac:dyDescent="0.25">
      <c r="A44" s="37" t="s">
        <v>17</v>
      </c>
      <c r="B44" s="95"/>
      <c r="C44" s="31"/>
      <c r="D44" s="32"/>
      <c r="E44" s="32"/>
      <c r="F44" s="33"/>
      <c r="G44" s="34"/>
      <c r="H44" s="35"/>
      <c r="I44" s="36"/>
      <c r="J44" s="28"/>
      <c r="K44" s="28"/>
      <c r="L44" s="28"/>
      <c r="M44" s="28"/>
      <c r="N44" s="29"/>
    </row>
    <row r="45" spans="1:15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9"/>
    </row>
    <row r="46" spans="1:15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9"/>
    </row>
    <row r="47" spans="1:15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28"/>
      <c r="K47" s="28"/>
      <c r="L47" s="28"/>
      <c r="M47" s="28"/>
      <c r="N47" s="29"/>
    </row>
    <row r="48" spans="1:15" x14ac:dyDescent="0.25">
      <c r="A48" s="30"/>
      <c r="B48" s="96"/>
      <c r="C48" s="31"/>
      <c r="D48" s="32"/>
      <c r="E48" s="32"/>
      <c r="F48" s="38"/>
      <c r="G48" s="34">
        <f>SUM(24-E48)</f>
        <v>24</v>
      </c>
      <c r="H48" s="35">
        <f>SUM(D48+F48)</f>
        <v>0</v>
      </c>
      <c r="I48" s="36">
        <f>SUM(D48/24*E48+H48/24*G48)</f>
        <v>0</v>
      </c>
      <c r="J48" s="28"/>
      <c r="K48" s="28"/>
      <c r="L48" s="28"/>
      <c r="M48" s="28"/>
      <c r="N48" s="29"/>
    </row>
    <row r="49" spans="1:15" x14ac:dyDescent="0.25">
      <c r="A49" s="30"/>
      <c r="B49" s="96"/>
      <c r="C49" s="31"/>
      <c r="D49" s="32"/>
      <c r="E49" s="32"/>
      <c r="F49" s="38"/>
      <c r="G49" s="34">
        <f>SUM(24-E49)</f>
        <v>24</v>
      </c>
      <c r="H49" s="35">
        <f>SUM(D49+F49)</f>
        <v>0</v>
      </c>
      <c r="I49" s="36">
        <f>SUM(D49/24*E49+H49/24*G49)</f>
        <v>0</v>
      </c>
      <c r="J49" s="28"/>
      <c r="K49" s="28"/>
      <c r="L49" s="28"/>
      <c r="M49" s="28"/>
      <c r="N49" s="29"/>
    </row>
    <row r="50" spans="1:15" ht="13.15" customHeight="1" x14ac:dyDescent="0.25">
      <c r="A50" s="39"/>
      <c r="B50" s="39"/>
      <c r="C50" s="40"/>
      <c r="D50" s="40"/>
      <c r="E50" s="40"/>
      <c r="F50" s="40"/>
      <c r="G50" s="40"/>
      <c r="H50" s="41"/>
      <c r="I50" s="28"/>
      <c r="J50" s="28"/>
      <c r="K50" s="28"/>
      <c r="L50" s="28"/>
      <c r="M50" s="28"/>
      <c r="N50" s="29"/>
      <c r="O50" s="28"/>
    </row>
    <row r="51" spans="1:15" ht="15.75" thickBot="1" x14ac:dyDescent="0.3">
      <c r="A51" s="42" t="s">
        <v>18</v>
      </c>
      <c r="B51" s="42"/>
      <c r="C51" s="42"/>
      <c r="D51" s="42"/>
      <c r="E51" s="42"/>
      <c r="F51" s="43"/>
      <c r="G51" s="44"/>
      <c r="H51" s="41"/>
      <c r="I51" s="28"/>
      <c r="J51" s="28"/>
      <c r="K51" s="28"/>
      <c r="L51" s="28"/>
      <c r="M51" s="28"/>
      <c r="N51" s="29"/>
      <c r="O51" s="28"/>
    </row>
    <row r="52" spans="1:15" ht="26.25" x14ac:dyDescent="0.25">
      <c r="A52" s="45" t="s">
        <v>19</v>
      </c>
      <c r="B52" s="97"/>
      <c r="C52" s="46" t="s">
        <v>13</v>
      </c>
      <c r="D52" s="47" t="s">
        <v>14</v>
      </c>
      <c r="E52" s="47" t="s">
        <v>15</v>
      </c>
      <c r="F52" s="48" t="s">
        <v>16</v>
      </c>
      <c r="G52" s="49" t="s">
        <v>20</v>
      </c>
      <c r="H52" s="50"/>
      <c r="I52" s="51"/>
      <c r="J52" s="52"/>
    </row>
    <row r="53" spans="1:15" ht="15.75" x14ac:dyDescent="0.25">
      <c r="A53" s="53"/>
      <c r="B53" s="98"/>
      <c r="C53" s="54"/>
      <c r="D53" s="55"/>
      <c r="E53" s="56"/>
      <c r="F53" s="57"/>
      <c r="G53" s="58">
        <f>SUM(D53/24*E53)</f>
        <v>0</v>
      </c>
      <c r="H53" s="59"/>
      <c r="I53" s="60"/>
      <c r="J53" s="61"/>
    </row>
    <row r="54" spans="1:15" x14ac:dyDescent="0.25">
      <c r="A54" s="62"/>
      <c r="B54" s="99"/>
      <c r="C54" s="63"/>
      <c r="D54" s="64"/>
      <c r="E54" s="56"/>
      <c r="F54" s="65"/>
      <c r="G54" s="66">
        <f>SUM(D54/24*E54)</f>
        <v>0</v>
      </c>
      <c r="H54" s="59"/>
      <c r="I54" s="60"/>
    </row>
    <row r="55" spans="1:15" x14ac:dyDescent="0.25">
      <c r="A55" s="62"/>
      <c r="B55" s="99"/>
      <c r="C55" s="63"/>
      <c r="D55" s="64"/>
      <c r="E55" s="56"/>
      <c r="F55" s="67"/>
      <c r="G55" s="66">
        <f>SUM(D55/24*E55)</f>
        <v>0</v>
      </c>
      <c r="H55" s="59"/>
      <c r="I55" s="60"/>
    </row>
    <row r="56" spans="1:15" x14ac:dyDescent="0.25">
      <c r="A56" s="62"/>
      <c r="B56" s="99"/>
      <c r="C56" s="63"/>
      <c r="D56" s="64"/>
      <c r="E56" s="56"/>
      <c r="F56" s="67"/>
      <c r="G56" s="66">
        <f>SUM(D56/24*E56)</f>
        <v>0</v>
      </c>
      <c r="H56" s="59"/>
      <c r="I56" s="60"/>
    </row>
    <row r="57" spans="1:15" ht="15.75" thickBot="1" x14ac:dyDescent="0.3">
      <c r="A57" s="68"/>
      <c r="B57" s="100"/>
      <c r="C57" s="69"/>
      <c r="D57" s="70"/>
      <c r="E57" s="71"/>
      <c r="F57" s="70"/>
      <c r="G57" s="72">
        <f>SUM(D57/24*E57)</f>
        <v>0</v>
      </c>
      <c r="H57" s="59"/>
      <c r="I57" s="60"/>
    </row>
    <row r="58" spans="1:15" s="78" customFormat="1" ht="30" customHeight="1" x14ac:dyDescent="0.25">
      <c r="A58" s="108" t="s">
        <v>21</v>
      </c>
      <c r="B58" s="109"/>
      <c r="C58" s="109"/>
      <c r="D58" s="110"/>
      <c r="E58" s="73">
        <f>SUM(E53:E57)</f>
        <v>0</v>
      </c>
      <c r="F58" s="74" t="s">
        <v>22</v>
      </c>
      <c r="G58" s="75">
        <f>SUM(G53:G57)</f>
        <v>0</v>
      </c>
      <c r="H58" s="76"/>
      <c r="I58" s="77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5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31" sqref="L31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32.140625" bestFit="1" customWidth="1"/>
  </cols>
  <sheetData>
    <row r="1" spans="1:10" s="1" customFormat="1" ht="30" x14ac:dyDescent="0.25">
      <c r="A1" s="81" t="s">
        <v>0</v>
      </c>
      <c r="B1" s="9" t="s">
        <v>28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0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79"/>
    </row>
    <row r="3" spans="1:10" x14ac:dyDescent="0.25">
      <c r="A3" s="24">
        <v>45078</v>
      </c>
      <c r="B3" s="89">
        <v>0</v>
      </c>
      <c r="C3" s="89">
        <v>150</v>
      </c>
      <c r="D3" s="89">
        <v>0</v>
      </c>
      <c r="E3" s="89">
        <v>346</v>
      </c>
      <c r="F3" s="89">
        <v>0.03</v>
      </c>
      <c r="G3" s="89">
        <v>0</v>
      </c>
      <c r="H3" s="89">
        <v>0</v>
      </c>
      <c r="I3" s="89" t="s">
        <v>29</v>
      </c>
      <c r="J3" s="91"/>
    </row>
    <row r="4" spans="1:10" x14ac:dyDescent="0.25">
      <c r="A4" s="24">
        <f>A3+1</f>
        <v>45079</v>
      </c>
      <c r="B4" s="89">
        <v>0</v>
      </c>
      <c r="C4" s="89">
        <v>134</v>
      </c>
      <c r="D4" s="89">
        <v>0</v>
      </c>
      <c r="E4" s="89">
        <v>368</v>
      </c>
      <c r="F4" s="89">
        <v>0</v>
      </c>
      <c r="G4" s="89">
        <v>0</v>
      </c>
      <c r="H4" s="89">
        <v>0</v>
      </c>
      <c r="I4" s="89" t="s">
        <v>29</v>
      </c>
      <c r="J4" s="91" t="s">
        <v>54</v>
      </c>
    </row>
    <row r="5" spans="1:10" x14ac:dyDescent="0.25">
      <c r="A5" s="24">
        <f t="shared" ref="A5:A32" si="0">A4+1</f>
        <v>45080</v>
      </c>
      <c r="B5" s="89">
        <v>0</v>
      </c>
      <c r="C5" s="89">
        <v>135</v>
      </c>
      <c r="D5" s="89">
        <v>0</v>
      </c>
      <c r="E5" s="89">
        <v>364</v>
      </c>
      <c r="F5" s="89">
        <v>0</v>
      </c>
      <c r="G5" s="89">
        <v>0</v>
      </c>
      <c r="H5" s="89">
        <v>0</v>
      </c>
      <c r="I5" s="89" t="s">
        <v>29</v>
      </c>
      <c r="J5" s="91" t="s">
        <v>55</v>
      </c>
    </row>
    <row r="6" spans="1:10" x14ac:dyDescent="0.25">
      <c r="A6" s="24">
        <f t="shared" si="0"/>
        <v>45081</v>
      </c>
      <c r="B6" s="89">
        <v>0</v>
      </c>
      <c r="C6" s="89">
        <v>150</v>
      </c>
      <c r="D6" s="89">
        <v>0</v>
      </c>
      <c r="E6" s="89">
        <v>363</v>
      </c>
      <c r="F6" s="89">
        <v>0</v>
      </c>
      <c r="G6" s="89">
        <v>0</v>
      </c>
      <c r="H6" s="89">
        <v>0</v>
      </c>
      <c r="I6" s="89" t="s">
        <v>29</v>
      </c>
      <c r="J6" s="91"/>
    </row>
    <row r="7" spans="1:10" x14ac:dyDescent="0.25">
      <c r="A7" s="24">
        <f t="shared" si="0"/>
        <v>45082</v>
      </c>
      <c r="B7" s="89">
        <v>0</v>
      </c>
      <c r="C7" s="89">
        <v>166</v>
      </c>
      <c r="D7" s="89">
        <v>0</v>
      </c>
      <c r="E7" s="89">
        <v>376</v>
      </c>
      <c r="F7" s="89">
        <v>0.02</v>
      </c>
      <c r="G7" s="89">
        <v>0</v>
      </c>
      <c r="H7" s="89">
        <v>0</v>
      </c>
      <c r="I7" s="89" t="s">
        <v>29</v>
      </c>
      <c r="J7" s="91" t="s">
        <v>56</v>
      </c>
    </row>
    <row r="8" spans="1:10" x14ac:dyDescent="0.25">
      <c r="A8" s="24">
        <f t="shared" si="0"/>
        <v>45083</v>
      </c>
      <c r="B8" s="89">
        <v>0</v>
      </c>
      <c r="C8" s="89">
        <v>200</v>
      </c>
      <c r="D8" s="89">
        <v>0</v>
      </c>
      <c r="E8" s="89">
        <v>401</v>
      </c>
      <c r="F8" s="89">
        <v>0</v>
      </c>
      <c r="G8" s="89">
        <v>0</v>
      </c>
      <c r="H8" s="89">
        <v>0</v>
      </c>
      <c r="I8" s="89" t="s">
        <v>29</v>
      </c>
      <c r="J8" s="91"/>
    </row>
    <row r="9" spans="1:10" x14ac:dyDescent="0.25">
      <c r="A9" s="24">
        <f t="shared" si="0"/>
        <v>45084</v>
      </c>
      <c r="B9" s="89">
        <v>0</v>
      </c>
      <c r="C9" s="89">
        <v>167</v>
      </c>
      <c r="D9" s="89">
        <v>0</v>
      </c>
      <c r="E9" s="89">
        <v>388</v>
      </c>
      <c r="F9" s="89">
        <v>0.02</v>
      </c>
      <c r="G9" s="89">
        <v>0</v>
      </c>
      <c r="H9" s="89">
        <v>0</v>
      </c>
      <c r="I9" s="89" t="s">
        <v>29</v>
      </c>
      <c r="J9" s="91" t="s">
        <v>57</v>
      </c>
    </row>
    <row r="10" spans="1:10" x14ac:dyDescent="0.25">
      <c r="A10" s="24">
        <f t="shared" si="0"/>
        <v>45085</v>
      </c>
      <c r="B10" s="89">
        <v>0</v>
      </c>
      <c r="C10" s="89">
        <v>190</v>
      </c>
      <c r="D10" s="89">
        <v>0</v>
      </c>
      <c r="E10" s="89">
        <v>395</v>
      </c>
      <c r="F10" s="89">
        <v>0.24</v>
      </c>
      <c r="G10" s="89">
        <v>0</v>
      </c>
      <c r="H10" s="89">
        <v>0</v>
      </c>
      <c r="I10" s="89" t="s">
        <v>29</v>
      </c>
      <c r="J10" s="91" t="s">
        <v>58</v>
      </c>
    </row>
    <row r="11" spans="1:10" x14ac:dyDescent="0.25">
      <c r="A11" s="24">
        <f t="shared" si="0"/>
        <v>45086</v>
      </c>
      <c r="B11" s="89">
        <v>0</v>
      </c>
      <c r="C11" s="89">
        <v>200</v>
      </c>
      <c r="D11" s="89">
        <v>0</v>
      </c>
      <c r="E11" s="89">
        <v>367</v>
      </c>
      <c r="F11" s="89">
        <v>0.05</v>
      </c>
      <c r="G11" s="89">
        <v>0</v>
      </c>
      <c r="H11" s="89">
        <v>0</v>
      </c>
      <c r="I11" s="89" t="s">
        <v>29</v>
      </c>
      <c r="J11" s="91"/>
    </row>
    <row r="12" spans="1:10" x14ac:dyDescent="0.25">
      <c r="A12" s="24">
        <f t="shared" si="0"/>
        <v>45087</v>
      </c>
      <c r="B12" s="89">
        <v>0</v>
      </c>
      <c r="C12" s="89">
        <v>188</v>
      </c>
      <c r="D12" s="89">
        <v>0</v>
      </c>
      <c r="E12" s="89">
        <v>327</v>
      </c>
      <c r="F12" s="89">
        <v>0.02</v>
      </c>
      <c r="G12" s="89">
        <v>0</v>
      </c>
      <c r="H12" s="89">
        <v>0</v>
      </c>
      <c r="I12" s="89" t="s">
        <v>29</v>
      </c>
      <c r="J12" s="91" t="s">
        <v>59</v>
      </c>
    </row>
    <row r="13" spans="1:10" x14ac:dyDescent="0.25">
      <c r="A13" s="24">
        <f t="shared" si="0"/>
        <v>45088</v>
      </c>
      <c r="B13" s="89">
        <v>0</v>
      </c>
      <c r="C13" s="89">
        <v>129</v>
      </c>
      <c r="D13" s="89">
        <v>0</v>
      </c>
      <c r="E13" s="89">
        <v>316</v>
      </c>
      <c r="F13" s="89">
        <v>0</v>
      </c>
      <c r="G13" s="89">
        <v>0</v>
      </c>
      <c r="H13" s="89">
        <v>0</v>
      </c>
      <c r="I13" s="89" t="s">
        <v>29</v>
      </c>
      <c r="J13" s="91" t="s">
        <v>60</v>
      </c>
    </row>
    <row r="14" spans="1:10" x14ac:dyDescent="0.25">
      <c r="A14" s="24">
        <f t="shared" si="0"/>
        <v>45089</v>
      </c>
      <c r="B14" s="89">
        <v>0</v>
      </c>
      <c r="C14" s="89">
        <v>129</v>
      </c>
      <c r="D14" s="89">
        <v>0</v>
      </c>
      <c r="E14" s="89">
        <v>334</v>
      </c>
      <c r="F14" s="89">
        <v>0.01</v>
      </c>
      <c r="G14" s="89">
        <v>0</v>
      </c>
      <c r="H14" s="89">
        <v>0</v>
      </c>
      <c r="I14" s="89" t="s">
        <v>29</v>
      </c>
      <c r="J14" s="91" t="s">
        <v>61</v>
      </c>
    </row>
    <row r="15" spans="1:10" x14ac:dyDescent="0.25">
      <c r="A15" s="24">
        <f t="shared" si="0"/>
        <v>45090</v>
      </c>
      <c r="B15" s="89">
        <v>0</v>
      </c>
      <c r="C15" s="89">
        <v>171</v>
      </c>
      <c r="D15" s="89">
        <v>0</v>
      </c>
      <c r="E15" s="89">
        <v>363</v>
      </c>
      <c r="F15" s="89">
        <v>0</v>
      </c>
      <c r="G15" s="89">
        <v>0</v>
      </c>
      <c r="H15" s="89">
        <v>0</v>
      </c>
      <c r="I15" s="89" t="s">
        <v>29</v>
      </c>
      <c r="J15" s="91" t="s">
        <v>62</v>
      </c>
    </row>
    <row r="16" spans="1:10" x14ac:dyDescent="0.25">
      <c r="A16" s="24">
        <f t="shared" si="0"/>
        <v>45091</v>
      </c>
      <c r="B16" s="89">
        <v>0</v>
      </c>
      <c r="C16" s="89">
        <v>248</v>
      </c>
      <c r="D16" s="89">
        <v>0</v>
      </c>
      <c r="E16" s="89">
        <v>380</v>
      </c>
      <c r="F16" s="89">
        <v>0</v>
      </c>
      <c r="G16" s="89">
        <v>0</v>
      </c>
      <c r="H16" s="89">
        <v>0</v>
      </c>
      <c r="I16" s="89" t="s">
        <v>29</v>
      </c>
      <c r="J16" s="91" t="s">
        <v>63</v>
      </c>
    </row>
    <row r="17" spans="1:10" x14ac:dyDescent="0.25">
      <c r="A17" s="24">
        <f t="shared" si="0"/>
        <v>45092</v>
      </c>
      <c r="B17" s="89">
        <v>0</v>
      </c>
      <c r="C17" s="89">
        <v>269</v>
      </c>
      <c r="D17" s="89">
        <v>0</v>
      </c>
      <c r="E17" s="89">
        <v>397</v>
      </c>
      <c r="F17" s="89">
        <v>0</v>
      </c>
      <c r="G17" s="89">
        <v>0</v>
      </c>
      <c r="H17" s="89">
        <v>0</v>
      </c>
      <c r="I17" s="89" t="s">
        <v>29</v>
      </c>
      <c r="J17" s="91" t="s">
        <v>64</v>
      </c>
    </row>
    <row r="18" spans="1:10" x14ac:dyDescent="0.25">
      <c r="A18" s="24">
        <f t="shared" si="0"/>
        <v>45093</v>
      </c>
      <c r="B18" s="89">
        <v>0</v>
      </c>
      <c r="C18" s="89">
        <v>250</v>
      </c>
      <c r="D18" s="89">
        <v>0</v>
      </c>
      <c r="E18" s="89">
        <v>434</v>
      </c>
      <c r="F18" s="89">
        <v>0</v>
      </c>
      <c r="G18" s="89">
        <v>0</v>
      </c>
      <c r="H18" s="89">
        <v>0</v>
      </c>
      <c r="I18" s="89" t="s">
        <v>29</v>
      </c>
      <c r="J18" s="91"/>
    </row>
    <row r="19" spans="1:10" x14ac:dyDescent="0.25">
      <c r="A19" s="24">
        <f t="shared" si="0"/>
        <v>45094</v>
      </c>
      <c r="B19" s="89">
        <v>0</v>
      </c>
      <c r="C19" s="89">
        <v>260</v>
      </c>
      <c r="D19" s="89">
        <v>0</v>
      </c>
      <c r="E19" s="89">
        <v>468</v>
      </c>
      <c r="F19" s="89">
        <v>0</v>
      </c>
      <c r="G19" s="89">
        <v>0</v>
      </c>
      <c r="H19" s="89">
        <v>0</v>
      </c>
      <c r="I19" s="89" t="s">
        <v>29</v>
      </c>
      <c r="J19" s="91" t="s">
        <v>65</v>
      </c>
    </row>
    <row r="20" spans="1:10" x14ac:dyDescent="0.25">
      <c r="A20" s="24">
        <f t="shared" si="0"/>
        <v>45095</v>
      </c>
      <c r="B20" s="89">
        <v>0</v>
      </c>
      <c r="C20" s="89">
        <v>269</v>
      </c>
      <c r="D20" s="89">
        <v>0</v>
      </c>
      <c r="E20" s="89">
        <v>447</v>
      </c>
      <c r="F20" s="89">
        <v>0</v>
      </c>
      <c r="G20" s="89">
        <v>0</v>
      </c>
      <c r="H20" s="89">
        <v>0</v>
      </c>
      <c r="I20" s="89" t="s">
        <v>29</v>
      </c>
      <c r="J20" s="91" t="s">
        <v>66</v>
      </c>
    </row>
    <row r="21" spans="1:10" x14ac:dyDescent="0.25">
      <c r="A21" s="24">
        <f t="shared" si="0"/>
        <v>45096</v>
      </c>
      <c r="B21" s="89">
        <v>0</v>
      </c>
      <c r="C21" s="89">
        <v>229</v>
      </c>
      <c r="D21" s="89">
        <v>4</v>
      </c>
      <c r="E21" s="89">
        <v>448</v>
      </c>
      <c r="F21" s="89">
        <v>0</v>
      </c>
      <c r="G21" s="89">
        <v>0</v>
      </c>
      <c r="H21" s="89">
        <v>0</v>
      </c>
      <c r="I21" s="89" t="s">
        <v>29</v>
      </c>
      <c r="J21" s="91" t="s">
        <v>67</v>
      </c>
    </row>
    <row r="22" spans="1:10" x14ac:dyDescent="0.25">
      <c r="A22" s="24">
        <f t="shared" si="0"/>
        <v>45097</v>
      </c>
      <c r="B22" s="89">
        <v>0</v>
      </c>
      <c r="C22" s="89">
        <v>200</v>
      </c>
      <c r="D22" s="89">
        <v>0</v>
      </c>
      <c r="E22" s="89">
        <v>446</v>
      </c>
      <c r="F22" s="89">
        <v>0.01</v>
      </c>
      <c r="G22" s="89">
        <v>0</v>
      </c>
      <c r="H22" s="89">
        <v>0</v>
      </c>
      <c r="I22" s="89" t="s">
        <v>29</v>
      </c>
      <c r="J22" s="91"/>
    </row>
    <row r="23" spans="1:10" x14ac:dyDescent="0.25">
      <c r="A23" s="24">
        <f t="shared" si="0"/>
        <v>45098</v>
      </c>
      <c r="B23" s="89">
        <v>0</v>
      </c>
      <c r="C23" s="89">
        <v>244</v>
      </c>
      <c r="D23" s="89">
        <v>0</v>
      </c>
      <c r="E23" s="89">
        <v>419</v>
      </c>
      <c r="F23" s="89">
        <v>0</v>
      </c>
      <c r="G23" s="89">
        <v>0</v>
      </c>
      <c r="H23" s="89">
        <v>0</v>
      </c>
      <c r="I23" s="89" t="s">
        <v>29</v>
      </c>
      <c r="J23" s="88" t="s">
        <v>68</v>
      </c>
    </row>
    <row r="24" spans="1:10" x14ac:dyDescent="0.25">
      <c r="A24" s="24">
        <f t="shared" si="0"/>
        <v>45099</v>
      </c>
      <c r="B24" s="89">
        <v>0</v>
      </c>
      <c r="C24" s="89">
        <v>250</v>
      </c>
      <c r="D24" s="89">
        <v>0</v>
      </c>
      <c r="E24" s="89">
        <v>414</v>
      </c>
      <c r="F24" s="89">
        <v>0</v>
      </c>
      <c r="G24" s="89">
        <v>0</v>
      </c>
      <c r="H24" s="89">
        <v>0</v>
      </c>
      <c r="I24" s="89" t="s">
        <v>29</v>
      </c>
      <c r="J24" s="88"/>
    </row>
    <row r="25" spans="1:10" x14ac:dyDescent="0.25">
      <c r="A25" s="24">
        <f t="shared" si="0"/>
        <v>45100</v>
      </c>
      <c r="B25" s="89">
        <v>0</v>
      </c>
      <c r="C25" s="89">
        <v>285</v>
      </c>
      <c r="D25" s="89">
        <v>0</v>
      </c>
      <c r="E25" s="89">
        <v>456</v>
      </c>
      <c r="F25" s="89">
        <v>0</v>
      </c>
      <c r="G25" s="89">
        <v>0</v>
      </c>
      <c r="H25" s="89">
        <v>0</v>
      </c>
      <c r="I25" s="89" t="s">
        <v>29</v>
      </c>
      <c r="J25" s="88" t="s">
        <v>69</v>
      </c>
    </row>
    <row r="26" spans="1:10" x14ac:dyDescent="0.25">
      <c r="A26" s="24">
        <f t="shared" si="0"/>
        <v>45101</v>
      </c>
      <c r="B26" s="89">
        <v>0</v>
      </c>
      <c r="C26" s="89">
        <v>391</v>
      </c>
      <c r="D26" s="89">
        <v>0</v>
      </c>
      <c r="E26" s="89">
        <v>496</v>
      </c>
      <c r="F26" s="89">
        <v>0</v>
      </c>
      <c r="G26" s="89">
        <v>0</v>
      </c>
      <c r="H26" s="89">
        <v>0</v>
      </c>
      <c r="I26" s="89" t="s">
        <v>29</v>
      </c>
      <c r="J26" s="88" t="s">
        <v>70</v>
      </c>
    </row>
    <row r="27" spans="1:10" x14ac:dyDescent="0.25">
      <c r="A27" s="24">
        <f t="shared" si="0"/>
        <v>45102</v>
      </c>
      <c r="B27" s="89">
        <v>0</v>
      </c>
      <c r="C27" s="89">
        <v>435</v>
      </c>
      <c r="D27" s="89">
        <v>0</v>
      </c>
      <c r="E27" s="89">
        <v>541</v>
      </c>
      <c r="F27" s="89">
        <v>0.04</v>
      </c>
      <c r="G27" s="89">
        <v>0</v>
      </c>
      <c r="H27" s="89">
        <v>0</v>
      </c>
      <c r="I27" s="89" t="s">
        <v>29</v>
      </c>
      <c r="J27" s="88" t="s">
        <v>71</v>
      </c>
    </row>
    <row r="28" spans="1:10" x14ac:dyDescent="0.25">
      <c r="A28" s="24">
        <f t="shared" si="0"/>
        <v>45103</v>
      </c>
      <c r="B28" s="89">
        <v>0</v>
      </c>
      <c r="C28" s="89">
        <v>475</v>
      </c>
      <c r="D28" s="89">
        <v>0</v>
      </c>
      <c r="E28" s="89">
        <v>617</v>
      </c>
      <c r="F28" s="89">
        <v>0</v>
      </c>
      <c r="G28" s="89">
        <v>0</v>
      </c>
      <c r="H28" s="89">
        <v>0</v>
      </c>
      <c r="I28" s="89" t="s">
        <v>29</v>
      </c>
      <c r="J28" s="88" t="s">
        <v>72</v>
      </c>
    </row>
    <row r="29" spans="1:10" x14ac:dyDescent="0.25">
      <c r="A29" s="24">
        <f t="shared" si="0"/>
        <v>45104</v>
      </c>
      <c r="B29" s="89">
        <v>0</v>
      </c>
      <c r="C29" s="89">
        <v>500</v>
      </c>
      <c r="D29" s="89">
        <v>0</v>
      </c>
      <c r="E29" s="89">
        <v>618</v>
      </c>
      <c r="F29" s="89">
        <v>0.01</v>
      </c>
      <c r="G29" s="89">
        <v>0</v>
      </c>
      <c r="H29" s="89">
        <v>0</v>
      </c>
      <c r="I29" s="89" t="s">
        <v>29</v>
      </c>
      <c r="J29" s="88"/>
    </row>
    <row r="30" spans="1:10" x14ac:dyDescent="0.25">
      <c r="A30" s="24">
        <f t="shared" si="0"/>
        <v>45105</v>
      </c>
      <c r="B30" s="89">
        <v>0</v>
      </c>
      <c r="C30" s="89">
        <v>483</v>
      </c>
      <c r="D30" s="89">
        <v>0</v>
      </c>
      <c r="E30" s="89">
        <v>621</v>
      </c>
      <c r="F30" s="89">
        <v>0</v>
      </c>
      <c r="G30" s="89">
        <v>0</v>
      </c>
      <c r="H30" s="89">
        <v>0</v>
      </c>
      <c r="I30" s="89" t="s">
        <v>29</v>
      </c>
      <c r="J30" s="88" t="s">
        <v>73</v>
      </c>
    </row>
    <row r="31" spans="1:10" x14ac:dyDescent="0.25">
      <c r="A31" s="24">
        <f t="shared" si="0"/>
        <v>45106</v>
      </c>
      <c r="B31" s="89">
        <v>0</v>
      </c>
      <c r="C31" s="89">
        <v>471</v>
      </c>
      <c r="D31" s="89">
        <v>0</v>
      </c>
      <c r="E31" s="89">
        <v>630</v>
      </c>
      <c r="F31" s="89">
        <v>0</v>
      </c>
      <c r="G31" s="89">
        <v>0</v>
      </c>
      <c r="H31" s="89">
        <v>0</v>
      </c>
      <c r="I31" s="89" t="s">
        <v>29</v>
      </c>
      <c r="J31" s="88" t="s">
        <v>74</v>
      </c>
    </row>
    <row r="32" spans="1:10" ht="15.75" thickBot="1" x14ac:dyDescent="0.3">
      <c r="A32" s="24">
        <f t="shared" si="0"/>
        <v>45107</v>
      </c>
      <c r="B32" s="89">
        <v>0</v>
      </c>
      <c r="C32" s="89">
        <v>500</v>
      </c>
      <c r="D32" s="89">
        <v>4</v>
      </c>
      <c r="E32" s="89">
        <v>650</v>
      </c>
      <c r="F32" s="89">
        <v>0</v>
      </c>
      <c r="G32" s="89">
        <v>0</v>
      </c>
      <c r="H32" s="89">
        <v>0</v>
      </c>
      <c r="I32" s="89" t="s">
        <v>29</v>
      </c>
      <c r="J32" s="88"/>
    </row>
    <row r="33" spans="1:15" s="11" customFormat="1" ht="15.75" thickTop="1" x14ac:dyDescent="0.25">
      <c r="A33" s="15" t="s">
        <v>8</v>
      </c>
      <c r="B33" s="16">
        <f>SUM(B3:B32)</f>
        <v>0</v>
      </c>
      <c r="C33" s="16">
        <f t="shared" ref="C33:H33" si="1">SUM(C3:C32)</f>
        <v>7868</v>
      </c>
      <c r="D33" s="16">
        <f t="shared" si="1"/>
        <v>8</v>
      </c>
      <c r="E33" s="16">
        <f t="shared" si="1"/>
        <v>13190</v>
      </c>
      <c r="F33" s="17">
        <f t="shared" si="1"/>
        <v>0.45</v>
      </c>
      <c r="G33" s="17">
        <f t="shared" si="1"/>
        <v>0</v>
      </c>
      <c r="H33" s="16">
        <f t="shared" si="1"/>
        <v>0</v>
      </c>
      <c r="I33" s="17"/>
    </row>
    <row r="34" spans="1:15" s="11" customFormat="1" x14ac:dyDescent="0.25">
      <c r="A34" s="18" t="s">
        <v>9</v>
      </c>
      <c r="B34" s="19">
        <f>SUM(B33+'May 2023'!B35)</f>
        <v>327</v>
      </c>
      <c r="C34" s="19">
        <f>SUM(C33+'May 2023'!C35)</f>
        <v>15835</v>
      </c>
      <c r="D34" s="19">
        <f>SUM(D33+'May 2023'!D35)</f>
        <v>887</v>
      </c>
      <c r="E34" s="19">
        <f>SUM(E33+'May 2023'!E35)</f>
        <v>38719</v>
      </c>
      <c r="F34" s="20">
        <f>SUM(F33+'May 2023'!F35)</f>
        <v>10.14</v>
      </c>
      <c r="G34" s="20">
        <f>SUM(G33+'May 2023'!G35)</f>
        <v>25.5</v>
      </c>
      <c r="H34" s="19">
        <f>SUM(H33+'May 2023'!H35)</f>
        <v>0</v>
      </c>
      <c r="I34" s="20"/>
    </row>
    <row r="36" spans="1:15" x14ac:dyDescent="0.25">
      <c r="A36" t="s">
        <v>10</v>
      </c>
      <c r="B36" s="22">
        <f>SUM(B3:B32)*1.9835</f>
        <v>0</v>
      </c>
      <c r="C36" s="22">
        <f>SUM(C3:C32)*1.9835</f>
        <v>15606.178</v>
      </c>
      <c r="D36" s="22">
        <f>SUM(D3:D32)*1.9835</f>
        <v>15.868</v>
      </c>
      <c r="E36" s="22">
        <f>SUM(E3:E32)*1.9835</f>
        <v>26162.365000000002</v>
      </c>
      <c r="F36" s="22"/>
      <c r="G36" s="22"/>
      <c r="H36" s="22"/>
      <c r="J36" s="21"/>
    </row>
    <row r="38" spans="1:15" x14ac:dyDescent="0.25">
      <c r="A38" t="s">
        <v>24</v>
      </c>
      <c r="B38" s="22">
        <f>SUM(B36+'May 2023'!B39)</f>
        <v>648.60450000000003</v>
      </c>
      <c r="C38" s="22">
        <f>SUM(C36+'May 2023'!C39)</f>
        <v>31408.7225</v>
      </c>
      <c r="D38" s="22">
        <f>SUM(D36+'May 2023'!D39)</f>
        <v>1759.3645000000001</v>
      </c>
      <c r="E38" s="22">
        <f>SUM(E36+'May 2023'!E39)</f>
        <v>82723.85100000001</v>
      </c>
      <c r="F38" s="22"/>
      <c r="G38" s="22"/>
      <c r="H38" s="22"/>
      <c r="J38" s="21"/>
    </row>
    <row r="40" spans="1:15" ht="17.45" customHeight="1" x14ac:dyDescent="0.25">
      <c r="A40" s="102"/>
      <c r="B40" s="102"/>
      <c r="C40" s="102"/>
      <c r="D40" s="102"/>
      <c r="E40" s="102"/>
      <c r="F40" s="102"/>
      <c r="G40" s="103"/>
      <c r="H40" s="104" t="s">
        <v>12</v>
      </c>
      <c r="I40" s="105"/>
      <c r="J40" s="26"/>
      <c r="K40" s="26"/>
      <c r="L40" s="26"/>
      <c r="M40" s="26"/>
      <c r="N40" s="27"/>
      <c r="O40" s="26"/>
    </row>
    <row r="41" spans="1:15" ht="16.899999999999999" customHeight="1" x14ac:dyDescent="0.25">
      <c r="A41" s="25"/>
      <c r="B41" s="25"/>
      <c r="C41" s="25"/>
      <c r="D41" s="25"/>
      <c r="E41" s="25"/>
      <c r="F41" s="25"/>
      <c r="G41" s="25"/>
      <c r="H41" s="104"/>
      <c r="I41" s="105"/>
      <c r="J41" s="26"/>
      <c r="K41" s="26"/>
      <c r="L41" s="26"/>
      <c r="M41" s="26"/>
      <c r="N41" s="27"/>
      <c r="O41" s="26"/>
    </row>
    <row r="42" spans="1:15" ht="13.9" customHeight="1" thickBot="1" x14ac:dyDescent="0.3">
      <c r="A42" s="106" t="s">
        <v>23</v>
      </c>
      <c r="B42" s="106"/>
      <c r="C42" s="106"/>
      <c r="D42" s="106"/>
      <c r="E42" s="106"/>
      <c r="F42" s="106"/>
      <c r="G42" s="106"/>
      <c r="H42" s="106"/>
      <c r="I42" s="106"/>
      <c r="J42" s="107"/>
      <c r="K42" s="28"/>
      <c r="L42" s="28"/>
      <c r="M42" s="28"/>
      <c r="N42" s="29"/>
      <c r="O42" s="28"/>
    </row>
    <row r="43" spans="1:15" ht="15.6" customHeight="1" x14ac:dyDescent="0.25">
      <c r="A43" s="37" t="s">
        <v>17</v>
      </c>
      <c r="B43" s="95"/>
      <c r="C43" s="31"/>
      <c r="D43" s="32"/>
      <c r="E43" s="32"/>
      <c r="F43" s="33"/>
      <c r="G43" s="34"/>
      <c r="H43" s="35"/>
      <c r="I43" s="36"/>
      <c r="J43" s="28"/>
      <c r="K43" s="28"/>
      <c r="L43" s="28"/>
      <c r="M43" s="28"/>
      <c r="N43" s="29"/>
    </row>
    <row r="44" spans="1:15" x14ac:dyDescent="0.25">
      <c r="A44" s="30"/>
      <c r="B44" s="96"/>
      <c r="C44" s="31"/>
      <c r="D44" s="32"/>
      <c r="E44" s="32"/>
      <c r="F44" s="38"/>
      <c r="G44" s="34">
        <f>SUM(24-E44)</f>
        <v>24</v>
      </c>
      <c r="H44" s="35">
        <f>SUM(D44+F44)</f>
        <v>0</v>
      </c>
      <c r="I44" s="36">
        <f>SUM(D44/24*E44+H44/24*G44)</f>
        <v>0</v>
      </c>
      <c r="J44" s="28"/>
      <c r="K44" s="28"/>
      <c r="L44" s="28"/>
      <c r="M44" s="28"/>
      <c r="N44" s="29"/>
    </row>
    <row r="45" spans="1:15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9"/>
    </row>
    <row r="46" spans="1:15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9"/>
    </row>
    <row r="47" spans="1:15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28"/>
      <c r="K47" s="28"/>
      <c r="L47" s="28"/>
      <c r="M47" s="28"/>
      <c r="N47" s="29"/>
    </row>
    <row r="48" spans="1:15" x14ac:dyDescent="0.25">
      <c r="A48" s="30"/>
      <c r="B48" s="96"/>
      <c r="C48" s="31"/>
      <c r="D48" s="32"/>
      <c r="E48" s="32"/>
      <c r="F48" s="38"/>
      <c r="G48" s="34">
        <f>SUM(24-E48)</f>
        <v>24</v>
      </c>
      <c r="H48" s="35">
        <f>SUM(D48+F48)</f>
        <v>0</v>
      </c>
      <c r="I48" s="36">
        <f>SUM(D48/24*E48+H48/24*G48)</f>
        <v>0</v>
      </c>
      <c r="J48" s="28"/>
      <c r="K48" s="28"/>
      <c r="L48" s="28"/>
      <c r="M48" s="28"/>
      <c r="N48" s="29"/>
    </row>
    <row r="49" spans="1:15" ht="13.15" customHeight="1" x14ac:dyDescent="0.25">
      <c r="A49" s="39"/>
      <c r="B49" s="39"/>
      <c r="C49" s="40"/>
      <c r="D49" s="40"/>
      <c r="E49" s="40"/>
      <c r="F49" s="40"/>
      <c r="G49" s="40"/>
      <c r="H49" s="41"/>
      <c r="I49" s="28"/>
      <c r="J49" s="28"/>
      <c r="K49" s="28"/>
      <c r="L49" s="28"/>
      <c r="M49" s="28"/>
      <c r="N49" s="29"/>
      <c r="O49" s="28"/>
    </row>
    <row r="50" spans="1:15" ht="15.75" thickBot="1" x14ac:dyDescent="0.3">
      <c r="A50" s="42" t="s">
        <v>18</v>
      </c>
      <c r="B50" s="42"/>
      <c r="C50" s="42"/>
      <c r="D50" s="42"/>
      <c r="E50" s="42"/>
      <c r="F50" s="43"/>
      <c r="G50" s="44"/>
      <c r="H50" s="41"/>
      <c r="I50" s="28"/>
      <c r="J50" s="28"/>
      <c r="K50" s="28"/>
      <c r="L50" s="28"/>
      <c r="M50" s="28"/>
      <c r="N50" s="29"/>
      <c r="O50" s="28"/>
    </row>
    <row r="51" spans="1:15" ht="26.25" x14ac:dyDescent="0.25">
      <c r="A51" s="45" t="s">
        <v>19</v>
      </c>
      <c r="B51" s="97"/>
      <c r="C51" s="46" t="s">
        <v>13</v>
      </c>
      <c r="D51" s="47" t="s">
        <v>14</v>
      </c>
      <c r="E51" s="47" t="s">
        <v>15</v>
      </c>
      <c r="F51" s="48" t="s">
        <v>16</v>
      </c>
      <c r="G51" s="49" t="s">
        <v>20</v>
      </c>
      <c r="H51" s="50"/>
      <c r="I51" s="51"/>
      <c r="J51" s="52"/>
    </row>
    <row r="52" spans="1:15" ht="15.75" x14ac:dyDescent="0.25">
      <c r="A52" s="53"/>
      <c r="B52" s="98"/>
      <c r="C52" s="54"/>
      <c r="D52" s="55"/>
      <c r="E52" s="56"/>
      <c r="F52" s="57"/>
      <c r="G52" s="58">
        <f>SUM(D52/24*E52)</f>
        <v>0</v>
      </c>
      <c r="H52" s="59"/>
      <c r="I52" s="60"/>
      <c r="J52" s="61"/>
    </row>
    <row r="53" spans="1:15" x14ac:dyDescent="0.25">
      <c r="A53" s="62"/>
      <c r="B53" s="99"/>
      <c r="C53" s="63"/>
      <c r="D53" s="64"/>
      <c r="E53" s="56"/>
      <c r="F53" s="65"/>
      <c r="G53" s="66">
        <f>SUM(D53/24*E53)</f>
        <v>0</v>
      </c>
      <c r="H53" s="59"/>
      <c r="I53" s="60"/>
    </row>
    <row r="54" spans="1:15" x14ac:dyDescent="0.25">
      <c r="A54" s="62"/>
      <c r="B54" s="99"/>
      <c r="C54" s="63"/>
      <c r="D54" s="64"/>
      <c r="E54" s="56"/>
      <c r="F54" s="67"/>
      <c r="G54" s="66">
        <f>SUM(D54/24*E54)</f>
        <v>0</v>
      </c>
      <c r="H54" s="59"/>
      <c r="I54" s="60"/>
    </row>
    <row r="55" spans="1:15" x14ac:dyDescent="0.25">
      <c r="A55" s="62"/>
      <c r="B55" s="99"/>
      <c r="C55" s="63"/>
      <c r="D55" s="64"/>
      <c r="E55" s="56"/>
      <c r="F55" s="67"/>
      <c r="G55" s="66">
        <f>SUM(D55/24*E55)</f>
        <v>0</v>
      </c>
      <c r="H55" s="59"/>
      <c r="I55" s="60"/>
    </row>
    <row r="56" spans="1:15" ht="15.75" thickBot="1" x14ac:dyDescent="0.3">
      <c r="A56" s="68"/>
      <c r="B56" s="100"/>
      <c r="C56" s="69"/>
      <c r="D56" s="70"/>
      <c r="E56" s="71"/>
      <c r="F56" s="70"/>
      <c r="G56" s="72">
        <f>SUM(D56/24*E56)</f>
        <v>0</v>
      </c>
      <c r="H56" s="59"/>
      <c r="I56" s="60"/>
    </row>
    <row r="57" spans="1:15" s="78" customFormat="1" ht="30" customHeight="1" x14ac:dyDescent="0.25">
      <c r="A57" s="108" t="s">
        <v>21</v>
      </c>
      <c r="B57" s="109"/>
      <c r="C57" s="109"/>
      <c r="D57" s="110"/>
      <c r="E57" s="73">
        <f>SUM(E52:E56)</f>
        <v>0</v>
      </c>
      <c r="F57" s="74" t="s">
        <v>22</v>
      </c>
      <c r="G57" s="75">
        <f>SUM(G52:G56)</f>
        <v>0</v>
      </c>
      <c r="H57" s="76"/>
      <c r="I57" s="77"/>
    </row>
  </sheetData>
  <mergeCells count="4">
    <mergeCell ref="A40:G40"/>
    <mergeCell ref="H40:I41"/>
    <mergeCell ref="A42:J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3" sqref="F33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39.42578125" customWidth="1"/>
  </cols>
  <sheetData>
    <row r="1" spans="1:10" s="1" customFormat="1" ht="30" x14ac:dyDescent="0.25">
      <c r="A1" s="81" t="s">
        <v>0</v>
      </c>
      <c r="B1" s="9" t="s">
        <v>28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0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79"/>
    </row>
    <row r="3" spans="1:10" x14ac:dyDescent="0.25">
      <c r="A3" s="12">
        <v>45047</v>
      </c>
      <c r="B3" s="89">
        <v>0</v>
      </c>
      <c r="C3" s="89">
        <v>98</v>
      </c>
      <c r="D3" s="89">
        <v>0</v>
      </c>
      <c r="E3" s="89">
        <v>40</v>
      </c>
      <c r="F3" s="89">
        <v>0</v>
      </c>
      <c r="G3" s="89">
        <v>0</v>
      </c>
      <c r="H3" s="89">
        <v>0</v>
      </c>
      <c r="I3" s="89" t="s">
        <v>29</v>
      </c>
      <c r="J3" s="91" t="s">
        <v>31</v>
      </c>
    </row>
    <row r="4" spans="1:10" x14ac:dyDescent="0.25">
      <c r="A4" s="12">
        <f>A3+1</f>
        <v>45048</v>
      </c>
      <c r="B4" s="89">
        <v>0</v>
      </c>
      <c r="C4" s="89">
        <v>108</v>
      </c>
      <c r="D4" s="89">
        <v>0</v>
      </c>
      <c r="E4" s="89">
        <v>76</v>
      </c>
      <c r="F4" s="89">
        <v>0.3</v>
      </c>
      <c r="G4" s="89">
        <v>0</v>
      </c>
      <c r="H4" s="89">
        <v>0</v>
      </c>
      <c r="I4" s="89" t="s">
        <v>29</v>
      </c>
      <c r="J4" s="91" t="s">
        <v>32</v>
      </c>
    </row>
    <row r="5" spans="1:10" x14ac:dyDescent="0.25">
      <c r="A5" s="12">
        <f t="shared" ref="A5:A33" si="0">A4+1</f>
        <v>45049</v>
      </c>
      <c r="B5" s="89">
        <v>0</v>
      </c>
      <c r="C5" s="89">
        <v>163</v>
      </c>
      <c r="D5" s="89">
        <v>0</v>
      </c>
      <c r="E5" s="89">
        <v>96</v>
      </c>
      <c r="F5" s="89">
        <v>0.01</v>
      </c>
      <c r="G5" s="89">
        <v>0</v>
      </c>
      <c r="H5" s="89">
        <v>0</v>
      </c>
      <c r="I5" s="89" t="s">
        <v>29</v>
      </c>
      <c r="J5" s="91" t="s">
        <v>33</v>
      </c>
    </row>
    <row r="6" spans="1:10" x14ac:dyDescent="0.25">
      <c r="A6" s="12">
        <f t="shared" si="0"/>
        <v>45050</v>
      </c>
      <c r="B6" s="89">
        <v>0</v>
      </c>
      <c r="C6" s="89">
        <v>200</v>
      </c>
      <c r="D6" s="89">
        <v>0</v>
      </c>
      <c r="E6" s="89">
        <v>201</v>
      </c>
      <c r="F6" s="89">
        <v>0</v>
      </c>
      <c r="G6" s="89">
        <v>0</v>
      </c>
      <c r="H6" s="89">
        <v>0</v>
      </c>
      <c r="I6" s="89" t="s">
        <v>29</v>
      </c>
      <c r="J6" s="91"/>
    </row>
    <row r="7" spans="1:10" x14ac:dyDescent="0.25">
      <c r="A7" s="12">
        <f t="shared" si="0"/>
        <v>45051</v>
      </c>
      <c r="B7" s="89">
        <v>0</v>
      </c>
      <c r="C7" s="89">
        <v>221</v>
      </c>
      <c r="D7" s="89">
        <v>0</v>
      </c>
      <c r="E7" s="89">
        <v>274</v>
      </c>
      <c r="F7" s="89">
        <v>0.05</v>
      </c>
      <c r="G7" s="89">
        <v>0</v>
      </c>
      <c r="H7" s="89">
        <v>0</v>
      </c>
      <c r="I7" s="89" t="s">
        <v>29</v>
      </c>
      <c r="J7" s="91" t="s">
        <v>34</v>
      </c>
    </row>
    <row r="8" spans="1:10" x14ac:dyDescent="0.25">
      <c r="A8" s="12">
        <f t="shared" si="0"/>
        <v>45052</v>
      </c>
      <c r="B8" s="89">
        <v>0</v>
      </c>
      <c r="C8" s="89">
        <v>231</v>
      </c>
      <c r="D8" s="89">
        <v>0</v>
      </c>
      <c r="E8" s="89">
        <v>296</v>
      </c>
      <c r="F8" s="89">
        <v>0.21</v>
      </c>
      <c r="G8" s="89">
        <v>0</v>
      </c>
      <c r="H8" s="89">
        <v>0</v>
      </c>
      <c r="I8" s="89" t="s">
        <v>29</v>
      </c>
      <c r="J8" s="91" t="s">
        <v>35</v>
      </c>
    </row>
    <row r="9" spans="1:10" x14ac:dyDescent="0.25">
      <c r="A9" s="12">
        <f t="shared" si="0"/>
        <v>45053</v>
      </c>
      <c r="B9" s="89">
        <v>0</v>
      </c>
      <c r="C9" s="89">
        <v>209</v>
      </c>
      <c r="D9" s="89">
        <v>0</v>
      </c>
      <c r="E9" s="89">
        <v>304</v>
      </c>
      <c r="F9" s="89">
        <v>0.1</v>
      </c>
      <c r="G9" s="89">
        <v>0</v>
      </c>
      <c r="H9" s="89">
        <v>0</v>
      </c>
      <c r="I9" s="89" t="s">
        <v>29</v>
      </c>
      <c r="J9" s="91" t="s">
        <v>36</v>
      </c>
    </row>
    <row r="10" spans="1:10" x14ac:dyDescent="0.25">
      <c r="A10" s="12">
        <f t="shared" si="0"/>
        <v>45054</v>
      </c>
      <c r="B10" s="89">
        <v>0</v>
      </c>
      <c r="C10" s="89">
        <v>201</v>
      </c>
      <c r="D10" s="89">
        <v>0</v>
      </c>
      <c r="E10" s="89">
        <v>306</v>
      </c>
      <c r="F10" s="89">
        <v>0.15</v>
      </c>
      <c r="G10" s="89">
        <v>0</v>
      </c>
      <c r="H10" s="89">
        <v>0</v>
      </c>
      <c r="I10" s="89" t="s">
        <v>29</v>
      </c>
      <c r="J10" s="91" t="s">
        <v>37</v>
      </c>
    </row>
    <row r="11" spans="1:10" x14ac:dyDescent="0.25">
      <c r="A11" s="12">
        <f t="shared" si="0"/>
        <v>45055</v>
      </c>
      <c r="B11" s="89">
        <v>0</v>
      </c>
      <c r="C11" s="89">
        <v>248</v>
      </c>
      <c r="D11" s="89">
        <v>0</v>
      </c>
      <c r="E11" s="89">
        <v>307</v>
      </c>
      <c r="F11" s="89">
        <v>0.02</v>
      </c>
      <c r="G11" s="89">
        <v>0</v>
      </c>
      <c r="H11" s="89">
        <v>0</v>
      </c>
      <c r="I11" s="89" t="s">
        <v>29</v>
      </c>
      <c r="J11" s="91" t="s">
        <v>38</v>
      </c>
    </row>
    <row r="12" spans="1:10" x14ac:dyDescent="0.25">
      <c r="A12" s="12">
        <f t="shared" si="0"/>
        <v>45056</v>
      </c>
      <c r="B12" s="89">
        <v>0</v>
      </c>
      <c r="C12" s="89">
        <v>221</v>
      </c>
      <c r="D12" s="89">
        <v>0</v>
      </c>
      <c r="E12" s="89">
        <v>346</v>
      </c>
      <c r="F12" s="89">
        <v>0</v>
      </c>
      <c r="G12" s="89">
        <v>0</v>
      </c>
      <c r="H12" s="89">
        <v>0</v>
      </c>
      <c r="I12" s="89" t="s">
        <v>29</v>
      </c>
      <c r="J12" s="91" t="s">
        <v>39</v>
      </c>
    </row>
    <row r="13" spans="1:10" x14ac:dyDescent="0.25">
      <c r="A13" s="12">
        <f t="shared" si="0"/>
        <v>45057</v>
      </c>
      <c r="B13" s="89">
        <v>0</v>
      </c>
      <c r="C13" s="89">
        <v>256</v>
      </c>
      <c r="D13" s="89">
        <v>0</v>
      </c>
      <c r="E13" s="89">
        <v>362</v>
      </c>
      <c r="F13" s="89">
        <v>0</v>
      </c>
      <c r="G13" s="89">
        <v>0</v>
      </c>
      <c r="H13" s="89">
        <v>0</v>
      </c>
      <c r="I13" s="89" t="s">
        <v>29</v>
      </c>
      <c r="J13" s="91" t="s">
        <v>40</v>
      </c>
    </row>
    <row r="14" spans="1:10" x14ac:dyDescent="0.25">
      <c r="A14" s="12">
        <f t="shared" si="0"/>
        <v>45058</v>
      </c>
      <c r="B14" s="89">
        <v>0</v>
      </c>
      <c r="C14" s="89">
        <v>281</v>
      </c>
      <c r="D14" s="89">
        <v>0</v>
      </c>
      <c r="E14" s="89">
        <v>342</v>
      </c>
      <c r="F14" s="89">
        <v>0</v>
      </c>
      <c r="G14" s="89">
        <v>0</v>
      </c>
      <c r="H14" s="89">
        <v>0</v>
      </c>
      <c r="I14" s="89" t="s">
        <v>29</v>
      </c>
      <c r="J14" s="91" t="s">
        <v>41</v>
      </c>
    </row>
    <row r="15" spans="1:10" x14ac:dyDescent="0.25">
      <c r="A15" s="12">
        <f t="shared" si="0"/>
        <v>45059</v>
      </c>
      <c r="B15" s="89">
        <v>0</v>
      </c>
      <c r="C15" s="89">
        <v>300</v>
      </c>
      <c r="D15" s="89">
        <v>0</v>
      </c>
      <c r="E15" s="89">
        <v>348</v>
      </c>
      <c r="F15" s="89">
        <v>0</v>
      </c>
      <c r="G15" s="89">
        <v>0</v>
      </c>
      <c r="H15" s="89">
        <v>0</v>
      </c>
      <c r="I15" s="89" t="s">
        <v>29</v>
      </c>
      <c r="J15" s="91"/>
    </row>
    <row r="16" spans="1:10" x14ac:dyDescent="0.25">
      <c r="A16" s="12">
        <f t="shared" si="0"/>
        <v>45060</v>
      </c>
      <c r="B16" s="89">
        <v>0</v>
      </c>
      <c r="C16" s="89">
        <v>300</v>
      </c>
      <c r="D16" s="89">
        <v>0</v>
      </c>
      <c r="E16" s="89">
        <v>338</v>
      </c>
      <c r="F16" s="89">
        <v>0</v>
      </c>
      <c r="G16" s="89">
        <v>0</v>
      </c>
      <c r="H16" s="89">
        <v>0</v>
      </c>
      <c r="I16" s="89" t="s">
        <v>29</v>
      </c>
      <c r="J16" s="91"/>
    </row>
    <row r="17" spans="1:10" x14ac:dyDescent="0.25">
      <c r="A17" s="12">
        <f t="shared" si="0"/>
        <v>45061</v>
      </c>
      <c r="B17" s="89">
        <v>0</v>
      </c>
      <c r="C17" s="89">
        <v>308</v>
      </c>
      <c r="D17" s="89">
        <v>0</v>
      </c>
      <c r="E17" s="89">
        <v>355</v>
      </c>
      <c r="F17" s="89">
        <v>0</v>
      </c>
      <c r="G17" s="89">
        <v>0</v>
      </c>
      <c r="H17" s="89">
        <v>0</v>
      </c>
      <c r="I17" s="89" t="s">
        <v>29</v>
      </c>
      <c r="J17" s="91" t="s">
        <v>42</v>
      </c>
    </row>
    <row r="18" spans="1:10" x14ac:dyDescent="0.25">
      <c r="A18" s="12">
        <f t="shared" si="0"/>
        <v>45062</v>
      </c>
      <c r="B18" s="89">
        <v>0</v>
      </c>
      <c r="C18" s="89">
        <v>321</v>
      </c>
      <c r="D18" s="89">
        <v>0</v>
      </c>
      <c r="E18" s="89">
        <v>333</v>
      </c>
      <c r="F18" s="89">
        <v>0</v>
      </c>
      <c r="G18" s="89">
        <v>0</v>
      </c>
      <c r="H18" s="89">
        <v>0</v>
      </c>
      <c r="I18" s="89" t="s">
        <v>29</v>
      </c>
      <c r="J18" s="91" t="s">
        <v>43</v>
      </c>
    </row>
    <row r="19" spans="1:10" x14ac:dyDescent="0.25">
      <c r="A19" s="12">
        <f t="shared" si="0"/>
        <v>45063</v>
      </c>
      <c r="B19" s="89">
        <v>0</v>
      </c>
      <c r="C19" s="89">
        <v>320</v>
      </c>
      <c r="D19" s="89">
        <v>0</v>
      </c>
      <c r="E19" s="89">
        <v>384</v>
      </c>
      <c r="F19" s="89">
        <v>0</v>
      </c>
      <c r="G19" s="89">
        <v>0</v>
      </c>
      <c r="H19" s="89">
        <v>0</v>
      </c>
      <c r="I19" s="89" t="s">
        <v>29</v>
      </c>
      <c r="J19" s="91" t="s">
        <v>44</v>
      </c>
    </row>
    <row r="20" spans="1:10" x14ac:dyDescent="0.25">
      <c r="A20" s="12">
        <f t="shared" si="0"/>
        <v>45064</v>
      </c>
      <c r="B20" s="89">
        <v>0</v>
      </c>
      <c r="C20" s="89">
        <v>372</v>
      </c>
      <c r="D20" s="89">
        <v>0</v>
      </c>
      <c r="E20" s="89">
        <v>428</v>
      </c>
      <c r="F20" s="89">
        <v>0</v>
      </c>
      <c r="G20" s="89">
        <v>0</v>
      </c>
      <c r="H20" s="89">
        <v>0</v>
      </c>
      <c r="I20" s="89" t="s">
        <v>29</v>
      </c>
      <c r="J20" s="88" t="s">
        <v>45</v>
      </c>
    </row>
    <row r="21" spans="1:10" x14ac:dyDescent="0.25">
      <c r="A21" s="12">
        <f t="shared" si="0"/>
        <v>45065</v>
      </c>
      <c r="B21" s="89">
        <v>0</v>
      </c>
      <c r="C21" s="89">
        <v>333</v>
      </c>
      <c r="D21" s="89">
        <v>0</v>
      </c>
      <c r="E21" s="89">
        <v>437</v>
      </c>
      <c r="F21" s="89">
        <v>0</v>
      </c>
      <c r="G21" s="89">
        <v>0</v>
      </c>
      <c r="H21" s="89">
        <v>0</v>
      </c>
      <c r="I21" s="89" t="s">
        <v>29</v>
      </c>
      <c r="J21" s="88"/>
    </row>
    <row r="22" spans="1:10" x14ac:dyDescent="0.25">
      <c r="A22" s="12">
        <f t="shared" si="0"/>
        <v>45066</v>
      </c>
      <c r="B22" s="89">
        <v>0</v>
      </c>
      <c r="C22" s="89">
        <v>335</v>
      </c>
      <c r="D22" s="89">
        <v>0</v>
      </c>
      <c r="E22" s="89">
        <v>429</v>
      </c>
      <c r="F22" s="89">
        <v>0</v>
      </c>
      <c r="G22" s="89">
        <v>0</v>
      </c>
      <c r="H22" s="89">
        <v>0</v>
      </c>
      <c r="I22" s="89" t="s">
        <v>29</v>
      </c>
      <c r="J22" s="88" t="s">
        <v>46</v>
      </c>
    </row>
    <row r="23" spans="1:10" x14ac:dyDescent="0.25">
      <c r="A23" s="12">
        <f t="shared" si="0"/>
        <v>45067</v>
      </c>
      <c r="B23" s="89">
        <v>0</v>
      </c>
      <c r="C23" s="89">
        <v>332</v>
      </c>
      <c r="D23" s="89">
        <v>0</v>
      </c>
      <c r="E23" s="89">
        <v>392</v>
      </c>
      <c r="F23" s="89">
        <v>0</v>
      </c>
      <c r="G23" s="89">
        <v>0</v>
      </c>
      <c r="H23" s="89">
        <v>0</v>
      </c>
      <c r="I23" s="89" t="s">
        <v>29</v>
      </c>
      <c r="J23" s="88" t="s">
        <v>47</v>
      </c>
    </row>
    <row r="24" spans="1:10" x14ac:dyDescent="0.25">
      <c r="A24" s="12">
        <f t="shared" si="0"/>
        <v>45068</v>
      </c>
      <c r="B24" s="89">
        <v>0</v>
      </c>
      <c r="C24" s="89">
        <v>300</v>
      </c>
      <c r="D24" s="89">
        <v>1</v>
      </c>
      <c r="E24" s="89">
        <v>426</v>
      </c>
      <c r="F24" s="89">
        <v>0</v>
      </c>
      <c r="G24" s="89">
        <v>0</v>
      </c>
      <c r="H24" s="89">
        <v>0</v>
      </c>
      <c r="I24" s="89" t="s">
        <v>29</v>
      </c>
      <c r="J24" s="88"/>
    </row>
    <row r="25" spans="1:10" x14ac:dyDescent="0.25">
      <c r="A25" s="12">
        <f t="shared" si="0"/>
        <v>45069</v>
      </c>
      <c r="B25" s="89">
        <v>0</v>
      </c>
      <c r="C25" s="89">
        <v>284</v>
      </c>
      <c r="D25" s="89">
        <v>0</v>
      </c>
      <c r="E25" s="89">
        <v>461</v>
      </c>
      <c r="F25" s="89">
        <v>0</v>
      </c>
      <c r="G25" s="89">
        <v>0</v>
      </c>
      <c r="H25" s="89">
        <v>0</v>
      </c>
      <c r="I25" s="89" t="s">
        <v>29</v>
      </c>
      <c r="J25" s="88" t="s">
        <v>48</v>
      </c>
    </row>
    <row r="26" spans="1:10" x14ac:dyDescent="0.25">
      <c r="A26" s="12">
        <f t="shared" si="0"/>
        <v>45070</v>
      </c>
      <c r="B26" s="89">
        <v>0</v>
      </c>
      <c r="C26" s="89">
        <v>296</v>
      </c>
      <c r="D26" s="89">
        <v>0</v>
      </c>
      <c r="E26" s="89">
        <v>451</v>
      </c>
      <c r="F26" s="89">
        <v>0</v>
      </c>
      <c r="G26" s="89">
        <v>0</v>
      </c>
      <c r="H26" s="89">
        <v>0</v>
      </c>
      <c r="I26" s="89" t="s">
        <v>29</v>
      </c>
      <c r="J26" s="88" t="s">
        <v>49</v>
      </c>
    </row>
    <row r="27" spans="1:10" x14ac:dyDescent="0.25">
      <c r="A27" s="12">
        <f t="shared" si="0"/>
        <v>45071</v>
      </c>
      <c r="B27" s="89">
        <v>0</v>
      </c>
      <c r="C27" s="89">
        <v>322</v>
      </c>
      <c r="D27" s="89">
        <v>0</v>
      </c>
      <c r="E27" s="89">
        <v>456</v>
      </c>
      <c r="F27" s="89">
        <v>0</v>
      </c>
      <c r="G27" s="89">
        <v>0</v>
      </c>
      <c r="H27" s="89">
        <v>0</v>
      </c>
      <c r="I27" s="89" t="s">
        <v>29</v>
      </c>
      <c r="J27" s="88"/>
    </row>
    <row r="28" spans="1:10" x14ac:dyDescent="0.25">
      <c r="A28" s="12">
        <f t="shared" si="0"/>
        <v>45072</v>
      </c>
      <c r="B28" s="89">
        <v>0</v>
      </c>
      <c r="C28" s="89">
        <v>333</v>
      </c>
      <c r="D28" s="89">
        <v>0</v>
      </c>
      <c r="E28" s="89">
        <v>464</v>
      </c>
      <c r="F28" s="89">
        <v>0</v>
      </c>
      <c r="G28" s="89">
        <v>0</v>
      </c>
      <c r="H28" s="89">
        <v>0</v>
      </c>
      <c r="I28" s="89" t="s">
        <v>29</v>
      </c>
      <c r="J28" s="88"/>
    </row>
    <row r="29" spans="1:10" x14ac:dyDescent="0.25">
      <c r="A29" s="12">
        <f t="shared" si="0"/>
        <v>45073</v>
      </c>
      <c r="B29" s="89">
        <v>0</v>
      </c>
      <c r="C29" s="89">
        <v>338</v>
      </c>
      <c r="D29" s="89">
        <v>0</v>
      </c>
      <c r="E29" s="89">
        <v>447</v>
      </c>
      <c r="F29" s="89">
        <v>0</v>
      </c>
      <c r="G29" s="89">
        <v>0</v>
      </c>
      <c r="H29" s="89">
        <v>0</v>
      </c>
      <c r="I29" s="89" t="s">
        <v>29</v>
      </c>
      <c r="J29" s="88" t="s">
        <v>50</v>
      </c>
    </row>
    <row r="30" spans="1:10" x14ac:dyDescent="0.25">
      <c r="A30" s="12">
        <f t="shared" si="0"/>
        <v>45074</v>
      </c>
      <c r="B30" s="89">
        <v>0</v>
      </c>
      <c r="C30" s="89">
        <v>233</v>
      </c>
      <c r="D30" s="89">
        <v>13</v>
      </c>
      <c r="E30" s="89">
        <v>427</v>
      </c>
      <c r="F30" s="89">
        <v>0.67</v>
      </c>
      <c r="G30" s="89">
        <v>0</v>
      </c>
      <c r="H30" s="89">
        <v>0</v>
      </c>
      <c r="I30" s="89" t="s">
        <v>29</v>
      </c>
      <c r="J30" s="88" t="s">
        <v>51</v>
      </c>
    </row>
    <row r="31" spans="1:10" x14ac:dyDescent="0.25">
      <c r="A31" s="12">
        <f t="shared" si="0"/>
        <v>45075</v>
      </c>
      <c r="B31" s="89">
        <v>0</v>
      </c>
      <c r="C31" s="89">
        <v>195</v>
      </c>
      <c r="D31" s="89">
        <v>4</v>
      </c>
      <c r="E31" s="89">
        <v>398</v>
      </c>
      <c r="F31" s="89">
        <v>0.01</v>
      </c>
      <c r="G31" s="89">
        <v>0</v>
      </c>
      <c r="H31" s="89">
        <v>0</v>
      </c>
      <c r="I31" s="89" t="s">
        <v>29</v>
      </c>
      <c r="J31" s="88" t="s">
        <v>52</v>
      </c>
    </row>
    <row r="32" spans="1:10" x14ac:dyDescent="0.25">
      <c r="A32" s="12">
        <f t="shared" si="0"/>
        <v>45076</v>
      </c>
      <c r="B32" s="89">
        <v>0</v>
      </c>
      <c r="C32" s="89">
        <v>158</v>
      </c>
      <c r="D32" s="89">
        <v>12</v>
      </c>
      <c r="E32" s="89">
        <v>381</v>
      </c>
      <c r="F32" s="89">
        <v>0.08</v>
      </c>
      <c r="G32" s="89">
        <v>0</v>
      </c>
      <c r="H32" s="89">
        <v>0</v>
      </c>
      <c r="I32" s="89" t="s">
        <v>29</v>
      </c>
      <c r="J32" s="88" t="s">
        <v>53</v>
      </c>
    </row>
    <row r="33" spans="1:16" ht="15.75" thickBot="1" x14ac:dyDescent="0.3">
      <c r="A33" s="12">
        <f t="shared" si="0"/>
        <v>45077</v>
      </c>
      <c r="B33" s="89">
        <v>0</v>
      </c>
      <c r="C33" s="89">
        <v>150</v>
      </c>
      <c r="D33" s="89">
        <v>1</v>
      </c>
      <c r="E33" s="89">
        <v>356</v>
      </c>
      <c r="F33" s="89">
        <v>0.15</v>
      </c>
      <c r="G33" s="89">
        <v>0</v>
      </c>
      <c r="H33" s="89">
        <v>0</v>
      </c>
      <c r="I33" s="89" t="s">
        <v>29</v>
      </c>
      <c r="J33" s="88"/>
    </row>
    <row r="34" spans="1:16" s="11" customFormat="1" ht="15.75" thickTop="1" x14ac:dyDescent="0.25">
      <c r="A34" s="15" t="s">
        <v>8</v>
      </c>
      <c r="B34" s="16">
        <f>SUM(B3:B33)</f>
        <v>0</v>
      </c>
      <c r="C34" s="16">
        <f t="shared" ref="C34:H34" si="1">SUM(C3:C33)</f>
        <v>7967</v>
      </c>
      <c r="D34" s="16">
        <f t="shared" si="1"/>
        <v>31</v>
      </c>
      <c r="E34" s="16">
        <f t="shared" si="1"/>
        <v>10661</v>
      </c>
      <c r="F34" s="17">
        <f t="shared" si="1"/>
        <v>1.75</v>
      </c>
      <c r="G34" s="17">
        <f t="shared" si="1"/>
        <v>0</v>
      </c>
      <c r="H34" s="16">
        <f t="shared" si="1"/>
        <v>0</v>
      </c>
      <c r="I34" s="17"/>
    </row>
    <row r="35" spans="1:16" s="11" customFormat="1" x14ac:dyDescent="0.25">
      <c r="A35" s="18" t="s">
        <v>9</v>
      </c>
      <c r="B35" s="19">
        <f>SUM(B34+'Apr 2023'!B34)</f>
        <v>327</v>
      </c>
      <c r="C35" s="19">
        <f>SUM(C34+'Apr 2023'!C34)</f>
        <v>7967</v>
      </c>
      <c r="D35" s="19">
        <f>SUM(D34+'Apr 2023'!D34)</f>
        <v>879</v>
      </c>
      <c r="E35" s="19">
        <f>SUM(E34+'Apr 2023'!E34)</f>
        <v>25529</v>
      </c>
      <c r="F35" s="20">
        <f>SUM(F34+'Apr 2023'!F34)</f>
        <v>9.6900000000000013</v>
      </c>
      <c r="G35" s="20">
        <f>SUM(G34+'Apr 2023'!G34)</f>
        <v>25.5</v>
      </c>
      <c r="H35" s="19">
        <f>SUM(H34+'Apr 2023'!H34)</f>
        <v>0</v>
      </c>
      <c r="I35" s="20"/>
    </row>
    <row r="37" spans="1:16" x14ac:dyDescent="0.25">
      <c r="A37" t="s">
        <v>10</v>
      </c>
      <c r="B37" s="22">
        <f>SUM(B3:B33)*1.9835</f>
        <v>0</v>
      </c>
      <c r="C37" s="22">
        <f>SUM(C3:C33)*1.9835</f>
        <v>15802.5445</v>
      </c>
      <c r="D37" s="22">
        <f>SUM(D3:D33)*1.9835</f>
        <v>61.488500000000002</v>
      </c>
      <c r="E37" s="22">
        <f>SUM(E3:E33)*1.9835</f>
        <v>21146.093499999999</v>
      </c>
      <c r="F37" s="22"/>
      <c r="G37" s="22"/>
      <c r="H37" s="22"/>
      <c r="J37" s="21"/>
    </row>
    <row r="39" spans="1:16" x14ac:dyDescent="0.25">
      <c r="A39" t="s">
        <v>24</v>
      </c>
      <c r="B39" s="22">
        <f>SUM(B37+'Apr 2023'!B38)</f>
        <v>648.60450000000003</v>
      </c>
      <c r="C39" s="22">
        <f>SUM(C37+'Apr 2023'!C38)</f>
        <v>15802.5445</v>
      </c>
      <c r="D39" s="22">
        <f>SUM(D37+'Apr 2023'!D38)</f>
        <v>1743.4965000000002</v>
      </c>
      <c r="E39" s="22">
        <f>SUM(E37+'Apr 2023'!E38)</f>
        <v>56561.486000000004</v>
      </c>
      <c r="F39" s="22"/>
      <c r="G39" s="22"/>
      <c r="H39" s="22"/>
      <c r="J39" s="21"/>
    </row>
    <row r="40" spans="1:16" x14ac:dyDescent="0.25">
      <c r="J40" s="28"/>
    </row>
    <row r="41" spans="1:16" ht="17.45" customHeight="1" x14ac:dyDescent="0.25">
      <c r="A41" s="102"/>
      <c r="B41" s="102"/>
      <c r="C41" s="102"/>
      <c r="D41" s="102"/>
      <c r="E41" s="102"/>
      <c r="F41" s="102"/>
      <c r="G41" s="103"/>
      <c r="H41" s="104" t="s">
        <v>12</v>
      </c>
      <c r="I41" s="105"/>
      <c r="J41" s="28"/>
      <c r="K41" s="26"/>
      <c r="L41" s="26"/>
      <c r="M41" s="26"/>
      <c r="N41" s="26"/>
      <c r="O41" s="27"/>
      <c r="P41" s="26"/>
    </row>
    <row r="42" spans="1:16" ht="16.899999999999999" customHeight="1" x14ac:dyDescent="0.25">
      <c r="A42" s="25"/>
      <c r="B42" s="25"/>
      <c r="C42" s="25"/>
      <c r="D42" s="25"/>
      <c r="E42" s="25"/>
      <c r="F42" s="25"/>
      <c r="G42" s="25"/>
      <c r="H42" s="104"/>
      <c r="I42" s="105"/>
      <c r="J42" s="28"/>
      <c r="K42" s="26"/>
      <c r="L42" s="26"/>
      <c r="M42" s="26"/>
      <c r="N42" s="26"/>
      <c r="O42" s="27"/>
      <c r="P42" s="26"/>
    </row>
    <row r="43" spans="1:16" ht="13.9" customHeight="1" thickBot="1" x14ac:dyDescent="0.3">
      <c r="A43" s="106" t="s">
        <v>23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28"/>
      <c r="M43" s="28"/>
      <c r="N43" s="28"/>
      <c r="O43" s="29"/>
      <c r="P43" s="28"/>
    </row>
    <row r="44" spans="1:16" ht="15.6" customHeight="1" x14ac:dyDescent="0.25">
      <c r="A44" s="37" t="s">
        <v>17</v>
      </c>
      <c r="B44" s="95"/>
      <c r="C44" s="31"/>
      <c r="D44" s="32"/>
      <c r="E44" s="32"/>
      <c r="F44" s="33"/>
      <c r="G44" s="34"/>
      <c r="H44" s="35"/>
      <c r="I44" s="36"/>
      <c r="J44" s="28"/>
      <c r="K44" s="28"/>
      <c r="L44" s="28"/>
      <c r="M44" s="28"/>
      <c r="N44" s="28"/>
      <c r="O44" s="29"/>
    </row>
    <row r="45" spans="1:16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8"/>
      <c r="O45" s="29"/>
    </row>
    <row r="46" spans="1:16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8"/>
      <c r="O46" s="29"/>
    </row>
    <row r="47" spans="1:16" ht="15.75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52"/>
      <c r="K47" s="28"/>
      <c r="L47" s="28"/>
      <c r="M47" s="28"/>
      <c r="N47" s="28"/>
      <c r="O47" s="29"/>
    </row>
    <row r="48" spans="1:16" ht="15.75" x14ac:dyDescent="0.25">
      <c r="A48" s="30"/>
      <c r="B48" s="96"/>
      <c r="C48" s="31"/>
      <c r="D48" s="32"/>
      <c r="E48" s="32"/>
      <c r="F48" s="38"/>
      <c r="G48" s="34">
        <f>SUM(24-E48)</f>
        <v>24</v>
      </c>
      <c r="H48" s="35">
        <f>SUM(D48+F48)</f>
        <v>0</v>
      </c>
      <c r="I48" s="36">
        <f>SUM(D48/24*E48+H48/24*G48)</f>
        <v>0</v>
      </c>
      <c r="J48" s="61"/>
      <c r="K48" s="28"/>
      <c r="L48" s="28"/>
      <c r="M48" s="28"/>
      <c r="N48" s="28"/>
      <c r="O48" s="29"/>
    </row>
    <row r="49" spans="1:16" x14ac:dyDescent="0.25">
      <c r="A49" s="30"/>
      <c r="B49" s="96"/>
      <c r="C49" s="31"/>
      <c r="D49" s="32"/>
      <c r="E49" s="32"/>
      <c r="F49" s="38"/>
      <c r="G49" s="34">
        <f>SUM(24-E49)</f>
        <v>24</v>
      </c>
      <c r="H49" s="35">
        <f>SUM(D49+F49)</f>
        <v>0</v>
      </c>
      <c r="I49" s="36">
        <f>SUM(D49/24*E49+H49/24*G49)</f>
        <v>0</v>
      </c>
      <c r="K49" s="28"/>
      <c r="L49" s="28"/>
      <c r="M49" s="28"/>
      <c r="N49" s="28"/>
      <c r="O49" s="29"/>
    </row>
    <row r="50" spans="1:16" ht="13.15" customHeight="1" x14ac:dyDescent="0.25">
      <c r="A50" s="39"/>
      <c r="B50" s="39"/>
      <c r="C50" s="40"/>
      <c r="D50" s="40"/>
      <c r="E50" s="40"/>
      <c r="F50" s="40"/>
      <c r="G50" s="40"/>
      <c r="H50" s="41"/>
      <c r="I50" s="28"/>
      <c r="K50" s="28"/>
      <c r="L50" s="28"/>
      <c r="M50" s="28"/>
      <c r="N50" s="28"/>
      <c r="O50" s="29"/>
      <c r="P50" s="28"/>
    </row>
    <row r="51" spans="1:16" ht="15.75" thickBot="1" x14ac:dyDescent="0.3">
      <c r="A51" s="42" t="s">
        <v>18</v>
      </c>
      <c r="B51" s="42"/>
      <c r="C51" s="42"/>
      <c r="D51" s="42"/>
      <c r="E51" s="42"/>
      <c r="F51" s="43"/>
      <c r="G51" s="44"/>
      <c r="H51" s="41"/>
      <c r="I51" s="28"/>
      <c r="K51" s="28"/>
      <c r="L51" s="28"/>
      <c r="M51" s="28"/>
      <c r="N51" s="28"/>
      <c r="O51" s="29"/>
      <c r="P51" s="28"/>
    </row>
    <row r="52" spans="1:16" ht="26.25" x14ac:dyDescent="0.25">
      <c r="A52" s="45" t="s">
        <v>19</v>
      </c>
      <c r="B52" s="97"/>
      <c r="C52" s="46" t="s">
        <v>13</v>
      </c>
      <c r="D52" s="47" t="s">
        <v>14</v>
      </c>
      <c r="E52" s="47" t="s">
        <v>15</v>
      </c>
      <c r="F52" s="48" t="s">
        <v>16</v>
      </c>
      <c r="G52" s="49" t="s">
        <v>20</v>
      </c>
      <c r="H52" s="50"/>
      <c r="I52" s="51"/>
      <c r="K52" s="52"/>
    </row>
    <row r="53" spans="1:16" ht="15.75" x14ac:dyDescent="0.25">
      <c r="A53" s="53"/>
      <c r="B53" s="98"/>
      <c r="C53" s="54"/>
      <c r="D53" s="55"/>
      <c r="E53" s="56"/>
      <c r="F53" s="57"/>
      <c r="G53" s="58">
        <f>SUM(D53/24*E53)</f>
        <v>0</v>
      </c>
      <c r="H53" s="59"/>
      <c r="I53" s="60"/>
      <c r="J53" s="78"/>
      <c r="K53" s="61"/>
    </row>
    <row r="54" spans="1:16" x14ac:dyDescent="0.25">
      <c r="A54" s="62"/>
      <c r="B54" s="99"/>
      <c r="C54" s="63"/>
      <c r="D54" s="64"/>
      <c r="E54" s="56"/>
      <c r="F54" s="65"/>
      <c r="G54" s="66">
        <f>SUM(D54/24*E54)</f>
        <v>0</v>
      </c>
      <c r="H54" s="59"/>
      <c r="I54" s="60"/>
    </row>
    <row r="55" spans="1:16" x14ac:dyDescent="0.25">
      <c r="A55" s="62"/>
      <c r="B55" s="99"/>
      <c r="C55" s="63"/>
      <c r="D55" s="64"/>
      <c r="E55" s="56"/>
      <c r="F55" s="67"/>
      <c r="G55" s="66">
        <f>SUM(D55/24*E55)</f>
        <v>0</v>
      </c>
      <c r="H55" s="59"/>
      <c r="I55" s="60"/>
    </row>
    <row r="56" spans="1:16" x14ac:dyDescent="0.25">
      <c r="A56" s="62"/>
      <c r="B56" s="99"/>
      <c r="C56" s="63"/>
      <c r="D56" s="64"/>
      <c r="E56" s="56"/>
      <c r="F56" s="67"/>
      <c r="G56" s="66">
        <f>SUM(D56/24*E56)</f>
        <v>0</v>
      </c>
      <c r="H56" s="59"/>
      <c r="I56" s="60"/>
    </row>
    <row r="57" spans="1:16" ht="15.75" thickBot="1" x14ac:dyDescent="0.3">
      <c r="A57" s="68"/>
      <c r="B57" s="100"/>
      <c r="C57" s="69"/>
      <c r="D57" s="70"/>
      <c r="E57" s="71"/>
      <c r="F57" s="70"/>
      <c r="G57" s="72">
        <f>SUM(D57/24*E57)</f>
        <v>0</v>
      </c>
      <c r="H57" s="59"/>
      <c r="I57" s="60"/>
    </row>
    <row r="58" spans="1:16" s="78" customFormat="1" ht="30" customHeight="1" x14ac:dyDescent="0.25">
      <c r="A58" s="108" t="s">
        <v>21</v>
      </c>
      <c r="B58" s="109"/>
      <c r="C58" s="109"/>
      <c r="D58" s="110"/>
      <c r="E58" s="73">
        <f>SUM(E53:E57)</f>
        <v>0</v>
      </c>
      <c r="F58" s="74" t="s">
        <v>22</v>
      </c>
      <c r="G58" s="75">
        <f>SUM(G53:G57)</f>
        <v>0</v>
      </c>
      <c r="H58" s="76"/>
      <c r="I58" s="77"/>
      <c r="J58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3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5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3" sqref="I33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81" t="s">
        <v>0</v>
      </c>
      <c r="B1" s="9" t="s">
        <v>28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0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79"/>
    </row>
    <row r="3" spans="1:10" x14ac:dyDescent="0.25">
      <c r="A3" s="12">
        <v>45017</v>
      </c>
      <c r="B3" s="89">
        <v>0</v>
      </c>
      <c r="C3" s="89">
        <v>0</v>
      </c>
      <c r="D3" s="89">
        <v>0</v>
      </c>
      <c r="E3" s="89">
        <v>80</v>
      </c>
      <c r="F3" s="89">
        <v>0.04</v>
      </c>
      <c r="G3" s="89">
        <v>0</v>
      </c>
      <c r="H3" s="89">
        <v>0</v>
      </c>
      <c r="I3" s="89" t="s">
        <v>29</v>
      </c>
      <c r="J3" s="91"/>
    </row>
    <row r="4" spans="1:10" x14ac:dyDescent="0.25">
      <c r="A4" s="12">
        <f>A3+1</f>
        <v>45018</v>
      </c>
      <c r="B4" s="89">
        <v>0</v>
      </c>
      <c r="C4" s="89">
        <v>0</v>
      </c>
      <c r="D4" s="89">
        <v>0</v>
      </c>
      <c r="E4" s="89">
        <v>73</v>
      </c>
      <c r="F4" s="89" t="s">
        <v>30</v>
      </c>
      <c r="G4" s="89">
        <v>0</v>
      </c>
      <c r="H4" s="89">
        <v>0</v>
      </c>
      <c r="I4" s="89" t="s">
        <v>29</v>
      </c>
      <c r="J4" s="91"/>
    </row>
    <row r="5" spans="1:10" x14ac:dyDescent="0.25">
      <c r="A5" s="12">
        <f t="shared" ref="A5:A32" si="0">A4+1</f>
        <v>45019</v>
      </c>
      <c r="B5" s="89">
        <v>0</v>
      </c>
      <c r="C5" s="89">
        <v>0</v>
      </c>
      <c r="D5" s="89">
        <v>0</v>
      </c>
      <c r="E5" s="89">
        <v>76</v>
      </c>
      <c r="F5" s="89">
        <v>0.02</v>
      </c>
      <c r="G5" s="89">
        <v>0</v>
      </c>
      <c r="H5" s="89">
        <v>0</v>
      </c>
      <c r="I5" s="89" t="s">
        <v>29</v>
      </c>
      <c r="J5" s="91"/>
    </row>
    <row r="6" spans="1:10" x14ac:dyDescent="0.25">
      <c r="A6" s="12">
        <f t="shared" si="0"/>
        <v>45020</v>
      </c>
      <c r="B6" s="89">
        <v>0</v>
      </c>
      <c r="C6" s="89">
        <v>0</v>
      </c>
      <c r="D6" s="89">
        <v>0</v>
      </c>
      <c r="E6" s="89">
        <v>76</v>
      </c>
      <c r="F6" s="89" t="s">
        <v>30</v>
      </c>
      <c r="G6" s="89">
        <v>0</v>
      </c>
      <c r="H6" s="89">
        <v>0</v>
      </c>
      <c r="I6" s="89" t="s">
        <v>29</v>
      </c>
      <c r="J6" s="91"/>
    </row>
    <row r="7" spans="1:10" x14ac:dyDescent="0.25">
      <c r="A7" s="12">
        <f t="shared" si="0"/>
        <v>45021</v>
      </c>
      <c r="B7" s="89">
        <v>0</v>
      </c>
      <c r="C7" s="89">
        <v>0</v>
      </c>
      <c r="D7" s="89">
        <v>0</v>
      </c>
      <c r="E7" s="89">
        <v>85</v>
      </c>
      <c r="F7" s="89">
        <v>0</v>
      </c>
      <c r="G7" s="89">
        <v>0</v>
      </c>
      <c r="H7" s="89">
        <v>0</v>
      </c>
      <c r="I7" s="89" t="s">
        <v>29</v>
      </c>
      <c r="J7" s="91"/>
    </row>
    <row r="8" spans="1:10" x14ac:dyDescent="0.25">
      <c r="A8" s="12">
        <f t="shared" si="0"/>
        <v>45022</v>
      </c>
      <c r="B8" s="89">
        <v>0</v>
      </c>
      <c r="C8" s="89">
        <v>0</v>
      </c>
      <c r="D8" s="89">
        <v>0</v>
      </c>
      <c r="E8" s="89">
        <v>85</v>
      </c>
      <c r="F8" s="89">
        <v>0</v>
      </c>
      <c r="G8" s="89">
        <v>0</v>
      </c>
      <c r="H8" s="89">
        <v>0</v>
      </c>
      <c r="I8" s="89" t="s">
        <v>29</v>
      </c>
      <c r="J8" s="91"/>
    </row>
    <row r="9" spans="1:10" x14ac:dyDescent="0.25">
      <c r="A9" s="12">
        <f t="shared" si="0"/>
        <v>45023</v>
      </c>
      <c r="B9" s="89">
        <v>0</v>
      </c>
      <c r="C9" s="89">
        <v>0</v>
      </c>
      <c r="D9" s="89">
        <v>0</v>
      </c>
      <c r="E9" s="89">
        <v>80</v>
      </c>
      <c r="F9" s="89">
        <v>0</v>
      </c>
      <c r="G9" s="89">
        <v>0</v>
      </c>
      <c r="H9" s="89">
        <v>0</v>
      </c>
      <c r="I9" s="89" t="s">
        <v>29</v>
      </c>
      <c r="J9" s="91"/>
    </row>
    <row r="10" spans="1:10" x14ac:dyDescent="0.25">
      <c r="A10" s="12">
        <f t="shared" si="0"/>
        <v>45024</v>
      </c>
      <c r="B10" s="89">
        <v>0</v>
      </c>
      <c r="C10" s="89">
        <v>0</v>
      </c>
      <c r="D10" s="89">
        <v>0</v>
      </c>
      <c r="E10" s="89">
        <v>75</v>
      </c>
      <c r="F10" s="89">
        <v>0</v>
      </c>
      <c r="G10" s="89">
        <v>0</v>
      </c>
      <c r="H10" s="89">
        <v>0</v>
      </c>
      <c r="I10" s="89" t="s">
        <v>29</v>
      </c>
      <c r="J10" s="91"/>
    </row>
    <row r="11" spans="1:10" x14ac:dyDescent="0.25">
      <c r="A11" s="12">
        <f t="shared" si="0"/>
        <v>45025</v>
      </c>
      <c r="B11" s="89">
        <v>0</v>
      </c>
      <c r="C11" s="89">
        <v>0</v>
      </c>
      <c r="D11" s="89">
        <v>0</v>
      </c>
      <c r="E11" s="89">
        <v>76</v>
      </c>
      <c r="F11" s="89">
        <v>0</v>
      </c>
      <c r="G11" s="89">
        <v>0</v>
      </c>
      <c r="H11" s="89">
        <v>0</v>
      </c>
      <c r="I11" s="89" t="s">
        <v>29</v>
      </c>
      <c r="J11" s="91"/>
    </row>
    <row r="12" spans="1:10" x14ac:dyDescent="0.25">
      <c r="A12" s="12">
        <f t="shared" si="0"/>
        <v>45026</v>
      </c>
      <c r="B12" s="89">
        <v>0</v>
      </c>
      <c r="C12" s="89">
        <v>0</v>
      </c>
      <c r="D12" s="89">
        <v>0</v>
      </c>
      <c r="E12" s="89">
        <v>81</v>
      </c>
      <c r="F12" s="89">
        <v>0</v>
      </c>
      <c r="G12" s="89">
        <v>0</v>
      </c>
      <c r="H12" s="89">
        <v>0</v>
      </c>
      <c r="I12" s="89" t="s">
        <v>29</v>
      </c>
      <c r="J12" s="91"/>
    </row>
    <row r="13" spans="1:10" x14ac:dyDescent="0.25">
      <c r="A13" s="12">
        <f t="shared" si="0"/>
        <v>45027</v>
      </c>
      <c r="B13" s="89">
        <v>0</v>
      </c>
      <c r="C13" s="89">
        <v>0</v>
      </c>
      <c r="D13" s="89">
        <v>0</v>
      </c>
      <c r="E13" s="89">
        <v>79</v>
      </c>
      <c r="F13" s="89">
        <v>0.23</v>
      </c>
      <c r="G13" s="89">
        <v>0</v>
      </c>
      <c r="H13" s="89">
        <v>0</v>
      </c>
      <c r="I13" s="89" t="s">
        <v>29</v>
      </c>
      <c r="J13" s="91"/>
    </row>
    <row r="14" spans="1:10" x14ac:dyDescent="0.25">
      <c r="A14" s="12">
        <f t="shared" si="0"/>
        <v>45028</v>
      </c>
      <c r="B14" s="89">
        <v>0</v>
      </c>
      <c r="C14" s="89">
        <v>0</v>
      </c>
      <c r="D14" s="89">
        <v>0</v>
      </c>
      <c r="E14" s="89">
        <v>121</v>
      </c>
      <c r="F14" s="89">
        <v>0</v>
      </c>
      <c r="G14" s="89">
        <v>0</v>
      </c>
      <c r="H14" s="89">
        <v>0</v>
      </c>
      <c r="I14" s="89" t="s">
        <v>29</v>
      </c>
      <c r="J14" s="91"/>
    </row>
    <row r="15" spans="1:10" x14ac:dyDescent="0.25">
      <c r="A15" s="12">
        <f t="shared" si="0"/>
        <v>45029</v>
      </c>
      <c r="B15" s="89">
        <v>0</v>
      </c>
      <c r="C15" s="89">
        <v>0</v>
      </c>
      <c r="D15" s="89">
        <v>0</v>
      </c>
      <c r="E15" s="89">
        <v>340</v>
      </c>
      <c r="F15" s="89">
        <v>0</v>
      </c>
      <c r="G15" s="89">
        <v>0</v>
      </c>
      <c r="H15" s="89">
        <v>0</v>
      </c>
      <c r="I15" s="89" t="s">
        <v>29</v>
      </c>
      <c r="J15" s="91"/>
    </row>
    <row r="16" spans="1:10" x14ac:dyDescent="0.25">
      <c r="A16" s="12">
        <f t="shared" si="0"/>
        <v>45030</v>
      </c>
      <c r="B16" s="89">
        <v>0</v>
      </c>
      <c r="C16" s="89">
        <v>0</v>
      </c>
      <c r="D16" s="89">
        <v>0</v>
      </c>
      <c r="E16" s="89">
        <v>308</v>
      </c>
      <c r="F16" s="89">
        <v>0</v>
      </c>
      <c r="G16" s="89">
        <v>0</v>
      </c>
      <c r="H16" s="89">
        <v>0</v>
      </c>
      <c r="I16" s="89" t="s">
        <v>29</v>
      </c>
      <c r="J16" s="91"/>
    </row>
    <row r="17" spans="1:10" x14ac:dyDescent="0.25">
      <c r="A17" s="12">
        <f t="shared" si="0"/>
        <v>45031</v>
      </c>
      <c r="B17" s="89">
        <v>0</v>
      </c>
      <c r="C17" s="89">
        <v>0</v>
      </c>
      <c r="D17" s="89">
        <v>0</v>
      </c>
      <c r="E17" s="89">
        <v>192</v>
      </c>
      <c r="F17" s="89">
        <v>0</v>
      </c>
      <c r="G17" s="89">
        <v>0</v>
      </c>
      <c r="H17" s="89">
        <v>0</v>
      </c>
      <c r="I17" s="89" t="s">
        <v>29</v>
      </c>
      <c r="J17" s="91"/>
    </row>
    <row r="18" spans="1:10" x14ac:dyDescent="0.25">
      <c r="A18" s="12">
        <f t="shared" si="0"/>
        <v>45032</v>
      </c>
      <c r="B18" s="89">
        <v>0</v>
      </c>
      <c r="C18" s="89">
        <v>0</v>
      </c>
      <c r="D18" s="89">
        <v>0</v>
      </c>
      <c r="E18" s="89">
        <v>164</v>
      </c>
      <c r="F18" s="89">
        <v>0</v>
      </c>
      <c r="G18" s="89">
        <v>0</v>
      </c>
      <c r="H18" s="89">
        <v>0</v>
      </c>
      <c r="I18" s="89" t="s">
        <v>29</v>
      </c>
      <c r="J18" s="91"/>
    </row>
    <row r="19" spans="1:10" x14ac:dyDescent="0.25">
      <c r="A19" s="12">
        <f t="shared" si="0"/>
        <v>45033</v>
      </c>
      <c r="B19" s="89">
        <v>0</v>
      </c>
      <c r="C19" s="89">
        <v>0</v>
      </c>
      <c r="D19" s="89">
        <v>0</v>
      </c>
      <c r="E19" s="89">
        <v>147</v>
      </c>
      <c r="F19" s="89">
        <v>0</v>
      </c>
      <c r="G19" s="89">
        <v>0</v>
      </c>
      <c r="H19" s="89">
        <v>0</v>
      </c>
      <c r="I19" s="89" t="s">
        <v>29</v>
      </c>
      <c r="J19" s="91"/>
    </row>
    <row r="20" spans="1:10" x14ac:dyDescent="0.25">
      <c r="A20" s="12">
        <f t="shared" si="0"/>
        <v>45034</v>
      </c>
      <c r="B20" s="89">
        <v>0</v>
      </c>
      <c r="C20" s="89">
        <v>0</v>
      </c>
      <c r="D20" s="89">
        <v>0</v>
      </c>
      <c r="E20" s="89">
        <v>128</v>
      </c>
      <c r="F20" s="89">
        <v>0.06</v>
      </c>
      <c r="G20" s="89">
        <v>0</v>
      </c>
      <c r="H20" s="89">
        <v>0</v>
      </c>
      <c r="I20" s="89" t="s">
        <v>29</v>
      </c>
      <c r="J20" s="91"/>
    </row>
    <row r="21" spans="1:10" x14ac:dyDescent="0.25">
      <c r="A21" s="12">
        <f t="shared" si="0"/>
        <v>45035</v>
      </c>
      <c r="B21" s="89">
        <v>0</v>
      </c>
      <c r="C21" s="89">
        <v>0</v>
      </c>
      <c r="D21" s="89">
        <v>0</v>
      </c>
      <c r="E21" s="89">
        <v>118</v>
      </c>
      <c r="F21" s="89">
        <v>0.01</v>
      </c>
      <c r="G21" s="89">
        <v>0</v>
      </c>
      <c r="H21" s="89">
        <v>0</v>
      </c>
      <c r="I21" s="89" t="s">
        <v>29</v>
      </c>
      <c r="J21" s="91"/>
    </row>
    <row r="22" spans="1:10" x14ac:dyDescent="0.25">
      <c r="A22" s="12">
        <f t="shared" si="0"/>
        <v>45036</v>
      </c>
      <c r="B22" s="89">
        <v>0</v>
      </c>
      <c r="C22" s="89">
        <v>0</v>
      </c>
      <c r="D22" s="89">
        <v>0</v>
      </c>
      <c r="E22" s="89">
        <v>97</v>
      </c>
      <c r="F22" s="89">
        <v>0</v>
      </c>
      <c r="G22" s="89">
        <v>0</v>
      </c>
      <c r="H22" s="89">
        <v>0</v>
      </c>
      <c r="I22" s="89" t="s">
        <v>29</v>
      </c>
      <c r="J22" s="91"/>
    </row>
    <row r="23" spans="1:10" x14ac:dyDescent="0.25">
      <c r="A23" s="12">
        <f t="shared" si="0"/>
        <v>45037</v>
      </c>
      <c r="B23" s="89">
        <v>0</v>
      </c>
      <c r="C23" s="89">
        <v>0</v>
      </c>
      <c r="D23" s="89">
        <v>0</v>
      </c>
      <c r="E23" s="89">
        <v>67</v>
      </c>
      <c r="F23" s="89">
        <v>0</v>
      </c>
      <c r="G23" s="89">
        <v>0</v>
      </c>
      <c r="H23" s="89">
        <v>0</v>
      </c>
      <c r="I23" s="89" t="s">
        <v>29</v>
      </c>
      <c r="J23" s="91"/>
    </row>
    <row r="24" spans="1:10" x14ac:dyDescent="0.25">
      <c r="A24" s="12">
        <f t="shared" si="0"/>
        <v>45038</v>
      </c>
      <c r="B24" s="89">
        <v>0</v>
      </c>
      <c r="C24" s="89">
        <v>0</v>
      </c>
      <c r="D24" s="89">
        <v>0</v>
      </c>
      <c r="E24" s="89">
        <v>67</v>
      </c>
      <c r="F24" s="89">
        <v>0</v>
      </c>
      <c r="G24" s="89">
        <v>0</v>
      </c>
      <c r="H24" s="89">
        <v>0</v>
      </c>
      <c r="I24" s="89" t="s">
        <v>29</v>
      </c>
      <c r="J24" s="91"/>
    </row>
    <row r="25" spans="1:10" x14ac:dyDescent="0.25">
      <c r="A25" s="12">
        <f t="shared" si="0"/>
        <v>45039</v>
      </c>
      <c r="B25" s="89">
        <v>0</v>
      </c>
      <c r="C25" s="89">
        <v>0</v>
      </c>
      <c r="D25" s="89">
        <v>0</v>
      </c>
      <c r="E25" s="89">
        <v>67</v>
      </c>
      <c r="F25" s="89">
        <v>0.02</v>
      </c>
      <c r="G25" s="89">
        <v>0</v>
      </c>
      <c r="H25" s="89">
        <v>0</v>
      </c>
      <c r="I25" s="89" t="s">
        <v>29</v>
      </c>
      <c r="J25" s="91"/>
    </row>
    <row r="26" spans="1:10" x14ac:dyDescent="0.25">
      <c r="A26" s="12">
        <f t="shared" si="0"/>
        <v>45040</v>
      </c>
      <c r="B26" s="89">
        <v>0</v>
      </c>
      <c r="C26" s="89">
        <v>0</v>
      </c>
      <c r="D26" s="89">
        <v>0</v>
      </c>
      <c r="E26" s="89">
        <v>67</v>
      </c>
      <c r="F26" s="89">
        <v>0</v>
      </c>
      <c r="G26" s="89">
        <v>0</v>
      </c>
      <c r="H26" s="89">
        <v>0</v>
      </c>
      <c r="I26" s="89" t="s">
        <v>29</v>
      </c>
      <c r="J26" s="91"/>
    </row>
    <row r="27" spans="1:10" x14ac:dyDescent="0.25">
      <c r="A27" s="12">
        <f t="shared" si="0"/>
        <v>45041</v>
      </c>
      <c r="B27" s="89">
        <v>0</v>
      </c>
      <c r="C27" s="89">
        <v>0</v>
      </c>
      <c r="D27" s="89">
        <v>0</v>
      </c>
      <c r="E27" s="89">
        <v>63</v>
      </c>
      <c r="F27" s="89">
        <v>0</v>
      </c>
      <c r="G27" s="89">
        <v>0</v>
      </c>
      <c r="H27" s="89">
        <v>0</v>
      </c>
      <c r="I27" s="89" t="s">
        <v>29</v>
      </c>
      <c r="J27" s="91"/>
    </row>
    <row r="28" spans="1:10" x14ac:dyDescent="0.25">
      <c r="A28" s="12">
        <f t="shared" si="0"/>
        <v>45042</v>
      </c>
      <c r="B28" s="89">
        <v>0</v>
      </c>
      <c r="C28" s="89">
        <v>0</v>
      </c>
      <c r="D28" s="89">
        <v>0</v>
      </c>
      <c r="E28" s="89">
        <v>63</v>
      </c>
      <c r="F28" s="89">
        <v>0</v>
      </c>
      <c r="G28" s="89">
        <v>0</v>
      </c>
      <c r="H28" s="89">
        <v>0</v>
      </c>
      <c r="I28" s="89" t="s">
        <v>29</v>
      </c>
      <c r="J28" s="91"/>
    </row>
    <row r="29" spans="1:10" x14ac:dyDescent="0.25">
      <c r="A29" s="12">
        <f t="shared" si="0"/>
        <v>45043</v>
      </c>
      <c r="B29" s="89">
        <v>0</v>
      </c>
      <c r="C29" s="89">
        <v>0</v>
      </c>
      <c r="D29" s="89">
        <v>0</v>
      </c>
      <c r="E29" s="89">
        <v>28</v>
      </c>
      <c r="F29" s="89">
        <v>0</v>
      </c>
      <c r="G29" s="89">
        <v>0</v>
      </c>
      <c r="H29" s="89">
        <v>0</v>
      </c>
      <c r="I29" s="89" t="s">
        <v>29</v>
      </c>
      <c r="J29" s="91"/>
    </row>
    <row r="30" spans="1:10" x14ac:dyDescent="0.25">
      <c r="A30" s="12">
        <f t="shared" si="0"/>
        <v>45044</v>
      </c>
      <c r="B30" s="89">
        <v>0</v>
      </c>
      <c r="C30" s="89">
        <v>0</v>
      </c>
      <c r="D30" s="89">
        <v>0</v>
      </c>
      <c r="E30" s="89">
        <v>28</v>
      </c>
      <c r="F30" s="89">
        <v>0</v>
      </c>
      <c r="G30" s="89">
        <v>0</v>
      </c>
      <c r="H30" s="89">
        <v>0</v>
      </c>
      <c r="I30" s="89" t="s">
        <v>29</v>
      </c>
      <c r="J30" s="91"/>
    </row>
    <row r="31" spans="1:10" x14ac:dyDescent="0.25">
      <c r="A31" s="12">
        <f t="shared" si="0"/>
        <v>45045</v>
      </c>
      <c r="B31" s="89">
        <v>0</v>
      </c>
      <c r="C31" s="89">
        <v>0</v>
      </c>
      <c r="D31" s="89">
        <v>0</v>
      </c>
      <c r="E31" s="89">
        <v>28</v>
      </c>
      <c r="F31" s="89">
        <v>0</v>
      </c>
      <c r="G31" s="89">
        <v>0</v>
      </c>
      <c r="H31" s="89">
        <v>0</v>
      </c>
      <c r="I31" s="89" t="s">
        <v>29</v>
      </c>
      <c r="J31" s="91"/>
    </row>
    <row r="32" spans="1:10" ht="15.75" thickBot="1" x14ac:dyDescent="0.3">
      <c r="A32" s="12">
        <f t="shared" si="0"/>
        <v>45046</v>
      </c>
      <c r="B32" s="89">
        <v>0</v>
      </c>
      <c r="C32" s="89">
        <v>0</v>
      </c>
      <c r="D32" s="89">
        <v>0</v>
      </c>
      <c r="E32" s="89">
        <v>28</v>
      </c>
      <c r="F32" s="89">
        <v>0</v>
      </c>
      <c r="G32" s="89">
        <v>0</v>
      </c>
      <c r="H32" s="89">
        <v>0</v>
      </c>
      <c r="I32" s="89" t="s">
        <v>29</v>
      </c>
      <c r="J32" s="91"/>
    </row>
    <row r="33" spans="1:16" s="11" customFormat="1" ht="15.75" thickTop="1" x14ac:dyDescent="0.25">
      <c r="A33" s="15" t="s">
        <v>8</v>
      </c>
      <c r="B33" s="16">
        <f>SUM(B3:B32)</f>
        <v>0</v>
      </c>
      <c r="C33" s="16">
        <f t="shared" ref="C33:H33" si="1">SUM(C3:C32)</f>
        <v>0</v>
      </c>
      <c r="D33" s="16">
        <f t="shared" si="1"/>
        <v>0</v>
      </c>
      <c r="E33" s="16">
        <f t="shared" si="1"/>
        <v>2987</v>
      </c>
      <c r="F33" s="17">
        <f t="shared" si="1"/>
        <v>0.38000000000000006</v>
      </c>
      <c r="G33" s="17">
        <f t="shared" si="1"/>
        <v>0</v>
      </c>
      <c r="H33" s="16">
        <f t="shared" si="1"/>
        <v>0</v>
      </c>
      <c r="I33" s="17"/>
      <c r="J33"/>
    </row>
    <row r="34" spans="1:16" s="11" customFormat="1" x14ac:dyDescent="0.25">
      <c r="A34" s="18" t="s">
        <v>9</v>
      </c>
      <c r="B34" s="19">
        <f>SUM(B33+'Mar 2023'!B35)</f>
        <v>327</v>
      </c>
      <c r="C34" s="19">
        <f>SUM(C33+'Mar 2023'!C35)</f>
        <v>0</v>
      </c>
      <c r="D34" s="19">
        <f>SUM(D33+'Mar 2023'!D35)</f>
        <v>848</v>
      </c>
      <c r="E34" s="19">
        <f>SUM(E33+'Mar 2023'!E35)</f>
        <v>14868</v>
      </c>
      <c r="F34" s="20">
        <f>SUM(F33+'Mar 2023'!F35)</f>
        <v>7.94</v>
      </c>
      <c r="G34" s="20">
        <f>SUM(G33+'Mar 2023'!G35)</f>
        <v>25.5</v>
      </c>
      <c r="H34" s="19">
        <f>SUM(H33+'Mar 2023'!H35)</f>
        <v>0</v>
      </c>
      <c r="I34" s="20"/>
    </row>
    <row r="35" spans="1:16" x14ac:dyDescent="0.25">
      <c r="J35" s="11"/>
    </row>
    <row r="36" spans="1:16" x14ac:dyDescent="0.25">
      <c r="A36" t="s">
        <v>10</v>
      </c>
      <c r="B36" s="22">
        <f>SUM(B3:B33)*1.9835</f>
        <v>0</v>
      </c>
      <c r="C36" s="22">
        <f>SUM(C3:C33)*1.9835</f>
        <v>0</v>
      </c>
      <c r="D36" s="22">
        <f>SUM(D3:D33)*1.9835</f>
        <v>0</v>
      </c>
      <c r="E36" s="22">
        <f>SUM(E3:E33)*1.9835</f>
        <v>11849.429</v>
      </c>
      <c r="F36" s="22"/>
      <c r="G36" s="22"/>
      <c r="H36" s="22"/>
      <c r="J36" s="21"/>
    </row>
    <row r="38" spans="1:16" x14ac:dyDescent="0.25">
      <c r="A38" t="s">
        <v>24</v>
      </c>
      <c r="B38" s="22">
        <f>SUM(B36+'Mar 2023'!B39)</f>
        <v>648.60450000000003</v>
      </c>
      <c r="C38" s="22">
        <f>SUM(C36+'Mar 2023'!C39)</f>
        <v>0</v>
      </c>
      <c r="D38" s="22">
        <f>SUM(D36+'Mar 2023'!D39)</f>
        <v>1682.0080000000003</v>
      </c>
      <c r="E38" s="22">
        <f>SUM(E36+'Mar 2023'!E39)</f>
        <v>35415.392500000002</v>
      </c>
      <c r="F38" s="22"/>
      <c r="G38" s="22"/>
      <c r="H38" s="22"/>
      <c r="J38" s="21"/>
    </row>
    <row r="39" spans="1:16" x14ac:dyDescent="0.25">
      <c r="C39" s="22"/>
      <c r="D39" s="22"/>
      <c r="E39" s="22"/>
      <c r="F39" s="22"/>
      <c r="G39" s="22"/>
      <c r="H39" s="22"/>
      <c r="J39" s="21"/>
    </row>
    <row r="40" spans="1:16" ht="17.45" customHeight="1" x14ac:dyDescent="0.25">
      <c r="A40" s="102"/>
      <c r="B40" s="102"/>
      <c r="C40" s="102"/>
      <c r="D40" s="102"/>
      <c r="E40" s="102"/>
      <c r="F40" s="102"/>
      <c r="G40" s="103"/>
      <c r="H40" s="104" t="s">
        <v>12</v>
      </c>
      <c r="I40" s="105"/>
      <c r="J40" s="26"/>
      <c r="K40" s="26"/>
      <c r="L40" s="26"/>
      <c r="M40" s="26"/>
      <c r="N40" s="26"/>
      <c r="O40" s="27"/>
      <c r="P40" s="26"/>
    </row>
    <row r="41" spans="1:16" ht="16.899999999999999" customHeight="1" x14ac:dyDescent="0.25">
      <c r="A41" s="25"/>
      <c r="B41" s="25"/>
      <c r="C41" s="25"/>
      <c r="D41" s="25"/>
      <c r="E41" s="25"/>
      <c r="F41" s="25"/>
      <c r="G41" s="25"/>
      <c r="H41" s="104"/>
      <c r="I41" s="105"/>
      <c r="J41" s="26"/>
      <c r="K41" s="26"/>
      <c r="L41" s="26"/>
      <c r="M41" s="26"/>
      <c r="N41" s="26"/>
      <c r="O41" s="27"/>
      <c r="P41" s="26"/>
    </row>
    <row r="42" spans="1:16" ht="13.9" customHeight="1" x14ac:dyDescent="0.25">
      <c r="A42" s="107" t="s">
        <v>23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28"/>
      <c r="M42" s="28"/>
      <c r="N42" s="28"/>
      <c r="O42" s="29"/>
      <c r="P42" s="28"/>
    </row>
    <row r="43" spans="1:16" ht="15.6" customHeight="1" x14ac:dyDescent="0.25">
      <c r="A43" s="37" t="s">
        <v>17</v>
      </c>
      <c r="B43" s="95"/>
      <c r="C43" s="31"/>
      <c r="D43" s="32"/>
      <c r="E43" s="32"/>
      <c r="F43" s="33"/>
      <c r="G43" s="34"/>
      <c r="H43" s="35"/>
      <c r="I43" s="36"/>
      <c r="J43" s="28"/>
      <c r="K43" s="28"/>
      <c r="L43" s="28"/>
      <c r="M43" s="28"/>
      <c r="N43" s="28"/>
      <c r="O43" s="29"/>
    </row>
    <row r="44" spans="1:16" x14ac:dyDescent="0.25">
      <c r="A44" s="30"/>
      <c r="B44" s="96"/>
      <c r="C44" s="31"/>
      <c r="D44" s="32"/>
      <c r="E44" s="32"/>
      <c r="F44" s="38"/>
      <c r="G44" s="34">
        <f>SUM(24-E44)</f>
        <v>24</v>
      </c>
      <c r="H44" s="35">
        <f>SUM(D44+F44)</f>
        <v>0</v>
      </c>
      <c r="I44" s="36">
        <f>SUM(D44/24*E44+H44/24*G44)</f>
        <v>0</v>
      </c>
      <c r="J44" s="28"/>
      <c r="K44" s="28"/>
      <c r="L44" s="28"/>
      <c r="M44" s="28"/>
      <c r="N44" s="28"/>
      <c r="O44" s="29"/>
    </row>
    <row r="45" spans="1:16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8"/>
      <c r="O45" s="29"/>
    </row>
    <row r="46" spans="1:16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8"/>
      <c r="O46" s="29"/>
    </row>
    <row r="47" spans="1:16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28"/>
      <c r="K47" s="28"/>
      <c r="L47" s="28"/>
      <c r="M47" s="28"/>
      <c r="N47" s="28"/>
      <c r="O47" s="29"/>
    </row>
    <row r="48" spans="1:16" x14ac:dyDescent="0.25">
      <c r="A48" s="30"/>
      <c r="B48" s="96"/>
      <c r="C48" s="31"/>
      <c r="D48" s="32"/>
      <c r="E48" s="32"/>
      <c r="F48" s="38"/>
      <c r="G48" s="34">
        <f>SUM(24-E48)</f>
        <v>24</v>
      </c>
      <c r="H48" s="35">
        <f>SUM(D48+F48)</f>
        <v>0</v>
      </c>
      <c r="I48" s="36">
        <f>SUM(D48/24*E48+H48/24*G48)</f>
        <v>0</v>
      </c>
      <c r="J48" s="28"/>
      <c r="K48" s="28"/>
      <c r="L48" s="28"/>
      <c r="M48" s="28"/>
      <c r="N48" s="28"/>
      <c r="O48" s="29"/>
    </row>
    <row r="49" spans="1:16" ht="13.15" customHeight="1" x14ac:dyDescent="0.25">
      <c r="A49" s="39"/>
      <c r="B49" s="39"/>
      <c r="C49" s="40"/>
      <c r="D49" s="40"/>
      <c r="E49" s="40"/>
      <c r="F49" s="40"/>
      <c r="G49" s="40"/>
      <c r="H49" s="41"/>
      <c r="I49" s="28"/>
      <c r="J49" s="28"/>
      <c r="K49" s="28"/>
      <c r="L49" s="28"/>
      <c r="M49" s="28"/>
      <c r="N49" s="28"/>
      <c r="O49" s="29"/>
      <c r="P49" s="28"/>
    </row>
    <row r="50" spans="1:16" ht="15.75" thickBot="1" x14ac:dyDescent="0.3">
      <c r="A50" s="42" t="s">
        <v>18</v>
      </c>
      <c r="B50" s="42"/>
      <c r="C50" s="42"/>
      <c r="D50" s="42"/>
      <c r="E50" s="42"/>
      <c r="F50" s="43"/>
      <c r="G50" s="44"/>
      <c r="H50" s="41"/>
      <c r="I50" s="28"/>
      <c r="J50" s="28"/>
      <c r="K50" s="28"/>
      <c r="L50" s="28"/>
      <c r="M50" s="28"/>
      <c r="N50" s="28"/>
      <c r="O50" s="29"/>
      <c r="P50" s="28"/>
    </row>
    <row r="51" spans="1:16" ht="26.25" x14ac:dyDescent="0.25">
      <c r="A51" s="45" t="s">
        <v>19</v>
      </c>
      <c r="B51" s="97"/>
      <c r="C51" s="46" t="s">
        <v>13</v>
      </c>
      <c r="D51" s="47" t="s">
        <v>14</v>
      </c>
      <c r="E51" s="47" t="s">
        <v>15</v>
      </c>
      <c r="F51" s="48" t="s">
        <v>16</v>
      </c>
      <c r="G51" s="49" t="s">
        <v>20</v>
      </c>
      <c r="H51" s="50"/>
      <c r="I51" s="51"/>
      <c r="J51" s="52"/>
      <c r="K51" s="52"/>
    </row>
    <row r="52" spans="1:16" ht="15.75" x14ac:dyDescent="0.25">
      <c r="A52" s="53"/>
      <c r="B52" s="98"/>
      <c r="C52" s="54"/>
      <c r="D52" s="55"/>
      <c r="E52" s="56"/>
      <c r="F52" s="57"/>
      <c r="G52" s="58">
        <f>SUM(D52/24*E52)</f>
        <v>0</v>
      </c>
      <c r="H52" s="59"/>
      <c r="I52" s="60"/>
      <c r="J52" s="61"/>
      <c r="K52" s="61"/>
    </row>
    <row r="53" spans="1:16" x14ac:dyDescent="0.25">
      <c r="A53" s="62"/>
      <c r="B53" s="99"/>
      <c r="C53" s="63"/>
      <c r="D53" s="64"/>
      <c r="E53" s="56"/>
      <c r="F53" s="65"/>
      <c r="G53" s="66">
        <f>SUM(D53/24*E53)</f>
        <v>0</v>
      </c>
      <c r="H53" s="59"/>
      <c r="I53" s="60"/>
    </row>
    <row r="54" spans="1:16" x14ac:dyDescent="0.25">
      <c r="A54" s="62"/>
      <c r="B54" s="99"/>
      <c r="C54" s="63"/>
      <c r="D54" s="64"/>
      <c r="E54" s="56"/>
      <c r="F54" s="67"/>
      <c r="G54" s="66">
        <f>SUM(D54/24*E54)</f>
        <v>0</v>
      </c>
      <c r="H54" s="59"/>
      <c r="I54" s="60"/>
    </row>
    <row r="55" spans="1:16" x14ac:dyDescent="0.25">
      <c r="A55" s="62"/>
      <c r="B55" s="99"/>
      <c r="C55" s="63"/>
      <c r="D55" s="64"/>
      <c r="E55" s="56"/>
      <c r="F55" s="67"/>
      <c r="G55" s="66">
        <f>SUM(D55/24*E55)</f>
        <v>0</v>
      </c>
      <c r="H55" s="59"/>
      <c r="I55" s="60"/>
    </row>
    <row r="56" spans="1:16" ht="15.75" thickBot="1" x14ac:dyDescent="0.3">
      <c r="A56" s="68"/>
      <c r="B56" s="100"/>
      <c r="C56" s="69"/>
      <c r="D56" s="70"/>
      <c r="E56" s="71"/>
      <c r="F56" s="70"/>
      <c r="G56" s="72">
        <f>SUM(D56/24*E56)</f>
        <v>0</v>
      </c>
      <c r="H56" s="59"/>
      <c r="I56" s="60"/>
    </row>
    <row r="57" spans="1:16" s="78" customFormat="1" ht="30" customHeight="1" x14ac:dyDescent="0.25">
      <c r="A57" s="108" t="s">
        <v>21</v>
      </c>
      <c r="B57" s="109"/>
      <c r="C57" s="109"/>
      <c r="D57" s="110"/>
      <c r="E57" s="73">
        <f>SUM(E52:E56)</f>
        <v>0</v>
      </c>
      <c r="F57" s="74" t="s">
        <v>22</v>
      </c>
      <c r="G57" s="75">
        <f>SUM(G52:G56)</f>
        <v>0</v>
      </c>
      <c r="H57" s="76"/>
      <c r="I57" s="77"/>
    </row>
  </sheetData>
  <mergeCells count="4">
    <mergeCell ref="A40:G40"/>
    <mergeCell ref="H40:I41"/>
    <mergeCell ref="A42:K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58"/>
  <sheetViews>
    <sheetView zoomScaleNormal="10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H32" sqref="H32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81" t="s">
        <v>0</v>
      </c>
      <c r="B1" s="9" t="s">
        <v>28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0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79"/>
    </row>
    <row r="3" spans="1:10" x14ac:dyDescent="0.25">
      <c r="A3" s="12">
        <v>44986</v>
      </c>
      <c r="B3" s="89">
        <v>0</v>
      </c>
      <c r="C3" s="89">
        <v>0</v>
      </c>
      <c r="D3" s="89">
        <v>0</v>
      </c>
      <c r="E3" s="89">
        <v>39</v>
      </c>
      <c r="F3" s="89">
        <v>0.02</v>
      </c>
      <c r="G3" s="89">
        <v>0</v>
      </c>
      <c r="H3" s="89">
        <v>0</v>
      </c>
      <c r="I3" s="89" t="s">
        <v>29</v>
      </c>
      <c r="J3" s="91"/>
    </row>
    <row r="4" spans="1:10" x14ac:dyDescent="0.25">
      <c r="A4" s="12">
        <f>A3+1</f>
        <v>44987</v>
      </c>
      <c r="B4" s="89">
        <v>0</v>
      </c>
      <c r="C4" s="89">
        <v>0</v>
      </c>
      <c r="D4" s="89">
        <v>0</v>
      </c>
      <c r="E4" s="89">
        <v>40</v>
      </c>
      <c r="F4" s="89">
        <v>0</v>
      </c>
      <c r="G4" s="89">
        <v>0</v>
      </c>
      <c r="H4" s="89">
        <v>0</v>
      </c>
      <c r="I4" s="89" t="s">
        <v>29</v>
      </c>
      <c r="J4" s="91"/>
    </row>
    <row r="5" spans="1:10" x14ac:dyDescent="0.25">
      <c r="A5" s="12">
        <f t="shared" ref="A5:A33" si="0">A4+1</f>
        <v>44988</v>
      </c>
      <c r="B5" s="89">
        <v>0</v>
      </c>
      <c r="C5" s="89">
        <v>0</v>
      </c>
      <c r="D5" s="89">
        <v>0</v>
      </c>
      <c r="E5" s="89">
        <v>38</v>
      </c>
      <c r="F5" s="89">
        <v>0</v>
      </c>
      <c r="G5" s="89">
        <v>0</v>
      </c>
      <c r="H5" s="89">
        <v>0</v>
      </c>
      <c r="I5" s="89" t="s">
        <v>29</v>
      </c>
      <c r="J5" s="91"/>
    </row>
    <row r="6" spans="1:10" x14ac:dyDescent="0.25">
      <c r="A6" s="12">
        <f t="shared" si="0"/>
        <v>44989</v>
      </c>
      <c r="B6" s="89">
        <v>0</v>
      </c>
      <c r="C6" s="89">
        <v>0</v>
      </c>
      <c r="D6" s="89">
        <v>0</v>
      </c>
      <c r="E6" s="89">
        <v>38</v>
      </c>
      <c r="F6" s="89">
        <v>0.04</v>
      </c>
      <c r="G6" s="89">
        <v>1</v>
      </c>
      <c r="H6" s="89">
        <v>0</v>
      </c>
      <c r="I6" s="89" t="s">
        <v>29</v>
      </c>
      <c r="J6" s="91"/>
    </row>
    <row r="7" spans="1:10" x14ac:dyDescent="0.25">
      <c r="A7" s="12">
        <f t="shared" si="0"/>
        <v>44990</v>
      </c>
      <c r="B7" s="89">
        <v>0</v>
      </c>
      <c r="C7" s="89">
        <v>0</v>
      </c>
      <c r="D7" s="89">
        <v>0</v>
      </c>
      <c r="E7" s="89">
        <v>39</v>
      </c>
      <c r="F7" s="89">
        <v>0.03</v>
      </c>
      <c r="G7" s="89">
        <v>2</v>
      </c>
      <c r="H7" s="89">
        <v>0</v>
      </c>
      <c r="I7" s="89" t="s">
        <v>29</v>
      </c>
      <c r="J7" s="91"/>
    </row>
    <row r="8" spans="1:10" x14ac:dyDescent="0.25">
      <c r="A8" s="12">
        <f t="shared" si="0"/>
        <v>44991</v>
      </c>
      <c r="B8" s="89">
        <v>0</v>
      </c>
      <c r="C8" s="89">
        <v>0</v>
      </c>
      <c r="D8" s="89">
        <v>0</v>
      </c>
      <c r="E8" s="89">
        <v>41</v>
      </c>
      <c r="F8" s="89">
        <v>0</v>
      </c>
      <c r="G8" s="89">
        <v>0</v>
      </c>
      <c r="H8" s="89">
        <v>0</v>
      </c>
      <c r="I8" s="89" t="s">
        <v>29</v>
      </c>
      <c r="J8" s="91"/>
    </row>
    <row r="9" spans="1:10" x14ac:dyDescent="0.25">
      <c r="A9" s="94">
        <v>44262</v>
      </c>
      <c r="B9" s="89">
        <v>0</v>
      </c>
      <c r="C9" s="89">
        <v>0</v>
      </c>
      <c r="D9" s="89">
        <v>0</v>
      </c>
      <c r="E9" s="89">
        <v>41</v>
      </c>
      <c r="F9" s="89" t="s">
        <v>30</v>
      </c>
      <c r="G9" s="89">
        <v>0</v>
      </c>
      <c r="H9" s="89">
        <v>0</v>
      </c>
      <c r="I9" s="89" t="s">
        <v>29</v>
      </c>
      <c r="J9" s="91"/>
    </row>
    <row r="10" spans="1:10" x14ac:dyDescent="0.25">
      <c r="A10" s="94">
        <v>44263</v>
      </c>
      <c r="B10" s="89">
        <v>0</v>
      </c>
      <c r="C10" s="89">
        <v>0</v>
      </c>
      <c r="D10" s="89">
        <v>0</v>
      </c>
      <c r="E10" s="89">
        <v>41</v>
      </c>
      <c r="F10" s="89">
        <v>0.3</v>
      </c>
      <c r="G10" s="89">
        <v>5</v>
      </c>
      <c r="H10" s="89">
        <v>0</v>
      </c>
      <c r="I10" s="89" t="s">
        <v>29</v>
      </c>
      <c r="J10" s="91"/>
    </row>
    <row r="11" spans="1:10" x14ac:dyDescent="0.25">
      <c r="A11" s="94">
        <v>44264</v>
      </c>
      <c r="B11" s="89">
        <v>0</v>
      </c>
      <c r="C11" s="89">
        <v>0</v>
      </c>
      <c r="D11" s="89">
        <v>0</v>
      </c>
      <c r="E11" s="89">
        <v>43</v>
      </c>
      <c r="F11" s="89">
        <v>0.01</v>
      </c>
      <c r="G11" s="89">
        <v>1</v>
      </c>
      <c r="H11" s="89">
        <v>0</v>
      </c>
      <c r="I11" s="89" t="s">
        <v>29</v>
      </c>
      <c r="J11" s="91"/>
    </row>
    <row r="12" spans="1:10" x14ac:dyDescent="0.25">
      <c r="A12" s="94">
        <v>44265</v>
      </c>
      <c r="B12" s="89">
        <v>0</v>
      </c>
      <c r="C12" s="89">
        <v>0</v>
      </c>
      <c r="D12" s="89">
        <v>0</v>
      </c>
      <c r="E12" s="89">
        <v>41</v>
      </c>
      <c r="F12" s="89">
        <v>0.02</v>
      </c>
      <c r="G12" s="89">
        <v>0</v>
      </c>
      <c r="H12" s="89">
        <v>0</v>
      </c>
      <c r="I12" s="89" t="s">
        <v>29</v>
      </c>
      <c r="J12" s="91"/>
    </row>
    <row r="13" spans="1:10" x14ac:dyDescent="0.25">
      <c r="A13" s="94">
        <v>44266</v>
      </c>
      <c r="B13" s="89">
        <v>0</v>
      </c>
      <c r="C13" s="89">
        <v>0</v>
      </c>
      <c r="D13" s="89">
        <v>0</v>
      </c>
      <c r="E13" s="89">
        <v>66</v>
      </c>
      <c r="F13" s="89">
        <v>0.02</v>
      </c>
      <c r="G13" s="89">
        <v>0</v>
      </c>
      <c r="H13" s="89">
        <v>0</v>
      </c>
      <c r="I13" s="89" t="s">
        <v>29</v>
      </c>
      <c r="J13" s="88"/>
    </row>
    <row r="14" spans="1:10" x14ac:dyDescent="0.25">
      <c r="A14" s="94">
        <v>44267</v>
      </c>
      <c r="B14" s="89">
        <v>0</v>
      </c>
      <c r="C14" s="89">
        <v>0</v>
      </c>
      <c r="D14" s="89">
        <v>0</v>
      </c>
      <c r="E14" s="89">
        <v>71</v>
      </c>
      <c r="F14" s="89">
        <v>0.06</v>
      </c>
      <c r="G14" s="89">
        <v>0</v>
      </c>
      <c r="H14" s="89">
        <v>0</v>
      </c>
      <c r="I14" s="89" t="s">
        <v>29</v>
      </c>
      <c r="J14" s="88"/>
    </row>
    <row r="15" spans="1:10" x14ac:dyDescent="0.25">
      <c r="A15" s="94">
        <v>44268</v>
      </c>
      <c r="B15" s="89">
        <v>0</v>
      </c>
      <c r="C15" s="89">
        <v>0</v>
      </c>
      <c r="D15" s="89">
        <v>0</v>
      </c>
      <c r="E15" s="89">
        <v>78</v>
      </c>
      <c r="F15" s="89">
        <v>0.02</v>
      </c>
      <c r="G15" s="89">
        <v>0</v>
      </c>
      <c r="H15" s="89">
        <v>0</v>
      </c>
      <c r="I15" s="89"/>
      <c r="J15" s="88"/>
    </row>
    <row r="16" spans="1:10" x14ac:dyDescent="0.25">
      <c r="A16" s="94">
        <v>44269</v>
      </c>
      <c r="B16" s="89">
        <v>0</v>
      </c>
      <c r="C16" s="89">
        <v>0</v>
      </c>
      <c r="D16" s="89">
        <v>0</v>
      </c>
      <c r="E16" s="89">
        <v>80</v>
      </c>
      <c r="F16" s="89">
        <v>0.25</v>
      </c>
      <c r="G16" s="89">
        <v>0</v>
      </c>
      <c r="H16" s="89">
        <v>0</v>
      </c>
      <c r="I16" s="89"/>
      <c r="J16" s="91"/>
    </row>
    <row r="17" spans="1:10" x14ac:dyDescent="0.25">
      <c r="A17" s="12">
        <f t="shared" si="0"/>
        <v>44270</v>
      </c>
      <c r="B17" s="89">
        <v>0</v>
      </c>
      <c r="C17" s="89">
        <v>0</v>
      </c>
      <c r="D17" s="89">
        <v>0</v>
      </c>
      <c r="E17" s="89">
        <v>140</v>
      </c>
      <c r="F17" s="89">
        <v>0.33</v>
      </c>
      <c r="G17" s="89">
        <v>0</v>
      </c>
      <c r="H17" s="89">
        <v>0</v>
      </c>
      <c r="I17" s="89"/>
      <c r="J17" s="91"/>
    </row>
    <row r="18" spans="1:10" x14ac:dyDescent="0.25">
      <c r="A18" s="12">
        <f t="shared" si="0"/>
        <v>44271</v>
      </c>
      <c r="B18" s="89">
        <v>0</v>
      </c>
      <c r="C18" s="89">
        <v>0</v>
      </c>
      <c r="D18" s="89">
        <v>126</v>
      </c>
      <c r="E18" s="89">
        <v>369</v>
      </c>
      <c r="F18" s="89">
        <v>0.01</v>
      </c>
      <c r="G18" s="89">
        <v>0</v>
      </c>
      <c r="H18" s="89">
        <v>0</v>
      </c>
      <c r="I18" s="89"/>
      <c r="J18" s="91"/>
    </row>
    <row r="19" spans="1:10" x14ac:dyDescent="0.25">
      <c r="A19" s="12">
        <f t="shared" si="0"/>
        <v>44272</v>
      </c>
      <c r="B19" s="89">
        <v>0</v>
      </c>
      <c r="C19" s="89">
        <v>0</v>
      </c>
      <c r="D19" s="89">
        <v>160</v>
      </c>
      <c r="E19" s="89">
        <v>423</v>
      </c>
      <c r="F19" s="89">
        <v>0</v>
      </c>
      <c r="G19" s="89">
        <v>0</v>
      </c>
      <c r="H19" s="89">
        <v>0</v>
      </c>
      <c r="I19" s="89"/>
      <c r="J19" s="91"/>
    </row>
    <row r="20" spans="1:10" x14ac:dyDescent="0.25">
      <c r="A20" s="12">
        <f t="shared" si="0"/>
        <v>44273</v>
      </c>
      <c r="B20" s="89">
        <v>0</v>
      </c>
      <c r="C20" s="89">
        <v>0</v>
      </c>
      <c r="D20" s="89">
        <v>13</v>
      </c>
      <c r="E20" s="89">
        <v>423</v>
      </c>
      <c r="F20" s="89">
        <v>0</v>
      </c>
      <c r="G20" s="89">
        <v>0</v>
      </c>
      <c r="H20" s="89">
        <v>0</v>
      </c>
      <c r="I20" s="89"/>
      <c r="J20" s="91"/>
    </row>
    <row r="21" spans="1:10" x14ac:dyDescent="0.25">
      <c r="A21" s="12">
        <f t="shared" si="0"/>
        <v>44274</v>
      </c>
      <c r="B21" s="89">
        <v>0</v>
      </c>
      <c r="C21" s="89">
        <v>0</v>
      </c>
      <c r="D21" s="89">
        <v>0</v>
      </c>
      <c r="E21" s="89">
        <v>377</v>
      </c>
      <c r="F21" s="89">
        <v>0</v>
      </c>
      <c r="G21" s="89">
        <v>0</v>
      </c>
      <c r="H21" s="89">
        <v>0</v>
      </c>
      <c r="I21" s="89"/>
      <c r="J21" s="91"/>
    </row>
    <row r="22" spans="1:10" x14ac:dyDescent="0.25">
      <c r="A22" s="12">
        <f t="shared" si="0"/>
        <v>44275</v>
      </c>
      <c r="B22" s="89">
        <v>0</v>
      </c>
      <c r="C22" s="89">
        <v>0</v>
      </c>
      <c r="D22" s="89">
        <v>0</v>
      </c>
      <c r="E22" s="89">
        <v>327</v>
      </c>
      <c r="F22" s="89">
        <v>0</v>
      </c>
      <c r="G22" s="89">
        <v>0</v>
      </c>
      <c r="H22" s="89">
        <v>0</v>
      </c>
      <c r="I22" s="89"/>
      <c r="J22" s="91"/>
    </row>
    <row r="23" spans="1:10" x14ac:dyDescent="0.25">
      <c r="A23" s="12">
        <f t="shared" si="0"/>
        <v>44276</v>
      </c>
      <c r="B23" s="89">
        <v>0</v>
      </c>
      <c r="C23" s="89">
        <v>0</v>
      </c>
      <c r="D23" s="89">
        <v>0</v>
      </c>
      <c r="E23" s="89">
        <v>276</v>
      </c>
      <c r="F23" s="89">
        <v>0</v>
      </c>
      <c r="G23" s="89">
        <v>0</v>
      </c>
      <c r="H23" s="89">
        <v>0</v>
      </c>
      <c r="I23" s="89"/>
      <c r="J23" s="91"/>
    </row>
    <row r="24" spans="1:10" x14ac:dyDescent="0.25">
      <c r="A24" s="12">
        <f t="shared" si="0"/>
        <v>44277</v>
      </c>
      <c r="B24" s="89">
        <v>0</v>
      </c>
      <c r="C24" s="89">
        <v>0</v>
      </c>
      <c r="D24" s="89">
        <v>0</v>
      </c>
      <c r="E24" s="89">
        <v>256</v>
      </c>
      <c r="F24" s="89">
        <v>0.17</v>
      </c>
      <c r="G24" s="89">
        <v>0</v>
      </c>
      <c r="H24" s="89">
        <v>0</v>
      </c>
      <c r="I24" s="89"/>
      <c r="J24" s="88"/>
    </row>
    <row r="25" spans="1:10" x14ac:dyDescent="0.25">
      <c r="A25" s="12">
        <f t="shared" si="0"/>
        <v>44278</v>
      </c>
      <c r="B25" s="89">
        <v>0</v>
      </c>
      <c r="C25" s="89">
        <v>0</v>
      </c>
      <c r="D25" s="89">
        <v>0</v>
      </c>
      <c r="E25" s="89">
        <v>229</v>
      </c>
      <c r="F25" s="89">
        <v>0.15</v>
      </c>
      <c r="G25" s="89">
        <v>0</v>
      </c>
      <c r="H25" s="89">
        <v>0</v>
      </c>
      <c r="I25" s="89"/>
      <c r="J25" s="88"/>
    </row>
    <row r="26" spans="1:10" x14ac:dyDescent="0.25">
      <c r="A26" s="12">
        <f t="shared" si="0"/>
        <v>44279</v>
      </c>
      <c r="B26" s="89">
        <v>0</v>
      </c>
      <c r="C26" s="89">
        <v>0</v>
      </c>
      <c r="D26" s="89">
        <v>0</v>
      </c>
      <c r="E26" s="89">
        <v>208</v>
      </c>
      <c r="F26" s="89">
        <v>0.04</v>
      </c>
      <c r="G26" s="89">
        <v>0</v>
      </c>
      <c r="H26" s="89">
        <v>0</v>
      </c>
      <c r="I26" s="89"/>
      <c r="J26" s="88"/>
    </row>
    <row r="27" spans="1:10" x14ac:dyDescent="0.25">
      <c r="A27" s="12">
        <f t="shared" si="0"/>
        <v>44280</v>
      </c>
      <c r="B27" s="89">
        <v>0</v>
      </c>
      <c r="C27" s="89">
        <v>0</v>
      </c>
      <c r="D27" s="89">
        <v>0</v>
      </c>
      <c r="E27" s="89">
        <v>208</v>
      </c>
      <c r="F27" s="89">
        <v>0.05</v>
      </c>
      <c r="G27" s="89">
        <v>0</v>
      </c>
      <c r="H27" s="89">
        <v>0</v>
      </c>
      <c r="I27" s="89"/>
      <c r="J27" s="88"/>
    </row>
    <row r="28" spans="1:10" x14ac:dyDescent="0.25">
      <c r="A28" s="12">
        <f t="shared" si="0"/>
        <v>44281</v>
      </c>
      <c r="B28" s="89">
        <v>0</v>
      </c>
      <c r="C28" s="89">
        <v>0</v>
      </c>
      <c r="D28" s="89">
        <v>0</v>
      </c>
      <c r="E28" s="89">
        <v>208</v>
      </c>
      <c r="F28" s="89">
        <v>0</v>
      </c>
      <c r="G28" s="89">
        <v>0</v>
      </c>
      <c r="H28" s="89">
        <v>0</v>
      </c>
      <c r="I28" s="89"/>
      <c r="J28" s="88"/>
    </row>
    <row r="29" spans="1:10" x14ac:dyDescent="0.25">
      <c r="A29" s="12">
        <f t="shared" si="0"/>
        <v>44282</v>
      </c>
      <c r="B29" s="89">
        <v>0</v>
      </c>
      <c r="C29" s="89">
        <v>0</v>
      </c>
      <c r="D29" s="89">
        <v>0</v>
      </c>
      <c r="E29" s="89">
        <v>198</v>
      </c>
      <c r="F29" s="89">
        <v>0</v>
      </c>
      <c r="G29" s="89">
        <v>0</v>
      </c>
      <c r="H29" s="89">
        <v>0</v>
      </c>
      <c r="I29" s="89"/>
      <c r="J29" s="88"/>
    </row>
    <row r="30" spans="1:10" x14ac:dyDescent="0.25">
      <c r="A30" s="12">
        <f t="shared" si="0"/>
        <v>44283</v>
      </c>
      <c r="B30" s="89">
        <v>0</v>
      </c>
      <c r="C30" s="89">
        <v>0</v>
      </c>
      <c r="D30" s="89">
        <v>0</v>
      </c>
      <c r="E30" s="89">
        <v>126</v>
      </c>
      <c r="F30" s="89">
        <v>0.08</v>
      </c>
      <c r="G30" s="89">
        <v>0</v>
      </c>
      <c r="H30" s="89">
        <v>0</v>
      </c>
      <c r="I30" s="89"/>
      <c r="J30" s="88"/>
    </row>
    <row r="31" spans="1:10" x14ac:dyDescent="0.25">
      <c r="A31" s="12">
        <f t="shared" si="0"/>
        <v>44284</v>
      </c>
      <c r="B31" s="89">
        <v>0</v>
      </c>
      <c r="C31" s="89">
        <v>0</v>
      </c>
      <c r="D31" s="89">
        <v>0</v>
      </c>
      <c r="E31" s="89">
        <v>101</v>
      </c>
      <c r="F31" s="89">
        <v>0</v>
      </c>
      <c r="G31" s="89">
        <v>0</v>
      </c>
      <c r="H31" s="89">
        <v>0</v>
      </c>
      <c r="I31" s="89"/>
      <c r="J31" s="88"/>
    </row>
    <row r="32" spans="1:10" x14ac:dyDescent="0.25">
      <c r="A32" s="12">
        <f t="shared" si="0"/>
        <v>44285</v>
      </c>
      <c r="B32" s="89">
        <v>0</v>
      </c>
      <c r="C32" s="89">
        <v>0</v>
      </c>
      <c r="D32" s="89">
        <v>0</v>
      </c>
      <c r="E32" s="89">
        <v>105</v>
      </c>
      <c r="F32" s="89">
        <v>0</v>
      </c>
      <c r="G32" s="89">
        <v>0</v>
      </c>
      <c r="H32" s="89">
        <v>0</v>
      </c>
      <c r="I32" s="89"/>
      <c r="J32" s="88"/>
    </row>
    <row r="33" spans="1:16" ht="15.75" thickBot="1" x14ac:dyDescent="0.3">
      <c r="A33" s="12">
        <f t="shared" si="0"/>
        <v>44286</v>
      </c>
      <c r="B33" s="89">
        <v>0</v>
      </c>
      <c r="C33" s="89">
        <v>0</v>
      </c>
      <c r="D33" s="89">
        <v>0</v>
      </c>
      <c r="E33" s="89">
        <v>92</v>
      </c>
      <c r="F33" s="89">
        <v>0</v>
      </c>
      <c r="G33" s="89">
        <v>0</v>
      </c>
      <c r="H33" s="89">
        <v>0</v>
      </c>
      <c r="I33" s="89"/>
      <c r="J33" s="88"/>
    </row>
    <row r="34" spans="1:16" s="11" customFormat="1" ht="15.75" thickTop="1" x14ac:dyDescent="0.25">
      <c r="A34" s="15" t="s">
        <v>8</v>
      </c>
      <c r="B34" s="16">
        <f>SUM(B3:B33)</f>
        <v>0</v>
      </c>
      <c r="C34" s="16">
        <f t="shared" ref="C34:H34" si="1">SUM(C3:C33)</f>
        <v>0</v>
      </c>
      <c r="D34" s="16">
        <f>SUM(D3:D33)</f>
        <v>299</v>
      </c>
      <c r="E34" s="16">
        <f t="shared" si="1"/>
        <v>4762</v>
      </c>
      <c r="F34" s="17">
        <f t="shared" si="1"/>
        <v>1.6</v>
      </c>
      <c r="G34" s="17">
        <f t="shared" si="1"/>
        <v>9</v>
      </c>
      <c r="H34" s="16">
        <f t="shared" si="1"/>
        <v>0</v>
      </c>
      <c r="I34" s="17"/>
    </row>
    <row r="35" spans="1:16" s="11" customFormat="1" x14ac:dyDescent="0.25">
      <c r="A35" s="18" t="s">
        <v>9</v>
      </c>
      <c r="B35" s="19">
        <f>SUM(B34+'Feb 2023'!B33)</f>
        <v>327</v>
      </c>
      <c r="C35" s="19">
        <f>SUM(C34+'Feb 2023'!C33)</f>
        <v>0</v>
      </c>
      <c r="D35" s="19">
        <f>SUM(D34+'Feb 2023'!D33)</f>
        <v>848</v>
      </c>
      <c r="E35" s="19">
        <f>SUM(E34+'Feb 2023'!E33)</f>
        <v>11881</v>
      </c>
      <c r="F35" s="20">
        <f>SUM(F34+'Feb 2023'!F33)</f>
        <v>7.5600000000000005</v>
      </c>
      <c r="G35" s="20">
        <f>SUM(G34+'Feb 2023'!G33)</f>
        <v>25.5</v>
      </c>
      <c r="H35" s="19">
        <f>SUM(H34+'Feb 2023'!H33)</f>
        <v>0</v>
      </c>
      <c r="I35" s="20"/>
    </row>
    <row r="37" spans="1:16" x14ac:dyDescent="0.25">
      <c r="A37" t="s">
        <v>10</v>
      </c>
      <c r="B37" s="22">
        <f>SUM(B3:B33)*1.9835</f>
        <v>0</v>
      </c>
      <c r="C37" s="22">
        <f>SUM(C3:C33)*1.9835</f>
        <v>0</v>
      </c>
      <c r="D37" s="22">
        <f>SUM(D3:D33)*1.9835</f>
        <v>593.06650000000002</v>
      </c>
      <c r="E37" s="22">
        <f>SUM(E3:E33)*1.9835</f>
        <v>9445.4269999999997</v>
      </c>
      <c r="F37" s="22"/>
      <c r="G37" s="22"/>
      <c r="H37" s="22"/>
      <c r="J37" s="21"/>
    </row>
    <row r="39" spans="1:16" x14ac:dyDescent="0.25">
      <c r="A39" t="s">
        <v>24</v>
      </c>
      <c r="B39" s="22">
        <f>SUM(B37+'Feb 2023'!B37)</f>
        <v>648.60450000000003</v>
      </c>
      <c r="C39" s="22">
        <f>SUM(C37+'Feb 2023'!C37)</f>
        <v>0</v>
      </c>
      <c r="D39" s="22">
        <f>SUM(D37+'Feb 2023'!D37)</f>
        <v>1682.0080000000003</v>
      </c>
      <c r="E39" s="22">
        <f>SUM(E37+'Feb 2023'!E37)</f>
        <v>23565.963499999998</v>
      </c>
      <c r="F39" s="22"/>
      <c r="G39" s="22"/>
      <c r="H39" s="22"/>
      <c r="J39" s="21"/>
    </row>
    <row r="40" spans="1:16" x14ac:dyDescent="0.25">
      <c r="C40" s="22"/>
      <c r="D40" s="22"/>
      <c r="E40" s="22"/>
      <c r="F40" s="22"/>
      <c r="G40" s="22"/>
      <c r="H40" s="22"/>
      <c r="J40" s="21"/>
    </row>
    <row r="41" spans="1:16" ht="17.45" customHeight="1" x14ac:dyDescent="0.25">
      <c r="A41" s="102"/>
      <c r="B41" s="102"/>
      <c r="C41" s="102"/>
      <c r="D41" s="102"/>
      <c r="E41" s="102"/>
      <c r="F41" s="102"/>
      <c r="G41" s="103"/>
      <c r="H41" s="104" t="s">
        <v>12</v>
      </c>
      <c r="I41" s="105"/>
      <c r="J41" s="26"/>
      <c r="K41" s="26"/>
      <c r="L41" s="26"/>
      <c r="M41" s="26"/>
      <c r="N41" s="26"/>
      <c r="O41" s="27"/>
      <c r="P41" s="26"/>
    </row>
    <row r="42" spans="1:16" ht="16.899999999999999" customHeight="1" x14ac:dyDescent="0.25">
      <c r="A42" s="25"/>
      <c r="B42" s="25"/>
      <c r="C42" s="25"/>
      <c r="D42" s="25"/>
      <c r="E42" s="25"/>
      <c r="F42" s="25"/>
      <c r="G42" s="25"/>
      <c r="H42" s="104"/>
      <c r="I42" s="105"/>
      <c r="J42" s="26"/>
      <c r="K42" s="26"/>
      <c r="L42" s="26"/>
      <c r="M42" s="26"/>
      <c r="N42" s="26"/>
      <c r="O42" s="27"/>
      <c r="P42" s="26"/>
    </row>
    <row r="43" spans="1:16" ht="13.9" customHeight="1" x14ac:dyDescent="0.25">
      <c r="A43" s="107" t="s">
        <v>23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28"/>
      <c r="M43" s="28"/>
      <c r="N43" s="28"/>
      <c r="O43" s="29"/>
      <c r="P43" s="28"/>
    </row>
    <row r="44" spans="1:16" ht="15.6" customHeight="1" x14ac:dyDescent="0.25">
      <c r="A44" s="37" t="s">
        <v>17</v>
      </c>
      <c r="B44" s="95"/>
      <c r="C44" s="31"/>
      <c r="D44" s="32"/>
      <c r="E44" s="32"/>
      <c r="F44" s="33"/>
      <c r="G44" s="34"/>
      <c r="H44" s="35"/>
      <c r="I44" s="36"/>
      <c r="J44" s="28"/>
      <c r="K44" s="28"/>
      <c r="L44" s="28"/>
      <c r="M44" s="28"/>
      <c r="N44" s="28"/>
      <c r="O44" s="29"/>
    </row>
    <row r="45" spans="1:16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8"/>
      <c r="O45" s="29"/>
    </row>
    <row r="46" spans="1:16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8"/>
      <c r="O46" s="29"/>
    </row>
    <row r="47" spans="1:16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28"/>
      <c r="K47" s="28"/>
      <c r="L47" s="28"/>
      <c r="M47" s="28"/>
      <c r="N47" s="28"/>
      <c r="O47" s="29"/>
    </row>
    <row r="48" spans="1:16" x14ac:dyDescent="0.25">
      <c r="A48" s="30"/>
      <c r="B48" s="96"/>
      <c r="C48" s="31"/>
      <c r="D48" s="32"/>
      <c r="E48" s="32"/>
      <c r="F48" s="38"/>
      <c r="G48" s="34">
        <f>SUM(24-E48)</f>
        <v>24</v>
      </c>
      <c r="H48" s="35">
        <f>SUM(D48+F48)</f>
        <v>0</v>
      </c>
      <c r="I48" s="36">
        <f>SUM(D48/24*E48+H48/24*G48)</f>
        <v>0</v>
      </c>
      <c r="J48" s="28"/>
      <c r="K48" s="28"/>
      <c r="L48" s="28"/>
      <c r="M48" s="28"/>
      <c r="N48" s="28"/>
      <c r="O48" s="29"/>
    </row>
    <row r="49" spans="1:16" x14ac:dyDescent="0.25">
      <c r="A49" s="30"/>
      <c r="B49" s="96"/>
      <c r="C49" s="31"/>
      <c r="D49" s="32"/>
      <c r="E49" s="32"/>
      <c r="F49" s="38"/>
      <c r="G49" s="34">
        <f>SUM(24-E49)</f>
        <v>24</v>
      </c>
      <c r="H49" s="35">
        <f>SUM(D49+F49)</f>
        <v>0</v>
      </c>
      <c r="I49" s="36">
        <f>SUM(D49/24*E49+H49/24*G49)</f>
        <v>0</v>
      </c>
      <c r="J49" s="28"/>
      <c r="K49" s="28"/>
      <c r="L49" s="28"/>
      <c r="M49" s="28"/>
      <c r="N49" s="28"/>
      <c r="O49" s="29"/>
    </row>
    <row r="50" spans="1:16" ht="13.15" customHeight="1" x14ac:dyDescent="0.25">
      <c r="A50" s="39"/>
      <c r="B50" s="39"/>
      <c r="C50" s="40"/>
      <c r="D50" s="40"/>
      <c r="E50" s="40"/>
      <c r="F50" s="40"/>
      <c r="G50" s="40"/>
      <c r="H50" s="41"/>
      <c r="I50" s="28"/>
      <c r="J50" s="28"/>
      <c r="K50" s="28"/>
      <c r="L50" s="28"/>
      <c r="M50" s="28"/>
      <c r="N50" s="28"/>
      <c r="O50" s="29"/>
      <c r="P50" s="28"/>
    </row>
    <row r="51" spans="1:16" ht="15.75" thickBot="1" x14ac:dyDescent="0.3">
      <c r="A51" s="42" t="s">
        <v>18</v>
      </c>
      <c r="B51" s="42"/>
      <c r="C51" s="42"/>
      <c r="D51" s="42"/>
      <c r="E51" s="42"/>
      <c r="F51" s="43"/>
      <c r="G51" s="44"/>
      <c r="H51" s="41"/>
      <c r="I51" s="28"/>
      <c r="J51" s="28"/>
      <c r="K51" s="28"/>
      <c r="L51" s="28"/>
      <c r="M51" s="28"/>
      <c r="N51" s="28"/>
      <c r="O51" s="29"/>
      <c r="P51" s="28"/>
    </row>
    <row r="52" spans="1:16" ht="26.25" x14ac:dyDescent="0.25">
      <c r="A52" s="45" t="s">
        <v>19</v>
      </c>
      <c r="B52" s="97"/>
      <c r="C52" s="46" t="s">
        <v>13</v>
      </c>
      <c r="D52" s="47" t="s">
        <v>14</v>
      </c>
      <c r="E52" s="47" t="s">
        <v>15</v>
      </c>
      <c r="F52" s="48" t="s">
        <v>16</v>
      </c>
      <c r="G52" s="49" t="s">
        <v>20</v>
      </c>
      <c r="H52" s="50"/>
      <c r="I52" s="51"/>
      <c r="J52" s="52"/>
      <c r="K52" s="52"/>
    </row>
    <row r="53" spans="1:16" ht="15.75" x14ac:dyDescent="0.25">
      <c r="A53" s="53"/>
      <c r="B53" s="98"/>
      <c r="C53" s="54"/>
      <c r="D53" s="55"/>
      <c r="E53" s="56"/>
      <c r="F53" s="57"/>
      <c r="G53" s="58">
        <f>SUM(D53/24*E53)</f>
        <v>0</v>
      </c>
      <c r="H53" s="59"/>
      <c r="I53" s="60"/>
      <c r="J53" s="61"/>
      <c r="K53" s="61"/>
    </row>
    <row r="54" spans="1:16" x14ac:dyDescent="0.25">
      <c r="A54" s="62"/>
      <c r="B54" s="99"/>
      <c r="C54" s="63"/>
      <c r="D54" s="64"/>
      <c r="E54" s="56"/>
      <c r="F54" s="65"/>
      <c r="G54" s="66">
        <f>SUM(D54/24*E54)</f>
        <v>0</v>
      </c>
      <c r="H54" s="59"/>
      <c r="I54" s="60"/>
    </row>
    <row r="55" spans="1:16" x14ac:dyDescent="0.25">
      <c r="A55" s="62"/>
      <c r="B55" s="99"/>
      <c r="C55" s="63"/>
      <c r="D55" s="64"/>
      <c r="E55" s="56"/>
      <c r="F55" s="67"/>
      <c r="G55" s="66">
        <f>SUM(D55/24*E55)</f>
        <v>0</v>
      </c>
      <c r="H55" s="59"/>
      <c r="I55" s="60"/>
    </row>
    <row r="56" spans="1:16" x14ac:dyDescent="0.25">
      <c r="A56" s="62"/>
      <c r="B56" s="99"/>
      <c r="C56" s="63"/>
      <c r="D56" s="64"/>
      <c r="E56" s="56"/>
      <c r="F56" s="67"/>
      <c r="G56" s="66">
        <f>SUM(D56/24*E56)</f>
        <v>0</v>
      </c>
      <c r="H56" s="59"/>
      <c r="I56" s="60"/>
    </row>
    <row r="57" spans="1:16" ht="15.75" thickBot="1" x14ac:dyDescent="0.3">
      <c r="A57" s="68"/>
      <c r="B57" s="100"/>
      <c r="C57" s="69"/>
      <c r="D57" s="70"/>
      <c r="E57" s="71"/>
      <c r="F57" s="70"/>
      <c r="G57" s="72">
        <f>SUM(D57/24*E57)</f>
        <v>0</v>
      </c>
      <c r="H57" s="59"/>
      <c r="I57" s="60"/>
    </row>
    <row r="58" spans="1:16" s="78" customFormat="1" ht="30" customHeight="1" x14ac:dyDescent="0.25">
      <c r="A58" s="108" t="s">
        <v>21</v>
      </c>
      <c r="B58" s="109"/>
      <c r="C58" s="109"/>
      <c r="D58" s="110"/>
      <c r="E58" s="73">
        <f>SUM(E53:E57)</f>
        <v>0</v>
      </c>
      <c r="F58" s="74" t="s">
        <v>22</v>
      </c>
      <c r="G58" s="75">
        <f>SUM(G53:G57)</f>
        <v>0</v>
      </c>
      <c r="H58" s="76"/>
      <c r="I58" s="77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5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1" sqref="I31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81" t="s">
        <v>0</v>
      </c>
      <c r="B1" s="9" t="s">
        <v>28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0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79"/>
    </row>
    <row r="3" spans="1:10" x14ac:dyDescent="0.25">
      <c r="A3" s="12">
        <v>44958</v>
      </c>
      <c r="B3" s="89">
        <v>0</v>
      </c>
      <c r="C3" s="89">
        <v>0</v>
      </c>
      <c r="D3" s="89">
        <v>0</v>
      </c>
      <c r="E3" s="89">
        <v>41</v>
      </c>
      <c r="F3" s="89">
        <v>0</v>
      </c>
      <c r="G3" s="89">
        <v>0</v>
      </c>
      <c r="H3" s="89">
        <v>0</v>
      </c>
      <c r="I3" s="89" t="s">
        <v>29</v>
      </c>
      <c r="J3" s="88"/>
    </row>
    <row r="4" spans="1:10" x14ac:dyDescent="0.25">
      <c r="A4" s="12">
        <f>A3+1</f>
        <v>44959</v>
      </c>
      <c r="B4" s="89">
        <v>0</v>
      </c>
      <c r="C4" s="89">
        <v>0</v>
      </c>
      <c r="D4" s="89">
        <v>0</v>
      </c>
      <c r="E4" s="89">
        <v>37</v>
      </c>
      <c r="F4" s="89">
        <v>0</v>
      </c>
      <c r="G4" s="89">
        <v>0</v>
      </c>
      <c r="H4" s="89">
        <v>0</v>
      </c>
      <c r="I4" s="101" t="s">
        <v>29</v>
      </c>
      <c r="J4" s="88"/>
    </row>
    <row r="5" spans="1:10" x14ac:dyDescent="0.25">
      <c r="A5" s="12">
        <f t="shared" ref="A5:A30" si="0">A4+1</f>
        <v>44960</v>
      </c>
      <c r="B5" s="89">
        <v>0</v>
      </c>
      <c r="C5" s="89">
        <v>0</v>
      </c>
      <c r="D5" s="89">
        <v>0</v>
      </c>
      <c r="E5" s="89">
        <v>38</v>
      </c>
      <c r="F5" s="89">
        <v>0</v>
      </c>
      <c r="G5" s="89">
        <v>0</v>
      </c>
      <c r="H5" s="89">
        <v>0</v>
      </c>
      <c r="I5" s="89" t="s">
        <v>29</v>
      </c>
      <c r="J5" s="88"/>
    </row>
    <row r="6" spans="1:10" x14ac:dyDescent="0.25">
      <c r="A6" s="12">
        <f t="shared" si="0"/>
        <v>44961</v>
      </c>
      <c r="B6" s="89">
        <v>0</v>
      </c>
      <c r="C6" s="89">
        <v>0</v>
      </c>
      <c r="D6" s="89">
        <v>0</v>
      </c>
      <c r="E6" s="89">
        <v>39</v>
      </c>
      <c r="F6" s="89">
        <v>0.18</v>
      </c>
      <c r="G6" s="89">
        <v>0</v>
      </c>
      <c r="H6" s="89">
        <v>0</v>
      </c>
      <c r="I6" s="89" t="s">
        <v>29</v>
      </c>
      <c r="J6" s="88"/>
    </row>
    <row r="7" spans="1:10" x14ac:dyDescent="0.25">
      <c r="A7" s="12">
        <f t="shared" si="0"/>
        <v>44962</v>
      </c>
      <c r="B7" s="89">
        <v>0</v>
      </c>
      <c r="C7" s="89">
        <v>0</v>
      </c>
      <c r="D7" s="89">
        <v>0</v>
      </c>
      <c r="E7" s="89">
        <v>39</v>
      </c>
      <c r="F7" s="89">
        <v>0</v>
      </c>
      <c r="G7" s="89">
        <v>0</v>
      </c>
      <c r="H7" s="89">
        <v>0</v>
      </c>
      <c r="I7" s="89" t="s">
        <v>29</v>
      </c>
      <c r="J7" s="88"/>
    </row>
    <row r="8" spans="1:10" x14ac:dyDescent="0.25">
      <c r="A8" s="12">
        <f t="shared" si="0"/>
        <v>44963</v>
      </c>
      <c r="B8" s="89">
        <v>0</v>
      </c>
      <c r="C8" s="89">
        <v>0</v>
      </c>
      <c r="D8" s="89">
        <v>0</v>
      </c>
      <c r="E8" s="89">
        <v>39</v>
      </c>
      <c r="F8" s="89">
        <v>0</v>
      </c>
      <c r="G8" s="89">
        <v>0</v>
      </c>
      <c r="H8" s="89">
        <v>0</v>
      </c>
      <c r="I8" s="89" t="s">
        <v>29</v>
      </c>
      <c r="J8" s="88"/>
    </row>
    <row r="9" spans="1:10" x14ac:dyDescent="0.25">
      <c r="A9" s="12">
        <f t="shared" si="0"/>
        <v>44964</v>
      </c>
      <c r="B9" s="89">
        <v>0</v>
      </c>
      <c r="C9" s="89">
        <v>0</v>
      </c>
      <c r="D9" s="89">
        <v>0</v>
      </c>
      <c r="E9" s="89">
        <v>39</v>
      </c>
      <c r="F9" s="89">
        <v>0</v>
      </c>
      <c r="G9" s="89">
        <v>0</v>
      </c>
      <c r="H9" s="89">
        <v>0</v>
      </c>
      <c r="I9" s="89" t="s">
        <v>29</v>
      </c>
      <c r="J9" s="88"/>
    </row>
    <row r="10" spans="1:10" x14ac:dyDescent="0.25">
      <c r="A10" s="12">
        <f t="shared" si="0"/>
        <v>44965</v>
      </c>
      <c r="B10" s="89">
        <v>0</v>
      </c>
      <c r="C10" s="89">
        <v>0</v>
      </c>
      <c r="D10" s="89">
        <v>0</v>
      </c>
      <c r="E10" s="89">
        <v>34</v>
      </c>
      <c r="F10" s="89" t="s">
        <v>30</v>
      </c>
      <c r="G10" s="89">
        <v>0</v>
      </c>
      <c r="H10" s="89">
        <v>0</v>
      </c>
      <c r="I10" s="89" t="s">
        <v>29</v>
      </c>
      <c r="J10" s="88"/>
    </row>
    <row r="11" spans="1:10" x14ac:dyDescent="0.25">
      <c r="A11" s="12">
        <f t="shared" si="0"/>
        <v>44966</v>
      </c>
      <c r="B11" s="89">
        <v>0</v>
      </c>
      <c r="C11" s="89">
        <v>0</v>
      </c>
      <c r="D11" s="89">
        <v>0</v>
      </c>
      <c r="E11" s="89">
        <v>34</v>
      </c>
      <c r="F11" s="89">
        <v>0</v>
      </c>
      <c r="G11" s="89">
        <v>0</v>
      </c>
      <c r="H11" s="89">
        <v>0</v>
      </c>
      <c r="I11" s="89" t="s">
        <v>29</v>
      </c>
      <c r="J11" s="88"/>
    </row>
    <row r="12" spans="1:10" x14ac:dyDescent="0.25">
      <c r="A12" s="12">
        <f t="shared" si="0"/>
        <v>44967</v>
      </c>
      <c r="B12" s="89">
        <v>0</v>
      </c>
      <c r="C12" s="89">
        <v>0</v>
      </c>
      <c r="D12" s="89">
        <v>0</v>
      </c>
      <c r="E12" s="89">
        <v>34</v>
      </c>
      <c r="F12" s="89" t="s">
        <v>30</v>
      </c>
      <c r="G12" s="89">
        <v>0</v>
      </c>
      <c r="H12" s="89">
        <v>0</v>
      </c>
      <c r="I12" s="89" t="s">
        <v>29</v>
      </c>
      <c r="J12" s="88"/>
    </row>
    <row r="13" spans="1:10" x14ac:dyDescent="0.25">
      <c r="A13" s="12">
        <f t="shared" si="0"/>
        <v>44968</v>
      </c>
      <c r="B13" s="89">
        <v>0</v>
      </c>
      <c r="C13" s="89">
        <v>0</v>
      </c>
      <c r="D13" s="89">
        <v>0</v>
      </c>
      <c r="E13" s="89">
        <v>44</v>
      </c>
      <c r="F13" s="89">
        <v>0</v>
      </c>
      <c r="G13" s="89">
        <v>0</v>
      </c>
      <c r="H13" s="89">
        <v>0</v>
      </c>
      <c r="I13" s="89" t="s">
        <v>29</v>
      </c>
      <c r="J13" s="88"/>
    </row>
    <row r="14" spans="1:10" x14ac:dyDescent="0.25">
      <c r="A14" s="12">
        <f t="shared" si="0"/>
        <v>44969</v>
      </c>
      <c r="B14" s="89">
        <v>0</v>
      </c>
      <c r="C14" s="89">
        <v>0</v>
      </c>
      <c r="D14" s="89">
        <v>0</v>
      </c>
      <c r="E14" s="89">
        <v>42</v>
      </c>
      <c r="F14" s="89">
        <v>0</v>
      </c>
      <c r="G14" s="89">
        <v>0</v>
      </c>
      <c r="H14" s="89">
        <v>0</v>
      </c>
      <c r="I14" s="89" t="s">
        <v>29</v>
      </c>
      <c r="J14" s="88"/>
    </row>
    <row r="15" spans="1:10" x14ac:dyDescent="0.25">
      <c r="A15" s="12">
        <f t="shared" si="0"/>
        <v>44970</v>
      </c>
      <c r="B15" s="89">
        <v>0</v>
      </c>
      <c r="C15" s="89">
        <v>0</v>
      </c>
      <c r="D15" s="89">
        <v>0</v>
      </c>
      <c r="E15" s="89">
        <v>42</v>
      </c>
      <c r="F15" s="89">
        <v>0</v>
      </c>
      <c r="G15" s="89">
        <v>0</v>
      </c>
      <c r="H15" s="89">
        <v>0</v>
      </c>
      <c r="I15" s="89" t="s">
        <v>29</v>
      </c>
      <c r="J15" s="88"/>
    </row>
    <row r="16" spans="1:10" x14ac:dyDescent="0.25">
      <c r="A16" s="12">
        <f t="shared" si="0"/>
        <v>44971</v>
      </c>
      <c r="B16" s="89">
        <v>0</v>
      </c>
      <c r="C16" s="89">
        <v>0</v>
      </c>
      <c r="D16" s="89">
        <v>0</v>
      </c>
      <c r="E16" s="89">
        <v>42</v>
      </c>
      <c r="F16" s="89">
        <v>0.08</v>
      </c>
      <c r="G16" s="89">
        <v>0</v>
      </c>
      <c r="H16" s="89">
        <v>0</v>
      </c>
      <c r="I16" s="89" t="s">
        <v>29</v>
      </c>
      <c r="J16" s="88"/>
    </row>
    <row r="17" spans="1:10" x14ac:dyDescent="0.25">
      <c r="A17" s="12">
        <f t="shared" si="0"/>
        <v>44972</v>
      </c>
      <c r="B17" s="89">
        <v>0</v>
      </c>
      <c r="C17" s="89">
        <v>0</v>
      </c>
      <c r="D17" s="89">
        <v>0</v>
      </c>
      <c r="E17" s="89">
        <v>44</v>
      </c>
      <c r="F17" s="89">
        <v>0</v>
      </c>
      <c r="G17" s="89">
        <v>0</v>
      </c>
      <c r="H17" s="89">
        <v>0</v>
      </c>
      <c r="I17" s="89" t="s">
        <v>29</v>
      </c>
      <c r="J17" s="88"/>
    </row>
    <row r="18" spans="1:10" x14ac:dyDescent="0.25">
      <c r="A18" s="12">
        <f t="shared" si="0"/>
        <v>44973</v>
      </c>
      <c r="B18" s="89">
        <v>0</v>
      </c>
      <c r="C18" s="89">
        <v>0</v>
      </c>
      <c r="D18" s="89">
        <v>0</v>
      </c>
      <c r="E18" s="89">
        <v>41</v>
      </c>
      <c r="F18" s="89">
        <v>0</v>
      </c>
      <c r="G18" s="89">
        <v>0</v>
      </c>
      <c r="H18" s="89">
        <v>0</v>
      </c>
      <c r="I18" s="89" t="s">
        <v>29</v>
      </c>
      <c r="J18" s="88"/>
    </row>
    <row r="19" spans="1:10" x14ac:dyDescent="0.25">
      <c r="A19" s="12">
        <f t="shared" si="0"/>
        <v>44974</v>
      </c>
      <c r="B19" s="89">
        <v>0</v>
      </c>
      <c r="C19" s="89">
        <v>0</v>
      </c>
      <c r="D19" s="89">
        <v>0</v>
      </c>
      <c r="E19" s="89">
        <v>40</v>
      </c>
      <c r="F19" s="89">
        <v>0</v>
      </c>
      <c r="G19" s="89">
        <v>0</v>
      </c>
      <c r="H19" s="89">
        <v>0</v>
      </c>
      <c r="I19" s="89" t="s">
        <v>29</v>
      </c>
      <c r="J19" s="88"/>
    </row>
    <row r="20" spans="1:10" x14ac:dyDescent="0.25">
      <c r="A20" s="12">
        <f t="shared" si="0"/>
        <v>44975</v>
      </c>
      <c r="B20" s="89">
        <v>0</v>
      </c>
      <c r="C20" s="89">
        <v>0</v>
      </c>
      <c r="D20" s="89">
        <v>0</v>
      </c>
      <c r="E20" s="89">
        <v>39</v>
      </c>
      <c r="F20" s="89">
        <v>0</v>
      </c>
      <c r="G20" s="89">
        <v>0</v>
      </c>
      <c r="H20" s="89">
        <v>0</v>
      </c>
      <c r="I20" s="89" t="s">
        <v>29</v>
      </c>
      <c r="J20" s="88"/>
    </row>
    <row r="21" spans="1:10" x14ac:dyDescent="0.25">
      <c r="A21" s="12">
        <f t="shared" si="0"/>
        <v>44976</v>
      </c>
      <c r="B21" s="89">
        <v>0</v>
      </c>
      <c r="C21" s="89">
        <v>0</v>
      </c>
      <c r="D21" s="89">
        <v>0</v>
      </c>
      <c r="E21" s="89">
        <v>40</v>
      </c>
      <c r="F21" s="89">
        <v>0</v>
      </c>
      <c r="G21" s="89">
        <v>0</v>
      </c>
      <c r="H21" s="89">
        <v>0</v>
      </c>
      <c r="I21" s="89" t="s">
        <v>29</v>
      </c>
      <c r="J21" s="88"/>
    </row>
    <row r="22" spans="1:10" x14ac:dyDescent="0.25">
      <c r="A22" s="12">
        <f t="shared" si="0"/>
        <v>44977</v>
      </c>
      <c r="B22" s="89">
        <v>0</v>
      </c>
      <c r="C22" s="89">
        <v>0</v>
      </c>
      <c r="D22" s="89">
        <v>0</v>
      </c>
      <c r="E22" s="89">
        <v>38</v>
      </c>
      <c r="F22" s="89">
        <v>0</v>
      </c>
      <c r="G22" s="89">
        <v>0</v>
      </c>
      <c r="H22" s="89">
        <v>0</v>
      </c>
      <c r="I22" s="89" t="s">
        <v>29</v>
      </c>
      <c r="J22" s="88"/>
    </row>
    <row r="23" spans="1:10" x14ac:dyDescent="0.25">
      <c r="A23" s="12">
        <f t="shared" si="0"/>
        <v>44978</v>
      </c>
      <c r="B23" s="89">
        <v>0</v>
      </c>
      <c r="C23" s="89">
        <v>0</v>
      </c>
      <c r="D23" s="89">
        <v>0</v>
      </c>
      <c r="E23" s="89">
        <v>36</v>
      </c>
      <c r="F23" s="89" t="s">
        <v>30</v>
      </c>
      <c r="G23" s="89">
        <v>0</v>
      </c>
      <c r="H23" s="89">
        <v>0</v>
      </c>
      <c r="I23" s="89" t="s">
        <v>29</v>
      </c>
      <c r="J23" s="88"/>
    </row>
    <row r="24" spans="1:10" x14ac:dyDescent="0.25">
      <c r="A24" s="12">
        <f t="shared" si="0"/>
        <v>44979</v>
      </c>
      <c r="B24" s="89">
        <v>0</v>
      </c>
      <c r="C24" s="89">
        <v>0</v>
      </c>
      <c r="D24" s="89">
        <v>0</v>
      </c>
      <c r="E24" s="89">
        <v>36</v>
      </c>
      <c r="F24" s="89">
        <v>0.01</v>
      </c>
      <c r="G24" s="89">
        <v>0</v>
      </c>
      <c r="H24" s="89">
        <v>0</v>
      </c>
      <c r="I24" s="89" t="s">
        <v>29</v>
      </c>
      <c r="J24" s="88"/>
    </row>
    <row r="25" spans="1:10" x14ac:dyDescent="0.25">
      <c r="A25" s="12">
        <f t="shared" si="0"/>
        <v>44980</v>
      </c>
      <c r="B25" s="89">
        <v>0</v>
      </c>
      <c r="C25" s="89">
        <v>0</v>
      </c>
      <c r="D25" s="89">
        <v>0</v>
      </c>
      <c r="E25" s="89">
        <v>36</v>
      </c>
      <c r="F25" s="89" t="s">
        <v>30</v>
      </c>
      <c r="G25" s="89">
        <v>0</v>
      </c>
      <c r="H25" s="89">
        <v>0</v>
      </c>
      <c r="I25" s="89" t="s">
        <v>29</v>
      </c>
      <c r="J25" s="88"/>
    </row>
    <row r="26" spans="1:10" x14ac:dyDescent="0.25">
      <c r="A26" s="12">
        <f t="shared" si="0"/>
        <v>44981</v>
      </c>
      <c r="B26" s="89">
        <v>0</v>
      </c>
      <c r="C26" s="89">
        <v>0</v>
      </c>
      <c r="D26" s="89">
        <v>0</v>
      </c>
      <c r="E26" s="89">
        <v>36</v>
      </c>
      <c r="F26" s="89">
        <v>0</v>
      </c>
      <c r="G26" s="89">
        <v>0</v>
      </c>
      <c r="H26" s="89">
        <v>0</v>
      </c>
      <c r="I26" s="89" t="s">
        <v>29</v>
      </c>
      <c r="J26" s="88"/>
    </row>
    <row r="27" spans="1:10" x14ac:dyDescent="0.25">
      <c r="A27" s="12">
        <f t="shared" si="0"/>
        <v>44982</v>
      </c>
      <c r="B27" s="89">
        <v>0</v>
      </c>
      <c r="C27" s="89">
        <v>0</v>
      </c>
      <c r="D27" s="89">
        <v>0</v>
      </c>
      <c r="E27" s="89">
        <v>36</v>
      </c>
      <c r="F27" s="89">
        <v>0</v>
      </c>
      <c r="G27" s="89">
        <v>0</v>
      </c>
      <c r="H27" s="89">
        <v>0</v>
      </c>
      <c r="I27" s="89" t="s">
        <v>29</v>
      </c>
      <c r="J27" s="88"/>
    </row>
    <row r="28" spans="1:10" x14ac:dyDescent="0.25">
      <c r="A28" s="12">
        <f t="shared" si="0"/>
        <v>44983</v>
      </c>
      <c r="B28" s="89">
        <v>0</v>
      </c>
      <c r="C28" s="89">
        <v>0</v>
      </c>
      <c r="D28" s="89">
        <v>0</v>
      </c>
      <c r="E28" s="89">
        <v>36</v>
      </c>
      <c r="F28" s="89">
        <v>0.1</v>
      </c>
      <c r="G28" s="89">
        <v>1</v>
      </c>
      <c r="H28" s="89">
        <v>0</v>
      </c>
      <c r="I28" s="89" t="s">
        <v>29</v>
      </c>
      <c r="J28" s="88"/>
    </row>
    <row r="29" spans="1:10" x14ac:dyDescent="0.25">
      <c r="A29" s="12">
        <f t="shared" si="0"/>
        <v>44984</v>
      </c>
      <c r="B29" s="89">
        <v>0</v>
      </c>
      <c r="C29" s="89">
        <v>0</v>
      </c>
      <c r="D29" s="89">
        <v>0</v>
      </c>
      <c r="E29" s="89">
        <v>38</v>
      </c>
      <c r="F29" s="89">
        <v>0</v>
      </c>
      <c r="G29" s="89">
        <v>0</v>
      </c>
      <c r="H29" s="89">
        <v>0</v>
      </c>
      <c r="I29" s="89" t="s">
        <v>29</v>
      </c>
      <c r="J29" s="88"/>
    </row>
    <row r="30" spans="1:10" x14ac:dyDescent="0.25">
      <c r="A30" s="12">
        <f t="shared" si="0"/>
        <v>44985</v>
      </c>
      <c r="B30" s="89">
        <v>0</v>
      </c>
      <c r="C30" s="89">
        <v>0</v>
      </c>
      <c r="D30" s="89">
        <v>0</v>
      </c>
      <c r="E30" s="89">
        <v>38</v>
      </c>
      <c r="F30" s="89">
        <v>0.02</v>
      </c>
      <c r="G30" s="89">
        <v>1</v>
      </c>
      <c r="H30" s="89">
        <v>0</v>
      </c>
      <c r="I30" s="89" t="s">
        <v>29</v>
      </c>
      <c r="J30" s="88"/>
    </row>
    <row r="31" spans="1:10" ht="15.75" thickBot="1" x14ac:dyDescent="0.3">
      <c r="A31" s="12"/>
      <c r="B31" s="13"/>
      <c r="C31" s="13"/>
      <c r="D31" s="13"/>
      <c r="E31" s="13"/>
      <c r="F31" s="14"/>
      <c r="G31" s="14"/>
      <c r="H31" s="13"/>
      <c r="I31" s="23"/>
      <c r="J31" s="88"/>
    </row>
    <row r="32" spans="1:10" s="11" customFormat="1" ht="15.75" thickTop="1" x14ac:dyDescent="0.25">
      <c r="A32" s="15" t="s">
        <v>8</v>
      </c>
      <c r="B32" s="16">
        <f>SUM(B3:B31)</f>
        <v>0</v>
      </c>
      <c r="C32" s="16">
        <f t="shared" ref="C32:H32" si="1">SUM(C3:C31)</f>
        <v>0</v>
      </c>
      <c r="D32" s="16">
        <f t="shared" si="1"/>
        <v>0</v>
      </c>
      <c r="E32" s="16">
        <f t="shared" si="1"/>
        <v>1078</v>
      </c>
      <c r="F32" s="17">
        <f t="shared" si="1"/>
        <v>0.39</v>
      </c>
      <c r="G32" s="17">
        <f t="shared" si="1"/>
        <v>2</v>
      </c>
      <c r="H32" s="16">
        <f t="shared" si="1"/>
        <v>0</v>
      </c>
      <c r="I32" s="17"/>
      <c r="J32"/>
    </row>
    <row r="33" spans="1:16" s="11" customFormat="1" x14ac:dyDescent="0.25">
      <c r="A33" s="18" t="s">
        <v>9</v>
      </c>
      <c r="B33" s="19">
        <f>SUM(B32+'Jan 2023'!B35)</f>
        <v>327</v>
      </c>
      <c r="C33" s="19">
        <f>SUM(C32+'Jan 2023'!C35)</f>
        <v>0</v>
      </c>
      <c r="D33" s="19">
        <f>SUM(D32+'Jan 2023'!D35)</f>
        <v>549</v>
      </c>
      <c r="E33" s="19">
        <f>SUM(E32+'Jan 2023'!E35)</f>
        <v>7119</v>
      </c>
      <c r="F33" s="20">
        <f>SUM(F32+'Jan 2023'!F35)</f>
        <v>5.96</v>
      </c>
      <c r="G33" s="20">
        <f>SUM(G32+'Jan 2023'!G35)</f>
        <v>16.5</v>
      </c>
      <c r="H33" s="19">
        <f>SUM(H32+'Jan 2023'!H35)</f>
        <v>0</v>
      </c>
      <c r="I33" s="20"/>
      <c r="J33"/>
    </row>
    <row r="35" spans="1:16" x14ac:dyDescent="0.25">
      <c r="A35" t="s">
        <v>10</v>
      </c>
      <c r="B35" s="22">
        <f>SUM(B3:B31)*1.9835</f>
        <v>0</v>
      </c>
      <c r="C35" s="22">
        <f>SUM(C3:C31)*1.9835</f>
        <v>0</v>
      </c>
      <c r="D35" s="22">
        <f>SUM(D3:D31)*1.9835</f>
        <v>0</v>
      </c>
      <c r="E35" s="22">
        <f>SUM(E3:E31)*1.9835</f>
        <v>2138.2130000000002</v>
      </c>
      <c r="F35" s="22"/>
      <c r="G35" s="22"/>
      <c r="H35" s="22"/>
      <c r="J35" s="21"/>
    </row>
    <row r="37" spans="1:16" x14ac:dyDescent="0.25">
      <c r="A37" t="s">
        <v>24</v>
      </c>
      <c r="B37" s="22">
        <f>SUM(B35+'Jan 2023'!B39)</f>
        <v>648.60450000000003</v>
      </c>
      <c r="C37" s="22">
        <f>SUM(C35+'Jan 2023'!C39)</f>
        <v>0</v>
      </c>
      <c r="D37" s="22">
        <f>SUM(D35+'Jan 2023'!D39)</f>
        <v>1088.9415000000001</v>
      </c>
      <c r="E37" s="22">
        <f>SUM(E35+'Jan 2023'!E39)</f>
        <v>14120.5365</v>
      </c>
      <c r="F37" s="22"/>
      <c r="G37" s="22"/>
      <c r="H37" s="22"/>
      <c r="J37" s="21"/>
    </row>
    <row r="38" spans="1:16" x14ac:dyDescent="0.25">
      <c r="C38" s="22"/>
      <c r="D38" s="22"/>
      <c r="E38" s="22"/>
      <c r="F38" s="22"/>
      <c r="G38" s="22"/>
      <c r="H38" s="22"/>
      <c r="J38" s="21"/>
    </row>
    <row r="39" spans="1:16" ht="17.45" customHeight="1" x14ac:dyDescent="0.25">
      <c r="A39" s="102"/>
      <c r="B39" s="102"/>
      <c r="C39" s="102"/>
      <c r="D39" s="102"/>
      <c r="E39" s="102"/>
      <c r="F39" s="102"/>
      <c r="G39" s="103"/>
      <c r="H39" s="104" t="s">
        <v>12</v>
      </c>
      <c r="I39" s="105"/>
      <c r="J39" s="26"/>
      <c r="K39" s="26"/>
      <c r="L39" s="26"/>
      <c r="M39" s="26"/>
      <c r="N39" s="26"/>
      <c r="O39" s="27"/>
      <c r="P39" s="26"/>
    </row>
    <row r="40" spans="1:16" ht="16.899999999999999" customHeight="1" x14ac:dyDescent="0.25">
      <c r="A40" s="25"/>
      <c r="B40" s="25"/>
      <c r="C40" s="25"/>
      <c r="D40" s="25"/>
      <c r="E40" s="25"/>
      <c r="F40" s="25"/>
      <c r="G40" s="25"/>
      <c r="H40" s="104"/>
      <c r="I40" s="105"/>
      <c r="J40" s="26"/>
      <c r="K40" s="26"/>
      <c r="L40" s="26"/>
      <c r="M40" s="26"/>
      <c r="N40" s="26"/>
      <c r="O40" s="27"/>
      <c r="P40" s="26"/>
    </row>
    <row r="41" spans="1:16" ht="13.9" customHeight="1" x14ac:dyDescent="0.25">
      <c r="A41" s="107" t="s">
        <v>23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28"/>
      <c r="M41" s="28"/>
      <c r="N41" s="28"/>
      <c r="O41" s="29"/>
      <c r="P41" s="28"/>
    </row>
    <row r="42" spans="1:16" ht="15.6" customHeight="1" x14ac:dyDescent="0.25">
      <c r="A42" s="37" t="s">
        <v>17</v>
      </c>
      <c r="B42" s="95"/>
      <c r="C42" s="31"/>
      <c r="D42" s="32"/>
      <c r="E42" s="32"/>
      <c r="F42" s="33"/>
      <c r="G42" s="34"/>
      <c r="H42" s="35"/>
      <c r="I42" s="36"/>
      <c r="J42" s="28"/>
      <c r="K42" s="28"/>
      <c r="L42" s="28"/>
      <c r="M42" s="28"/>
      <c r="N42" s="28"/>
      <c r="O42" s="29"/>
    </row>
    <row r="43" spans="1:16" x14ac:dyDescent="0.25">
      <c r="A43" s="30"/>
      <c r="B43" s="96"/>
      <c r="C43" s="31"/>
      <c r="D43" s="32"/>
      <c r="E43" s="32"/>
      <c r="F43" s="38"/>
      <c r="G43" s="34">
        <f>SUM(24-E43)</f>
        <v>24</v>
      </c>
      <c r="H43" s="35">
        <f>SUM(D43+F43)</f>
        <v>0</v>
      </c>
      <c r="I43" s="36">
        <f>SUM(D43/24*E43+H43/24*G43)</f>
        <v>0</v>
      </c>
      <c r="J43" s="28"/>
      <c r="K43" s="28"/>
      <c r="L43" s="28"/>
      <c r="M43" s="28"/>
      <c r="N43" s="28"/>
      <c r="O43" s="29"/>
    </row>
    <row r="44" spans="1:16" x14ac:dyDescent="0.25">
      <c r="A44" s="30"/>
      <c r="B44" s="96"/>
      <c r="C44" s="31"/>
      <c r="D44" s="32"/>
      <c r="E44" s="32"/>
      <c r="F44" s="38"/>
      <c r="G44" s="34">
        <f>SUM(24-E44)</f>
        <v>24</v>
      </c>
      <c r="H44" s="35">
        <f>SUM(D44+F44)</f>
        <v>0</v>
      </c>
      <c r="I44" s="36">
        <f>SUM(D44/24*E44+H44/24*G44)</f>
        <v>0</v>
      </c>
      <c r="J44" s="28"/>
      <c r="K44" s="28"/>
      <c r="L44" s="28"/>
      <c r="M44" s="28"/>
      <c r="N44" s="28"/>
      <c r="O44" s="29"/>
    </row>
    <row r="45" spans="1:16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8"/>
      <c r="O45" s="29"/>
    </row>
    <row r="46" spans="1:16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8"/>
      <c r="O46" s="29"/>
    </row>
    <row r="47" spans="1:16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28"/>
      <c r="K47" s="28"/>
      <c r="L47" s="28"/>
      <c r="M47" s="28"/>
      <c r="N47" s="28"/>
      <c r="O47" s="29"/>
    </row>
    <row r="48" spans="1:16" ht="13.15" customHeight="1" x14ac:dyDescent="0.25">
      <c r="A48" s="39"/>
      <c r="B48" s="39"/>
      <c r="C48" s="40"/>
      <c r="D48" s="40"/>
      <c r="E48" s="40"/>
      <c r="F48" s="40"/>
      <c r="G48" s="40"/>
      <c r="H48" s="41"/>
      <c r="I48" s="28"/>
      <c r="J48" s="28"/>
      <c r="K48" s="28"/>
      <c r="L48" s="28"/>
      <c r="M48" s="28"/>
      <c r="N48" s="28"/>
      <c r="O48" s="29"/>
      <c r="P48" s="28"/>
    </row>
    <row r="49" spans="1:16" ht="15.75" thickBot="1" x14ac:dyDescent="0.3">
      <c r="A49" s="42" t="s">
        <v>18</v>
      </c>
      <c r="B49" s="42"/>
      <c r="C49" s="42"/>
      <c r="D49" s="42"/>
      <c r="E49" s="42"/>
      <c r="F49" s="43"/>
      <c r="G49" s="44"/>
      <c r="H49" s="41"/>
      <c r="I49" s="28"/>
      <c r="J49" s="28"/>
      <c r="K49" s="28"/>
      <c r="L49" s="28"/>
      <c r="M49" s="28"/>
      <c r="N49" s="28"/>
      <c r="O49" s="29"/>
      <c r="P49" s="28"/>
    </row>
    <row r="50" spans="1:16" ht="26.25" x14ac:dyDescent="0.25">
      <c r="A50" s="45" t="s">
        <v>19</v>
      </c>
      <c r="B50" s="97"/>
      <c r="C50" s="46" t="s">
        <v>13</v>
      </c>
      <c r="D50" s="47" t="s">
        <v>14</v>
      </c>
      <c r="E50" s="47" t="s">
        <v>15</v>
      </c>
      <c r="F50" s="48" t="s">
        <v>16</v>
      </c>
      <c r="G50" s="49" t="s">
        <v>20</v>
      </c>
      <c r="H50" s="50"/>
      <c r="I50" s="51"/>
      <c r="J50" s="52"/>
      <c r="K50" s="52"/>
    </row>
    <row r="51" spans="1:16" ht="15.75" x14ac:dyDescent="0.25">
      <c r="A51" s="53"/>
      <c r="B51" s="98"/>
      <c r="C51" s="54"/>
      <c r="D51" s="55"/>
      <c r="E51" s="56"/>
      <c r="F51" s="57"/>
      <c r="G51" s="58">
        <f>SUM(D51/24*E51)</f>
        <v>0</v>
      </c>
      <c r="H51" s="59"/>
      <c r="I51" s="60"/>
      <c r="J51" s="61"/>
      <c r="K51" s="61"/>
    </row>
    <row r="52" spans="1:16" x14ac:dyDescent="0.25">
      <c r="A52" s="62"/>
      <c r="B52" s="99"/>
      <c r="C52" s="63"/>
      <c r="D52" s="64"/>
      <c r="E52" s="56"/>
      <c r="F52" s="65"/>
      <c r="G52" s="66">
        <f>SUM(D52/24*E52)</f>
        <v>0</v>
      </c>
      <c r="H52" s="59"/>
      <c r="I52" s="60"/>
    </row>
    <row r="53" spans="1:16" x14ac:dyDescent="0.25">
      <c r="A53" s="62"/>
      <c r="B53" s="99"/>
      <c r="C53" s="63"/>
      <c r="D53" s="64"/>
      <c r="E53" s="56"/>
      <c r="F53" s="67"/>
      <c r="G53" s="66">
        <f>SUM(D53/24*E53)</f>
        <v>0</v>
      </c>
      <c r="H53" s="59"/>
      <c r="I53" s="60"/>
    </row>
    <row r="54" spans="1:16" x14ac:dyDescent="0.25">
      <c r="A54" s="62"/>
      <c r="B54" s="99"/>
      <c r="C54" s="63"/>
      <c r="D54" s="64"/>
      <c r="E54" s="56"/>
      <c r="F54" s="67"/>
      <c r="G54" s="66">
        <f>SUM(D54/24*E54)</f>
        <v>0</v>
      </c>
      <c r="H54" s="59"/>
      <c r="I54" s="60"/>
    </row>
    <row r="55" spans="1:16" ht="15.75" thickBot="1" x14ac:dyDescent="0.3">
      <c r="A55" s="68"/>
      <c r="B55" s="100"/>
      <c r="C55" s="69"/>
      <c r="D55" s="70"/>
      <c r="E55" s="71"/>
      <c r="F55" s="70"/>
      <c r="G55" s="72">
        <f>SUM(D55/24*E55)</f>
        <v>0</v>
      </c>
      <c r="H55" s="59"/>
      <c r="I55" s="60"/>
    </row>
    <row r="56" spans="1:16" s="78" customFormat="1" ht="30" customHeight="1" x14ac:dyDescent="0.25">
      <c r="A56" s="108" t="s">
        <v>21</v>
      </c>
      <c r="B56" s="109"/>
      <c r="C56" s="109"/>
      <c r="D56" s="110"/>
      <c r="E56" s="73">
        <f>SUM(E51:E55)</f>
        <v>0</v>
      </c>
      <c r="F56" s="74" t="s">
        <v>22</v>
      </c>
      <c r="G56" s="75">
        <f>SUM(G51:G55)</f>
        <v>0</v>
      </c>
      <c r="H56" s="76"/>
      <c r="I56" s="77"/>
    </row>
  </sheetData>
  <mergeCells count="4">
    <mergeCell ref="A39:G39"/>
    <mergeCell ref="H39:I40"/>
    <mergeCell ref="A41:K41"/>
    <mergeCell ref="A56:D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5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3" sqref="F33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81" t="s">
        <v>0</v>
      </c>
      <c r="B1" s="9" t="s">
        <v>28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0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79"/>
    </row>
    <row r="3" spans="1:10" x14ac:dyDescent="0.25">
      <c r="A3" s="12">
        <v>44927</v>
      </c>
      <c r="B3" s="89">
        <v>49</v>
      </c>
      <c r="C3" s="89">
        <v>0</v>
      </c>
      <c r="D3" s="89">
        <v>252</v>
      </c>
      <c r="E3" s="89">
        <v>127</v>
      </c>
      <c r="F3" s="89">
        <v>0.01</v>
      </c>
      <c r="G3" s="89">
        <v>0</v>
      </c>
      <c r="H3" s="89">
        <v>0</v>
      </c>
      <c r="I3" s="89" t="s">
        <v>29</v>
      </c>
      <c r="J3" s="88"/>
    </row>
    <row r="4" spans="1:10" x14ac:dyDescent="0.25">
      <c r="A4" s="12">
        <f>A3+1</f>
        <v>44928</v>
      </c>
      <c r="B4" s="89">
        <v>49</v>
      </c>
      <c r="C4" s="89">
        <v>0</v>
      </c>
      <c r="D4" s="89">
        <v>283</v>
      </c>
      <c r="E4" s="89">
        <v>154</v>
      </c>
      <c r="F4" s="89">
        <v>0</v>
      </c>
      <c r="G4" s="89">
        <v>0</v>
      </c>
      <c r="H4" s="89">
        <v>0</v>
      </c>
      <c r="I4" s="89" t="s">
        <v>29</v>
      </c>
      <c r="J4" s="88"/>
    </row>
    <row r="5" spans="1:10" x14ac:dyDescent="0.25">
      <c r="A5" s="12">
        <f t="shared" ref="A5:A33" si="0">A4+1</f>
        <v>44929</v>
      </c>
      <c r="B5" s="89">
        <v>49</v>
      </c>
      <c r="C5" s="89">
        <v>0</v>
      </c>
      <c r="D5" s="89">
        <v>0</v>
      </c>
      <c r="E5" s="89">
        <v>165</v>
      </c>
      <c r="F5" s="89">
        <v>0.13</v>
      </c>
      <c r="G5" s="89">
        <v>1</v>
      </c>
      <c r="H5" s="89">
        <v>0</v>
      </c>
      <c r="I5" s="89" t="s">
        <v>29</v>
      </c>
      <c r="J5" s="88"/>
    </row>
    <row r="6" spans="1:10" x14ac:dyDescent="0.25">
      <c r="A6" s="12">
        <f t="shared" si="0"/>
        <v>44930</v>
      </c>
      <c r="B6" s="89">
        <v>40</v>
      </c>
      <c r="C6" s="89">
        <v>0</v>
      </c>
      <c r="D6" s="89">
        <v>0</v>
      </c>
      <c r="E6" s="89">
        <v>183</v>
      </c>
      <c r="F6" s="89">
        <v>0.05</v>
      </c>
      <c r="G6" s="89">
        <v>0</v>
      </c>
      <c r="H6" s="89">
        <v>0</v>
      </c>
      <c r="I6" s="89" t="s">
        <v>29</v>
      </c>
      <c r="J6" s="88"/>
    </row>
    <row r="7" spans="1:10" x14ac:dyDescent="0.25">
      <c r="A7" s="12">
        <f t="shared" si="0"/>
        <v>44931</v>
      </c>
      <c r="B7" s="89">
        <v>25</v>
      </c>
      <c r="C7" s="89">
        <v>0</v>
      </c>
      <c r="D7" s="89">
        <v>0</v>
      </c>
      <c r="E7" s="89">
        <v>186</v>
      </c>
      <c r="F7" s="89">
        <v>0.05</v>
      </c>
      <c r="G7" s="89">
        <v>0</v>
      </c>
      <c r="H7" s="89">
        <v>0</v>
      </c>
      <c r="I7" s="89" t="s">
        <v>29</v>
      </c>
      <c r="J7" s="88"/>
    </row>
    <row r="8" spans="1:10" x14ac:dyDescent="0.25">
      <c r="A8" s="12">
        <f t="shared" si="0"/>
        <v>44932</v>
      </c>
      <c r="B8" s="89">
        <v>0</v>
      </c>
      <c r="C8" s="89">
        <v>0</v>
      </c>
      <c r="D8" s="89">
        <v>0</v>
      </c>
      <c r="E8" s="89">
        <v>168</v>
      </c>
      <c r="F8" s="89">
        <v>0</v>
      </c>
      <c r="G8" s="89">
        <v>0</v>
      </c>
      <c r="H8" s="89">
        <v>0</v>
      </c>
      <c r="I8" s="89" t="s">
        <v>29</v>
      </c>
      <c r="J8" s="88"/>
    </row>
    <row r="9" spans="1:10" x14ac:dyDescent="0.25">
      <c r="A9" s="12">
        <f t="shared" si="0"/>
        <v>44933</v>
      </c>
      <c r="B9" s="89">
        <v>0</v>
      </c>
      <c r="C9" s="89">
        <v>0</v>
      </c>
      <c r="D9" s="89">
        <v>0</v>
      </c>
      <c r="E9" s="89">
        <v>136</v>
      </c>
      <c r="F9" s="89">
        <v>0.03</v>
      </c>
      <c r="G9" s="89">
        <v>0</v>
      </c>
      <c r="H9" s="89">
        <v>0</v>
      </c>
      <c r="I9" s="89" t="s">
        <v>29</v>
      </c>
      <c r="J9" s="88"/>
    </row>
    <row r="10" spans="1:10" x14ac:dyDescent="0.25">
      <c r="A10" s="12">
        <f t="shared" si="0"/>
        <v>44934</v>
      </c>
      <c r="B10" s="89">
        <v>0</v>
      </c>
      <c r="C10" s="89">
        <v>0</v>
      </c>
      <c r="D10" s="89">
        <v>0</v>
      </c>
      <c r="E10" s="89">
        <v>153</v>
      </c>
      <c r="F10" s="89">
        <v>0</v>
      </c>
      <c r="G10" s="89">
        <v>0</v>
      </c>
      <c r="H10" s="89">
        <v>0</v>
      </c>
      <c r="I10" s="89" t="s">
        <v>29</v>
      </c>
      <c r="J10" s="88"/>
    </row>
    <row r="11" spans="1:10" x14ac:dyDescent="0.25">
      <c r="A11" s="12">
        <f t="shared" si="0"/>
        <v>44935</v>
      </c>
      <c r="B11" s="89">
        <v>0</v>
      </c>
      <c r="C11" s="89">
        <v>0</v>
      </c>
      <c r="D11" s="89">
        <v>0</v>
      </c>
      <c r="E11" s="89">
        <v>169</v>
      </c>
      <c r="F11" s="89">
        <v>0.25</v>
      </c>
      <c r="G11" s="89">
        <v>0</v>
      </c>
      <c r="H11" s="89">
        <v>0</v>
      </c>
      <c r="I11" s="89" t="s">
        <v>29</v>
      </c>
      <c r="J11" s="88"/>
    </row>
    <row r="12" spans="1:10" x14ac:dyDescent="0.25">
      <c r="A12" s="12">
        <f t="shared" si="0"/>
        <v>44936</v>
      </c>
      <c r="B12" s="89">
        <v>0</v>
      </c>
      <c r="C12" s="89">
        <v>0</v>
      </c>
      <c r="D12" s="89">
        <v>0</v>
      </c>
      <c r="E12" s="89">
        <v>160</v>
      </c>
      <c r="F12" s="89">
        <v>0.01</v>
      </c>
      <c r="G12" s="89">
        <v>0</v>
      </c>
      <c r="H12" s="89">
        <v>0</v>
      </c>
      <c r="I12" s="89" t="s">
        <v>29</v>
      </c>
      <c r="J12" s="88"/>
    </row>
    <row r="13" spans="1:10" x14ac:dyDescent="0.25">
      <c r="A13" s="12">
        <f t="shared" si="0"/>
        <v>44937</v>
      </c>
      <c r="B13" s="89">
        <v>0</v>
      </c>
      <c r="C13" s="89">
        <v>0</v>
      </c>
      <c r="D13" s="89">
        <v>0</v>
      </c>
      <c r="E13" s="89">
        <v>148</v>
      </c>
      <c r="F13" s="89">
        <v>0.11</v>
      </c>
      <c r="G13" s="89">
        <v>0</v>
      </c>
      <c r="H13" s="89">
        <v>0</v>
      </c>
      <c r="I13" s="89" t="s">
        <v>29</v>
      </c>
      <c r="J13" s="88"/>
    </row>
    <row r="14" spans="1:10" x14ac:dyDescent="0.25">
      <c r="A14" s="12">
        <f t="shared" si="0"/>
        <v>44938</v>
      </c>
      <c r="B14" s="89">
        <v>0</v>
      </c>
      <c r="C14" s="89">
        <v>0</v>
      </c>
      <c r="D14" s="89">
        <v>0</v>
      </c>
      <c r="E14" s="89">
        <v>169</v>
      </c>
      <c r="F14" s="89" t="s">
        <v>30</v>
      </c>
      <c r="G14" s="89">
        <v>0</v>
      </c>
      <c r="H14" s="89">
        <v>0</v>
      </c>
      <c r="I14" s="89" t="s">
        <v>29</v>
      </c>
      <c r="J14" s="88"/>
    </row>
    <row r="15" spans="1:10" x14ac:dyDescent="0.25">
      <c r="A15" s="12">
        <f t="shared" si="0"/>
        <v>44939</v>
      </c>
      <c r="B15" s="89">
        <v>0</v>
      </c>
      <c r="C15" s="89">
        <v>0</v>
      </c>
      <c r="D15" s="89">
        <v>0</v>
      </c>
      <c r="E15" s="89">
        <v>157</v>
      </c>
      <c r="F15" s="89">
        <v>0.02</v>
      </c>
      <c r="G15" s="89">
        <v>0</v>
      </c>
      <c r="H15" s="89">
        <v>0</v>
      </c>
      <c r="I15" s="89" t="s">
        <v>29</v>
      </c>
      <c r="J15" s="88"/>
    </row>
    <row r="16" spans="1:10" x14ac:dyDescent="0.25">
      <c r="A16" s="12">
        <f t="shared" si="0"/>
        <v>44940</v>
      </c>
      <c r="B16" s="89">
        <v>0</v>
      </c>
      <c r="C16" s="89">
        <v>0</v>
      </c>
      <c r="D16" s="89">
        <v>0</v>
      </c>
      <c r="E16" s="89">
        <v>136</v>
      </c>
      <c r="F16" s="89">
        <v>0.08</v>
      </c>
      <c r="G16" s="89">
        <v>0</v>
      </c>
      <c r="H16" s="89">
        <v>0</v>
      </c>
      <c r="I16" s="89" t="s">
        <v>29</v>
      </c>
      <c r="J16" s="88"/>
    </row>
    <row r="17" spans="1:10" x14ac:dyDescent="0.25">
      <c r="A17" s="12">
        <f t="shared" si="0"/>
        <v>44941</v>
      </c>
      <c r="B17" s="89">
        <v>0</v>
      </c>
      <c r="C17" s="89">
        <v>0</v>
      </c>
      <c r="D17" s="89">
        <v>0</v>
      </c>
      <c r="E17" s="89">
        <v>133</v>
      </c>
      <c r="F17" s="89" t="s">
        <v>30</v>
      </c>
      <c r="G17" s="89">
        <v>0</v>
      </c>
      <c r="H17" s="89">
        <v>0</v>
      </c>
      <c r="I17" s="89" t="s">
        <v>29</v>
      </c>
      <c r="J17" s="88"/>
    </row>
    <row r="18" spans="1:10" x14ac:dyDescent="0.25">
      <c r="A18" s="12">
        <f t="shared" si="0"/>
        <v>44942</v>
      </c>
      <c r="B18" s="89">
        <v>0</v>
      </c>
      <c r="C18" s="89">
        <v>0</v>
      </c>
      <c r="D18" s="89">
        <v>0</v>
      </c>
      <c r="E18" s="89">
        <v>153</v>
      </c>
      <c r="F18" s="89">
        <v>0.01</v>
      </c>
      <c r="G18" s="89">
        <v>0</v>
      </c>
      <c r="H18" s="89">
        <v>0</v>
      </c>
      <c r="I18" s="89" t="s">
        <v>29</v>
      </c>
      <c r="J18" s="88"/>
    </row>
    <row r="19" spans="1:10" x14ac:dyDescent="0.25">
      <c r="A19" s="12">
        <f t="shared" si="0"/>
        <v>44943</v>
      </c>
      <c r="B19" s="89">
        <v>0</v>
      </c>
      <c r="C19" s="89">
        <v>0</v>
      </c>
      <c r="D19" s="89">
        <v>0</v>
      </c>
      <c r="E19" s="89">
        <v>155</v>
      </c>
      <c r="F19" s="89" t="s">
        <v>30</v>
      </c>
      <c r="G19" s="89">
        <v>0</v>
      </c>
      <c r="H19" s="89">
        <v>0</v>
      </c>
      <c r="I19" s="89" t="s">
        <v>29</v>
      </c>
      <c r="J19" s="88"/>
    </row>
    <row r="20" spans="1:10" x14ac:dyDescent="0.25">
      <c r="A20" s="12">
        <f t="shared" si="0"/>
        <v>44944</v>
      </c>
      <c r="B20" s="89">
        <v>0</v>
      </c>
      <c r="C20" s="89">
        <v>0</v>
      </c>
      <c r="D20" s="89">
        <v>0</v>
      </c>
      <c r="E20" s="89">
        <v>161</v>
      </c>
      <c r="F20" s="89">
        <v>0</v>
      </c>
      <c r="G20" s="89">
        <v>0</v>
      </c>
      <c r="H20" s="89">
        <v>0</v>
      </c>
      <c r="I20" s="89" t="s">
        <v>29</v>
      </c>
      <c r="J20" s="88"/>
    </row>
    <row r="21" spans="1:10" x14ac:dyDescent="0.25">
      <c r="A21" s="12">
        <f t="shared" si="0"/>
        <v>44945</v>
      </c>
      <c r="B21" s="89">
        <v>0</v>
      </c>
      <c r="C21" s="89">
        <v>0</v>
      </c>
      <c r="D21" s="89">
        <v>0</v>
      </c>
      <c r="E21" s="89">
        <v>149</v>
      </c>
      <c r="F21" s="89">
        <v>0.22</v>
      </c>
      <c r="G21" s="89">
        <v>3</v>
      </c>
      <c r="H21" s="89">
        <v>0</v>
      </c>
      <c r="I21" s="89" t="s">
        <v>29</v>
      </c>
      <c r="J21" s="88"/>
    </row>
    <row r="22" spans="1:10" x14ac:dyDescent="0.25">
      <c r="A22" s="12">
        <f t="shared" si="0"/>
        <v>44946</v>
      </c>
      <c r="B22" s="89">
        <v>0</v>
      </c>
      <c r="C22" s="89">
        <v>0</v>
      </c>
      <c r="D22" s="89">
        <v>0</v>
      </c>
      <c r="E22" s="89">
        <v>96</v>
      </c>
      <c r="F22" s="89">
        <v>0.02</v>
      </c>
      <c r="G22" s="89">
        <v>0</v>
      </c>
      <c r="H22" s="89">
        <v>0</v>
      </c>
      <c r="I22" s="89" t="s">
        <v>29</v>
      </c>
      <c r="J22" s="88"/>
    </row>
    <row r="23" spans="1:10" x14ac:dyDescent="0.25">
      <c r="A23" s="12">
        <f t="shared" si="0"/>
        <v>44947</v>
      </c>
      <c r="B23" s="89">
        <v>0</v>
      </c>
      <c r="C23" s="89">
        <v>0</v>
      </c>
      <c r="D23" s="89">
        <v>0</v>
      </c>
      <c r="E23" s="89">
        <v>86</v>
      </c>
      <c r="F23" s="89" t="s">
        <v>30</v>
      </c>
      <c r="G23" s="89">
        <v>0</v>
      </c>
      <c r="H23" s="89">
        <v>0</v>
      </c>
      <c r="I23" s="89" t="s">
        <v>29</v>
      </c>
      <c r="J23" s="88"/>
    </row>
    <row r="24" spans="1:10" x14ac:dyDescent="0.25">
      <c r="A24" s="12">
        <f t="shared" si="0"/>
        <v>44948</v>
      </c>
      <c r="B24" s="89">
        <v>0</v>
      </c>
      <c r="C24" s="89">
        <v>0</v>
      </c>
      <c r="D24" s="89">
        <v>0</v>
      </c>
      <c r="E24" s="89">
        <v>70</v>
      </c>
      <c r="F24" s="89" t="s">
        <v>30</v>
      </c>
      <c r="G24" s="89">
        <v>0</v>
      </c>
      <c r="H24" s="89">
        <v>0</v>
      </c>
      <c r="I24" s="89" t="s">
        <v>29</v>
      </c>
      <c r="J24" s="88"/>
    </row>
    <row r="25" spans="1:10" x14ac:dyDescent="0.25">
      <c r="A25" s="12">
        <f t="shared" si="0"/>
        <v>44949</v>
      </c>
      <c r="B25" s="89">
        <v>0</v>
      </c>
      <c r="C25" s="89">
        <v>0</v>
      </c>
      <c r="D25" s="89">
        <v>0</v>
      </c>
      <c r="E25" s="89">
        <v>61</v>
      </c>
      <c r="F25" s="89">
        <v>0</v>
      </c>
      <c r="G25" s="89">
        <v>0</v>
      </c>
      <c r="H25" s="89">
        <v>0</v>
      </c>
      <c r="I25" s="89" t="s">
        <v>29</v>
      </c>
      <c r="J25" s="88"/>
    </row>
    <row r="26" spans="1:10" x14ac:dyDescent="0.25">
      <c r="A26" s="12">
        <f t="shared" si="0"/>
        <v>44950</v>
      </c>
      <c r="B26" s="89">
        <v>0</v>
      </c>
      <c r="C26" s="89">
        <v>0</v>
      </c>
      <c r="D26" s="89">
        <v>0</v>
      </c>
      <c r="E26" s="89">
        <v>61</v>
      </c>
      <c r="F26" s="89">
        <v>0</v>
      </c>
      <c r="G26" s="89">
        <v>0</v>
      </c>
      <c r="H26" s="89">
        <v>0</v>
      </c>
      <c r="I26" s="89" t="s">
        <v>29</v>
      </c>
      <c r="J26" s="88"/>
    </row>
    <row r="27" spans="1:10" x14ac:dyDescent="0.25">
      <c r="A27" s="12">
        <f t="shared" si="0"/>
        <v>44951</v>
      </c>
      <c r="B27" s="89">
        <v>0</v>
      </c>
      <c r="C27" s="89">
        <v>0</v>
      </c>
      <c r="D27" s="89">
        <v>0</v>
      </c>
      <c r="E27" s="89">
        <v>61</v>
      </c>
      <c r="F27" s="89">
        <v>0</v>
      </c>
      <c r="G27" s="89">
        <v>0</v>
      </c>
      <c r="H27" s="89">
        <v>0</v>
      </c>
      <c r="I27" s="89" t="s">
        <v>29</v>
      </c>
      <c r="J27" s="88"/>
    </row>
    <row r="28" spans="1:10" x14ac:dyDescent="0.25">
      <c r="A28" s="12">
        <f t="shared" si="0"/>
        <v>44952</v>
      </c>
      <c r="B28" s="89">
        <v>0</v>
      </c>
      <c r="C28" s="89">
        <v>0</v>
      </c>
      <c r="D28" s="89">
        <v>0</v>
      </c>
      <c r="E28" s="89">
        <v>61</v>
      </c>
      <c r="F28" s="89">
        <v>0.01</v>
      </c>
      <c r="G28" s="89">
        <v>0</v>
      </c>
      <c r="H28" s="89">
        <v>0</v>
      </c>
      <c r="I28" s="89" t="s">
        <v>29</v>
      </c>
      <c r="J28" s="88"/>
    </row>
    <row r="29" spans="1:10" x14ac:dyDescent="0.25">
      <c r="A29" s="12">
        <f t="shared" si="0"/>
        <v>44953</v>
      </c>
      <c r="B29" s="89">
        <v>0</v>
      </c>
      <c r="C29" s="89">
        <v>0</v>
      </c>
      <c r="D29" s="89">
        <v>0</v>
      </c>
      <c r="E29" s="89">
        <v>61</v>
      </c>
      <c r="F29" s="89">
        <v>0</v>
      </c>
      <c r="G29" s="89">
        <v>0</v>
      </c>
      <c r="H29" s="89">
        <v>0</v>
      </c>
      <c r="I29" s="89" t="s">
        <v>29</v>
      </c>
      <c r="J29" s="88"/>
    </row>
    <row r="30" spans="1:10" x14ac:dyDescent="0.25">
      <c r="A30" s="12">
        <f t="shared" si="0"/>
        <v>44954</v>
      </c>
      <c r="B30" s="89">
        <v>0</v>
      </c>
      <c r="C30" s="89">
        <v>0</v>
      </c>
      <c r="D30" s="89">
        <v>0</v>
      </c>
      <c r="E30" s="89">
        <v>61</v>
      </c>
      <c r="F30" s="89">
        <v>0.01</v>
      </c>
      <c r="G30" s="89">
        <v>0</v>
      </c>
      <c r="H30" s="89">
        <v>0</v>
      </c>
      <c r="I30" s="89" t="s">
        <v>29</v>
      </c>
      <c r="J30" s="88"/>
    </row>
    <row r="31" spans="1:10" x14ac:dyDescent="0.25">
      <c r="A31" s="12">
        <f t="shared" si="0"/>
        <v>44955</v>
      </c>
      <c r="B31" s="89">
        <v>0</v>
      </c>
      <c r="C31" s="89">
        <v>0</v>
      </c>
      <c r="D31" s="89">
        <v>0</v>
      </c>
      <c r="E31" s="89">
        <v>61</v>
      </c>
      <c r="F31" s="89">
        <v>0</v>
      </c>
      <c r="G31" s="89">
        <v>0</v>
      </c>
      <c r="H31" s="89">
        <v>0</v>
      </c>
      <c r="I31" s="89" t="s">
        <v>29</v>
      </c>
      <c r="J31" s="88"/>
    </row>
    <row r="32" spans="1:10" x14ac:dyDescent="0.25">
      <c r="A32" s="12">
        <f t="shared" si="0"/>
        <v>44956</v>
      </c>
      <c r="B32" s="89">
        <v>0</v>
      </c>
      <c r="C32" s="89">
        <v>0</v>
      </c>
      <c r="D32" s="89">
        <v>0</v>
      </c>
      <c r="E32" s="89">
        <v>41</v>
      </c>
      <c r="F32" s="89">
        <v>0</v>
      </c>
      <c r="G32" s="89">
        <v>0</v>
      </c>
      <c r="H32" s="89">
        <v>0</v>
      </c>
      <c r="I32" s="89" t="s">
        <v>29</v>
      </c>
      <c r="J32" s="88"/>
    </row>
    <row r="33" spans="1:16" ht="15.75" thickBot="1" x14ac:dyDescent="0.3">
      <c r="A33" s="12">
        <f t="shared" si="0"/>
        <v>44957</v>
      </c>
      <c r="B33" s="89">
        <v>0</v>
      </c>
      <c r="C33" s="89">
        <v>0</v>
      </c>
      <c r="D33" s="89"/>
      <c r="E33" s="89">
        <v>41</v>
      </c>
      <c r="F33" s="89">
        <v>0</v>
      </c>
      <c r="G33" s="89">
        <v>0</v>
      </c>
      <c r="H33" s="89">
        <v>0</v>
      </c>
      <c r="I33" s="89" t="s">
        <v>29</v>
      </c>
      <c r="J33" s="88"/>
    </row>
    <row r="34" spans="1:16" s="11" customFormat="1" ht="15.75" thickTop="1" x14ac:dyDescent="0.25">
      <c r="A34" s="15" t="s">
        <v>8</v>
      </c>
      <c r="B34" s="16">
        <f>SUM(B3:B33)</f>
        <v>212</v>
      </c>
      <c r="C34" s="16">
        <f t="shared" ref="C34:H34" si="1">SUM(C3:C33)</f>
        <v>0</v>
      </c>
      <c r="D34" s="16">
        <f t="shared" si="1"/>
        <v>535</v>
      </c>
      <c r="E34" s="16">
        <f t="shared" si="1"/>
        <v>3723</v>
      </c>
      <c r="F34" s="17">
        <f t="shared" si="1"/>
        <v>1.01</v>
      </c>
      <c r="G34" s="17">
        <f t="shared" si="1"/>
        <v>4</v>
      </c>
      <c r="H34" s="16">
        <f t="shared" si="1"/>
        <v>0</v>
      </c>
      <c r="I34" s="17"/>
    </row>
    <row r="35" spans="1:16" s="11" customFormat="1" x14ac:dyDescent="0.25">
      <c r="A35" s="18" t="s">
        <v>9</v>
      </c>
      <c r="B35" s="19">
        <f>SUM(B34+'Dec 2022'!B35)</f>
        <v>327</v>
      </c>
      <c r="C35" s="19">
        <f>SUM(C34+'Dec 2022'!C35)</f>
        <v>0</v>
      </c>
      <c r="D35" s="19">
        <f>SUM(D34+'Dec 2022'!D35)</f>
        <v>549</v>
      </c>
      <c r="E35" s="19">
        <f>SUM(E34+'Dec 2022'!E35)</f>
        <v>6041</v>
      </c>
      <c r="F35" s="20">
        <f>SUM(F34+'Dec 2022'!F35)</f>
        <v>5.57</v>
      </c>
      <c r="G35" s="20">
        <f>SUM(G34+'Dec 2022'!G35)</f>
        <v>14.5</v>
      </c>
      <c r="H35" s="19">
        <f>SUM(H34+'Dec 2022'!H35)</f>
        <v>0</v>
      </c>
      <c r="I35" s="20"/>
    </row>
    <row r="37" spans="1:16" x14ac:dyDescent="0.25">
      <c r="A37" t="s">
        <v>10</v>
      </c>
      <c r="B37" s="22">
        <f>SUM(B3:B33)*1.9835</f>
        <v>420.50200000000001</v>
      </c>
      <c r="C37" s="22">
        <f>SUM(C3:C33)*1.9835</f>
        <v>0</v>
      </c>
      <c r="D37" s="22">
        <f>SUM(D3:D33)*1.9835</f>
        <v>1061.1725000000001</v>
      </c>
      <c r="E37" s="22">
        <f>SUM(E3:E33)*1.9835</f>
        <v>7384.5704999999998</v>
      </c>
      <c r="F37" s="22"/>
      <c r="G37" s="22"/>
      <c r="H37" s="22"/>
      <c r="J37" s="21"/>
    </row>
    <row r="39" spans="1:16" x14ac:dyDescent="0.25">
      <c r="A39" t="s">
        <v>24</v>
      </c>
      <c r="B39" s="22">
        <f>SUM(B37+'Dec 2022'!B39)</f>
        <v>648.60450000000003</v>
      </c>
      <c r="C39" s="22">
        <f>SUM(C37+'Dec 2022'!C39)</f>
        <v>0</v>
      </c>
      <c r="D39" s="22">
        <f>SUM(D37+'Dec 2022'!D39)</f>
        <v>1088.9415000000001</v>
      </c>
      <c r="E39" s="22">
        <f>SUM(E37+'Dec 2022'!E39)</f>
        <v>11982.3235</v>
      </c>
      <c r="F39" s="22"/>
      <c r="G39" s="22"/>
      <c r="H39" s="22"/>
      <c r="J39" s="21"/>
    </row>
    <row r="40" spans="1:16" x14ac:dyDescent="0.25">
      <c r="C40" s="22"/>
      <c r="D40" s="22"/>
      <c r="E40" s="22"/>
      <c r="F40" s="22"/>
      <c r="G40" s="22"/>
      <c r="H40" s="22"/>
      <c r="J40" s="21"/>
    </row>
    <row r="41" spans="1:16" ht="17.45" customHeight="1" x14ac:dyDescent="0.25">
      <c r="A41" s="102"/>
      <c r="B41" s="102"/>
      <c r="C41" s="102"/>
      <c r="D41" s="102"/>
      <c r="E41" s="102"/>
      <c r="F41" s="102"/>
      <c r="G41" s="103"/>
      <c r="H41" s="104" t="s">
        <v>12</v>
      </c>
      <c r="I41" s="105"/>
      <c r="J41" s="26"/>
      <c r="K41" s="26"/>
      <c r="L41" s="26"/>
      <c r="M41" s="26"/>
      <c r="N41" s="26"/>
      <c r="O41" s="27"/>
      <c r="P41" s="26"/>
    </row>
    <row r="42" spans="1:16" ht="16.899999999999999" customHeight="1" x14ac:dyDescent="0.25">
      <c r="A42" s="25"/>
      <c r="B42" s="25"/>
      <c r="C42" s="25"/>
      <c r="D42" s="25"/>
      <c r="E42" s="25"/>
      <c r="F42" s="25"/>
      <c r="G42" s="25"/>
      <c r="H42" s="104"/>
      <c r="I42" s="105"/>
      <c r="J42" s="26"/>
      <c r="K42" s="26"/>
      <c r="L42" s="26"/>
      <c r="M42" s="26"/>
      <c r="N42" s="26"/>
      <c r="O42" s="27"/>
      <c r="P42" s="26"/>
    </row>
    <row r="43" spans="1:16" ht="13.9" customHeight="1" x14ac:dyDescent="0.25">
      <c r="A43" s="107" t="s">
        <v>23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28"/>
      <c r="M43" s="28"/>
      <c r="N43" s="28"/>
      <c r="O43" s="29"/>
      <c r="P43" s="28"/>
    </row>
    <row r="44" spans="1:16" ht="15.6" customHeight="1" x14ac:dyDescent="0.25">
      <c r="A44" s="37" t="s">
        <v>17</v>
      </c>
      <c r="B44" s="95"/>
      <c r="C44" s="31"/>
      <c r="D44" s="32"/>
      <c r="E44" s="32"/>
      <c r="F44" s="33"/>
      <c r="G44" s="34"/>
      <c r="H44" s="35"/>
      <c r="I44" s="36"/>
      <c r="J44" s="28"/>
      <c r="K44" s="28"/>
      <c r="L44" s="28"/>
      <c r="M44" s="28"/>
      <c r="N44" s="28"/>
      <c r="O44" s="29"/>
    </row>
    <row r="45" spans="1:16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8"/>
      <c r="O45" s="29"/>
    </row>
    <row r="46" spans="1:16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8"/>
      <c r="O46" s="29"/>
    </row>
    <row r="47" spans="1:16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28"/>
      <c r="K47" s="28"/>
      <c r="L47" s="28"/>
      <c r="M47" s="28"/>
      <c r="N47" s="28"/>
      <c r="O47" s="29"/>
    </row>
    <row r="48" spans="1:16" x14ac:dyDescent="0.25">
      <c r="A48" s="30"/>
      <c r="B48" s="96"/>
      <c r="C48" s="31"/>
      <c r="D48" s="32"/>
      <c r="E48" s="32"/>
      <c r="F48" s="38"/>
      <c r="G48" s="34">
        <f>SUM(24-E48)</f>
        <v>24</v>
      </c>
      <c r="H48" s="35">
        <f>SUM(D48+F48)</f>
        <v>0</v>
      </c>
      <c r="I48" s="36">
        <f>SUM(D48/24*E48+H48/24*G48)</f>
        <v>0</v>
      </c>
      <c r="J48" s="28"/>
      <c r="K48" s="28"/>
      <c r="L48" s="28"/>
      <c r="M48" s="28"/>
      <c r="N48" s="28"/>
      <c r="O48" s="29"/>
    </row>
    <row r="49" spans="1:16" x14ac:dyDescent="0.25">
      <c r="A49" s="30"/>
      <c r="B49" s="96"/>
      <c r="C49" s="31"/>
      <c r="D49" s="32"/>
      <c r="E49" s="32"/>
      <c r="F49" s="38"/>
      <c r="G49" s="34">
        <f>SUM(24-E49)</f>
        <v>24</v>
      </c>
      <c r="H49" s="35">
        <f>SUM(D49+F49)</f>
        <v>0</v>
      </c>
      <c r="I49" s="36">
        <f>SUM(D49/24*E49+H49/24*G49)</f>
        <v>0</v>
      </c>
      <c r="J49" s="28"/>
      <c r="K49" s="28"/>
      <c r="L49" s="28"/>
      <c r="M49" s="28"/>
      <c r="N49" s="28"/>
      <c r="O49" s="29"/>
    </row>
    <row r="50" spans="1:16" ht="13.15" customHeight="1" x14ac:dyDescent="0.25">
      <c r="A50" s="39"/>
      <c r="B50" s="39"/>
      <c r="C50" s="40"/>
      <c r="D50" s="40"/>
      <c r="E50" s="40"/>
      <c r="F50" s="40"/>
      <c r="G50" s="40"/>
      <c r="H50" s="41"/>
      <c r="I50" s="28"/>
      <c r="J50" s="28"/>
      <c r="K50" s="28"/>
      <c r="L50" s="28"/>
      <c r="M50" s="28"/>
      <c r="N50" s="28"/>
      <c r="O50" s="29"/>
      <c r="P50" s="28"/>
    </row>
    <row r="51" spans="1:16" ht="15.75" thickBot="1" x14ac:dyDescent="0.3">
      <c r="A51" s="42" t="s">
        <v>18</v>
      </c>
      <c r="B51" s="42"/>
      <c r="C51" s="42"/>
      <c r="D51" s="42"/>
      <c r="E51" s="42"/>
      <c r="F51" s="43"/>
      <c r="G51" s="44"/>
      <c r="H51" s="41"/>
      <c r="I51" s="28"/>
      <c r="J51" s="28"/>
      <c r="K51" s="28"/>
      <c r="L51" s="28"/>
      <c r="M51" s="28"/>
      <c r="N51" s="28"/>
      <c r="O51" s="29"/>
      <c r="P51" s="28"/>
    </row>
    <row r="52" spans="1:16" ht="26.25" x14ac:dyDescent="0.25">
      <c r="A52" s="45" t="s">
        <v>19</v>
      </c>
      <c r="B52" s="97"/>
      <c r="C52" s="46" t="s">
        <v>13</v>
      </c>
      <c r="D52" s="47" t="s">
        <v>14</v>
      </c>
      <c r="E52" s="47" t="s">
        <v>15</v>
      </c>
      <c r="F52" s="48" t="s">
        <v>16</v>
      </c>
      <c r="G52" s="49" t="s">
        <v>20</v>
      </c>
      <c r="H52" s="50"/>
      <c r="I52" s="51"/>
      <c r="J52" s="52"/>
      <c r="K52" s="52"/>
    </row>
    <row r="53" spans="1:16" ht="15.75" x14ac:dyDescent="0.25">
      <c r="A53" s="53"/>
      <c r="B53" s="98"/>
      <c r="C53" s="54"/>
      <c r="D53" s="55"/>
      <c r="E53" s="56"/>
      <c r="F53" s="57">
        <v>-100</v>
      </c>
      <c r="G53" s="58">
        <f>SUM(D53/24*E53)</f>
        <v>0</v>
      </c>
      <c r="H53" s="59"/>
      <c r="I53" s="60"/>
      <c r="J53" s="61"/>
      <c r="K53" s="61"/>
    </row>
    <row r="54" spans="1:16" x14ac:dyDescent="0.25">
      <c r="A54" s="62"/>
      <c r="B54" s="99"/>
      <c r="C54" s="63"/>
      <c r="D54" s="64"/>
      <c r="E54" s="56"/>
      <c r="F54" s="65">
        <v>-50</v>
      </c>
      <c r="G54" s="66">
        <f>SUM(D54/24*E54)</f>
        <v>0</v>
      </c>
      <c r="H54" s="59"/>
      <c r="I54" s="60"/>
    </row>
    <row r="55" spans="1:16" x14ac:dyDescent="0.25">
      <c r="A55" s="62"/>
      <c r="B55" s="99"/>
      <c r="C55" s="63"/>
      <c r="D55" s="64"/>
      <c r="E55" s="56"/>
      <c r="F55" s="67"/>
      <c r="G55" s="66">
        <f>SUM(D55/24*E55)</f>
        <v>0</v>
      </c>
      <c r="H55" s="59"/>
      <c r="I55" s="60"/>
    </row>
    <row r="56" spans="1:16" x14ac:dyDescent="0.25">
      <c r="A56" s="62"/>
      <c r="B56" s="99"/>
      <c r="C56" s="63"/>
      <c r="D56" s="64"/>
      <c r="E56" s="56"/>
      <c r="F56" s="67"/>
      <c r="G56" s="66">
        <f>SUM(D56/24*E56)</f>
        <v>0</v>
      </c>
      <c r="H56" s="59"/>
      <c r="I56" s="60"/>
    </row>
    <row r="57" spans="1:16" ht="15.75" thickBot="1" x14ac:dyDescent="0.3">
      <c r="A57" s="68"/>
      <c r="B57" s="100"/>
      <c r="C57" s="69"/>
      <c r="D57" s="70"/>
      <c r="E57" s="71"/>
      <c r="F57" s="70"/>
      <c r="G57" s="72">
        <f>SUM(D57/24*E57)</f>
        <v>0</v>
      </c>
      <c r="H57" s="59"/>
      <c r="I57" s="60"/>
    </row>
    <row r="58" spans="1:16" s="78" customFormat="1" ht="30" customHeight="1" x14ac:dyDescent="0.25">
      <c r="A58" s="108" t="s">
        <v>21</v>
      </c>
      <c r="B58" s="109"/>
      <c r="C58" s="109"/>
      <c r="D58" s="110"/>
      <c r="E58" s="73">
        <f>SUM(E53:E57)</f>
        <v>0</v>
      </c>
      <c r="F58" s="74" t="s">
        <v>22</v>
      </c>
      <c r="G58" s="75">
        <f>SUM(G53:G57)</f>
        <v>0</v>
      </c>
      <c r="H58" s="76"/>
      <c r="I58" s="77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58"/>
  <sheetViews>
    <sheetView zoomScaleNormal="100" workbookViewId="0">
      <selection activeCell="B33" sqref="B33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81" t="s">
        <v>0</v>
      </c>
      <c r="B1" s="9" t="s">
        <v>28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0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79"/>
    </row>
    <row r="3" spans="1:10" x14ac:dyDescent="0.25">
      <c r="A3" s="12">
        <v>44896</v>
      </c>
      <c r="B3" s="89">
        <v>0</v>
      </c>
      <c r="C3" s="89">
        <v>0</v>
      </c>
      <c r="D3" s="89">
        <v>0</v>
      </c>
      <c r="E3" s="89">
        <v>24</v>
      </c>
      <c r="F3" s="89">
        <v>0.18</v>
      </c>
      <c r="G3" s="89">
        <v>4</v>
      </c>
      <c r="H3" s="89">
        <v>0</v>
      </c>
      <c r="I3" s="89" t="s">
        <v>29</v>
      </c>
      <c r="J3" s="88"/>
    </row>
    <row r="4" spans="1:10" x14ac:dyDescent="0.25">
      <c r="A4" s="12">
        <f>A3+1</f>
        <v>44897</v>
      </c>
      <c r="B4" s="89">
        <v>0</v>
      </c>
      <c r="C4" s="89">
        <v>0</v>
      </c>
      <c r="D4" s="89">
        <v>0</v>
      </c>
      <c r="E4" s="89">
        <v>22</v>
      </c>
      <c r="F4" s="89">
        <v>0.05</v>
      </c>
      <c r="G4" s="89">
        <v>0</v>
      </c>
      <c r="H4" s="89">
        <v>0</v>
      </c>
      <c r="I4" s="89" t="s">
        <v>29</v>
      </c>
      <c r="J4" s="88"/>
    </row>
    <row r="5" spans="1:10" x14ac:dyDescent="0.25">
      <c r="A5" s="12">
        <f t="shared" ref="A5:A33" si="0">A4+1</f>
        <v>44898</v>
      </c>
      <c r="B5" s="89">
        <v>0</v>
      </c>
      <c r="C5" s="89">
        <v>0</v>
      </c>
      <c r="D5" s="89">
        <v>0</v>
      </c>
      <c r="E5" s="89">
        <v>26</v>
      </c>
      <c r="F5" s="89">
        <v>0.8</v>
      </c>
      <c r="G5" s="89">
        <v>0</v>
      </c>
      <c r="H5" s="89">
        <v>0</v>
      </c>
      <c r="I5" s="89" t="s">
        <v>29</v>
      </c>
      <c r="J5" s="88"/>
    </row>
    <row r="6" spans="1:10" x14ac:dyDescent="0.25">
      <c r="A6" s="12">
        <f t="shared" si="0"/>
        <v>44899</v>
      </c>
      <c r="B6" s="89">
        <v>0</v>
      </c>
      <c r="C6" s="89">
        <v>0</v>
      </c>
      <c r="D6" s="89">
        <v>0</v>
      </c>
      <c r="E6" s="89">
        <v>28</v>
      </c>
      <c r="F6" s="89">
        <v>0.4</v>
      </c>
      <c r="G6" s="89">
        <v>0</v>
      </c>
      <c r="H6" s="89">
        <v>0</v>
      </c>
      <c r="I6" s="89" t="s">
        <v>29</v>
      </c>
      <c r="J6" s="88"/>
    </row>
    <row r="7" spans="1:10" x14ac:dyDescent="0.25">
      <c r="A7" s="12">
        <f t="shared" si="0"/>
        <v>44900</v>
      </c>
      <c r="B7" s="89">
        <v>0</v>
      </c>
      <c r="C7" s="89">
        <v>0</v>
      </c>
      <c r="D7" s="89">
        <v>0</v>
      </c>
      <c r="E7" s="89">
        <v>27</v>
      </c>
      <c r="F7" s="89">
        <v>0.09</v>
      </c>
      <c r="G7" s="89">
        <v>0</v>
      </c>
      <c r="H7" s="89">
        <v>0</v>
      </c>
      <c r="I7" s="89" t="s">
        <v>29</v>
      </c>
      <c r="J7" s="88"/>
    </row>
    <row r="8" spans="1:10" x14ac:dyDescent="0.25">
      <c r="A8" s="12">
        <f t="shared" si="0"/>
        <v>44901</v>
      </c>
      <c r="B8" s="89">
        <v>0</v>
      </c>
      <c r="C8" s="89">
        <v>0</v>
      </c>
      <c r="D8" s="89">
        <v>0</v>
      </c>
      <c r="E8" s="89">
        <v>27</v>
      </c>
      <c r="F8" s="89">
        <v>0</v>
      </c>
      <c r="G8" s="89">
        <v>0</v>
      </c>
      <c r="H8" s="89">
        <v>0</v>
      </c>
      <c r="I8" s="89" t="s">
        <v>29</v>
      </c>
      <c r="J8" s="88"/>
    </row>
    <row r="9" spans="1:10" x14ac:dyDescent="0.25">
      <c r="A9" s="12">
        <f t="shared" si="0"/>
        <v>44902</v>
      </c>
      <c r="B9" s="89">
        <v>0</v>
      </c>
      <c r="C9" s="89">
        <v>0</v>
      </c>
      <c r="D9" s="89">
        <v>0</v>
      </c>
      <c r="E9" s="89">
        <v>28</v>
      </c>
      <c r="F9" s="89">
        <v>0</v>
      </c>
      <c r="G9" s="89">
        <v>0</v>
      </c>
      <c r="H9" s="89">
        <v>0</v>
      </c>
      <c r="I9" s="89" t="s">
        <v>29</v>
      </c>
      <c r="J9" s="88"/>
    </row>
    <row r="10" spans="1:10" x14ac:dyDescent="0.25">
      <c r="A10" s="12">
        <f t="shared" si="0"/>
        <v>44903</v>
      </c>
      <c r="B10" s="89">
        <v>0</v>
      </c>
      <c r="C10" s="89">
        <v>0</v>
      </c>
      <c r="D10" s="89">
        <v>0</v>
      </c>
      <c r="E10" s="89">
        <v>27</v>
      </c>
      <c r="F10" s="89">
        <v>0</v>
      </c>
      <c r="G10" s="89">
        <v>0</v>
      </c>
      <c r="H10" s="89">
        <v>0</v>
      </c>
      <c r="I10" s="89" t="s">
        <v>29</v>
      </c>
      <c r="J10" s="88"/>
    </row>
    <row r="11" spans="1:10" x14ac:dyDescent="0.25">
      <c r="A11" s="12">
        <f t="shared" si="0"/>
        <v>44904</v>
      </c>
      <c r="B11" s="89">
        <v>0</v>
      </c>
      <c r="C11" s="89">
        <v>0</v>
      </c>
      <c r="D11" s="89">
        <v>0</v>
      </c>
      <c r="E11" s="89">
        <v>27</v>
      </c>
      <c r="F11" s="89">
        <v>7.0000000000000007E-2</v>
      </c>
      <c r="G11" s="89">
        <v>0.5</v>
      </c>
      <c r="H11" s="89">
        <v>0</v>
      </c>
      <c r="I11" s="89" t="s">
        <v>29</v>
      </c>
      <c r="J11" s="88"/>
    </row>
    <row r="12" spans="1:10" x14ac:dyDescent="0.25">
      <c r="A12" s="12">
        <f t="shared" si="0"/>
        <v>44905</v>
      </c>
      <c r="B12" s="89">
        <v>0</v>
      </c>
      <c r="C12" s="89">
        <v>0</v>
      </c>
      <c r="D12" s="89">
        <v>0</v>
      </c>
      <c r="E12" s="89">
        <v>27</v>
      </c>
      <c r="F12" s="89">
        <v>0.15</v>
      </c>
      <c r="G12" s="89">
        <v>2</v>
      </c>
      <c r="H12" s="89">
        <v>0</v>
      </c>
      <c r="I12" s="89" t="s">
        <v>29</v>
      </c>
      <c r="J12" s="88"/>
    </row>
    <row r="13" spans="1:10" x14ac:dyDescent="0.25">
      <c r="A13" s="12">
        <f t="shared" si="0"/>
        <v>44906</v>
      </c>
      <c r="B13" s="89">
        <v>0</v>
      </c>
      <c r="C13" s="89">
        <v>0</v>
      </c>
      <c r="D13" s="89">
        <v>0</v>
      </c>
      <c r="E13" s="89">
        <v>27</v>
      </c>
      <c r="F13" s="89">
        <v>0.03</v>
      </c>
      <c r="G13" s="89">
        <v>0</v>
      </c>
      <c r="H13" s="89">
        <v>0</v>
      </c>
      <c r="I13" s="89" t="s">
        <v>29</v>
      </c>
      <c r="J13" s="88"/>
    </row>
    <row r="14" spans="1:10" x14ac:dyDescent="0.25">
      <c r="A14" s="12">
        <f t="shared" si="0"/>
        <v>44907</v>
      </c>
      <c r="B14" s="89">
        <v>0</v>
      </c>
      <c r="C14" s="89">
        <v>0</v>
      </c>
      <c r="D14" s="89">
        <v>0</v>
      </c>
      <c r="E14" s="89">
        <v>27</v>
      </c>
      <c r="F14" s="89" t="s">
        <v>30</v>
      </c>
      <c r="G14" s="89">
        <v>0</v>
      </c>
      <c r="H14" s="89">
        <v>0</v>
      </c>
      <c r="I14" s="89" t="s">
        <v>29</v>
      </c>
      <c r="J14" s="88"/>
    </row>
    <row r="15" spans="1:10" x14ac:dyDescent="0.25">
      <c r="A15" s="12">
        <f t="shared" si="0"/>
        <v>44908</v>
      </c>
      <c r="B15" s="89">
        <v>0</v>
      </c>
      <c r="C15" s="89">
        <v>0</v>
      </c>
      <c r="D15" s="89">
        <v>0</v>
      </c>
      <c r="E15" s="89">
        <v>24</v>
      </c>
      <c r="F15" s="89">
        <v>0</v>
      </c>
      <c r="G15" s="89">
        <v>0</v>
      </c>
      <c r="H15" s="89">
        <v>0</v>
      </c>
      <c r="I15" s="89" t="s">
        <v>29</v>
      </c>
      <c r="J15" s="88"/>
    </row>
    <row r="16" spans="1:10" x14ac:dyDescent="0.25">
      <c r="A16" s="12">
        <f t="shared" si="0"/>
        <v>44909</v>
      </c>
      <c r="B16" s="89">
        <v>0</v>
      </c>
      <c r="C16" s="89">
        <v>0</v>
      </c>
      <c r="D16" s="89">
        <v>0</v>
      </c>
      <c r="E16" s="89">
        <v>23</v>
      </c>
      <c r="F16" s="89" t="s">
        <v>30</v>
      </c>
      <c r="G16" s="89">
        <v>0</v>
      </c>
      <c r="H16" s="89">
        <v>0</v>
      </c>
      <c r="I16" s="89" t="s">
        <v>29</v>
      </c>
      <c r="J16" s="88"/>
    </row>
    <row r="17" spans="1:10" x14ac:dyDescent="0.25">
      <c r="A17" s="12">
        <f t="shared" si="0"/>
        <v>44910</v>
      </c>
      <c r="B17" s="89">
        <v>0</v>
      </c>
      <c r="C17" s="89">
        <v>0</v>
      </c>
      <c r="D17" s="89">
        <v>0</v>
      </c>
      <c r="E17" s="89">
        <v>23</v>
      </c>
      <c r="F17" s="89">
        <v>0</v>
      </c>
      <c r="G17" s="89">
        <v>0</v>
      </c>
      <c r="H17" s="89">
        <v>0</v>
      </c>
      <c r="I17" s="89" t="s">
        <v>29</v>
      </c>
      <c r="J17" s="91"/>
    </row>
    <row r="18" spans="1:10" x14ac:dyDescent="0.25">
      <c r="A18" s="12">
        <f t="shared" si="0"/>
        <v>44911</v>
      </c>
      <c r="B18" s="89">
        <v>0</v>
      </c>
      <c r="C18" s="89">
        <v>0</v>
      </c>
      <c r="D18" s="89">
        <v>0</v>
      </c>
      <c r="E18" s="89">
        <v>22</v>
      </c>
      <c r="F18" s="89">
        <v>0.02</v>
      </c>
      <c r="G18" s="89">
        <v>0</v>
      </c>
      <c r="H18" s="89">
        <v>0</v>
      </c>
      <c r="I18" s="89" t="s">
        <v>29</v>
      </c>
      <c r="J18" s="91"/>
    </row>
    <row r="19" spans="1:10" x14ac:dyDescent="0.25">
      <c r="A19" s="12">
        <f t="shared" si="0"/>
        <v>44912</v>
      </c>
      <c r="B19" s="89">
        <v>0</v>
      </c>
      <c r="C19" s="89">
        <v>0</v>
      </c>
      <c r="D19" s="89">
        <v>0</v>
      </c>
      <c r="E19" s="89">
        <v>20</v>
      </c>
      <c r="F19" s="89" t="s">
        <v>30</v>
      </c>
      <c r="G19" s="89">
        <v>0</v>
      </c>
      <c r="H19" s="89">
        <v>0</v>
      </c>
      <c r="I19" s="89" t="s">
        <v>29</v>
      </c>
      <c r="J19" s="91"/>
    </row>
    <row r="20" spans="1:10" x14ac:dyDescent="0.25">
      <c r="A20" s="12">
        <f t="shared" si="0"/>
        <v>44913</v>
      </c>
      <c r="B20" s="89">
        <v>0</v>
      </c>
      <c r="C20" s="89">
        <v>0</v>
      </c>
      <c r="D20" s="89">
        <v>0</v>
      </c>
      <c r="E20" s="89">
        <v>19</v>
      </c>
      <c r="F20" s="89" t="s">
        <v>30</v>
      </c>
      <c r="G20" s="89">
        <v>0</v>
      </c>
      <c r="H20" s="89">
        <v>0</v>
      </c>
      <c r="I20" s="89" t="s">
        <v>29</v>
      </c>
      <c r="J20" s="91"/>
    </row>
    <row r="21" spans="1:10" x14ac:dyDescent="0.25">
      <c r="A21" s="12">
        <f t="shared" si="0"/>
        <v>44914</v>
      </c>
      <c r="B21" s="89">
        <v>0</v>
      </c>
      <c r="C21" s="89">
        <v>0</v>
      </c>
      <c r="D21" s="89">
        <v>0</v>
      </c>
      <c r="E21" s="89">
        <v>18</v>
      </c>
      <c r="F21" s="89">
        <v>0</v>
      </c>
      <c r="G21" s="89">
        <v>0</v>
      </c>
      <c r="H21" s="89">
        <v>0</v>
      </c>
      <c r="I21" s="89" t="s">
        <v>29</v>
      </c>
      <c r="J21" s="91"/>
    </row>
    <row r="22" spans="1:10" x14ac:dyDescent="0.25">
      <c r="A22" s="12">
        <f t="shared" si="0"/>
        <v>44915</v>
      </c>
      <c r="B22" s="89">
        <v>0</v>
      </c>
      <c r="C22" s="89">
        <v>0</v>
      </c>
      <c r="D22" s="89">
        <v>0</v>
      </c>
      <c r="E22" s="89">
        <v>16</v>
      </c>
      <c r="F22" s="89" t="s">
        <v>30</v>
      </c>
      <c r="G22" s="89">
        <v>0</v>
      </c>
      <c r="H22" s="89">
        <v>0</v>
      </c>
      <c r="I22" s="89" t="s">
        <v>29</v>
      </c>
      <c r="J22" s="91"/>
    </row>
    <row r="23" spans="1:10" x14ac:dyDescent="0.25">
      <c r="A23" s="12">
        <f t="shared" si="0"/>
        <v>44916</v>
      </c>
      <c r="B23" s="89">
        <v>0</v>
      </c>
      <c r="C23" s="89">
        <v>0</v>
      </c>
      <c r="D23" s="89">
        <v>0</v>
      </c>
      <c r="E23" s="89">
        <v>17</v>
      </c>
      <c r="F23" s="89">
        <v>0.03</v>
      </c>
      <c r="G23" s="89">
        <v>0</v>
      </c>
      <c r="H23" s="89">
        <v>0</v>
      </c>
      <c r="I23" s="89" t="s">
        <v>29</v>
      </c>
      <c r="J23" s="91"/>
    </row>
    <row r="24" spans="1:10" x14ac:dyDescent="0.25">
      <c r="A24" s="12">
        <f t="shared" si="0"/>
        <v>44917</v>
      </c>
      <c r="B24" s="89">
        <v>0</v>
      </c>
      <c r="C24" s="89">
        <v>0</v>
      </c>
      <c r="D24" s="89">
        <v>0</v>
      </c>
      <c r="E24" s="89">
        <v>17</v>
      </c>
      <c r="F24" s="89">
        <v>0.02</v>
      </c>
      <c r="G24" s="89">
        <v>0</v>
      </c>
      <c r="H24" s="89">
        <v>0</v>
      </c>
      <c r="I24" s="89" t="s">
        <v>29</v>
      </c>
      <c r="J24" s="91"/>
    </row>
    <row r="25" spans="1:10" x14ac:dyDescent="0.25">
      <c r="A25" s="12">
        <f t="shared" si="0"/>
        <v>44918</v>
      </c>
      <c r="B25" s="89">
        <v>0</v>
      </c>
      <c r="C25" s="89">
        <v>0</v>
      </c>
      <c r="D25" s="89">
        <v>0</v>
      </c>
      <c r="E25" s="89">
        <v>17</v>
      </c>
      <c r="F25" s="89">
        <v>0</v>
      </c>
      <c r="G25" s="89">
        <v>0</v>
      </c>
      <c r="H25" s="89">
        <v>0</v>
      </c>
      <c r="I25" s="89" t="s">
        <v>29</v>
      </c>
      <c r="J25" s="91"/>
    </row>
    <row r="26" spans="1:10" x14ac:dyDescent="0.25">
      <c r="A26" s="12">
        <f t="shared" si="0"/>
        <v>44919</v>
      </c>
      <c r="B26" s="89">
        <v>0</v>
      </c>
      <c r="C26" s="89">
        <v>0</v>
      </c>
      <c r="D26" s="89">
        <v>0</v>
      </c>
      <c r="E26" s="89">
        <v>18</v>
      </c>
      <c r="F26" s="89">
        <v>0.05</v>
      </c>
      <c r="G26" s="89">
        <v>0</v>
      </c>
      <c r="H26" s="89">
        <v>0</v>
      </c>
      <c r="I26" s="89" t="s">
        <v>29</v>
      </c>
      <c r="J26" s="91"/>
    </row>
    <row r="27" spans="1:10" x14ac:dyDescent="0.25">
      <c r="A27" s="12">
        <f t="shared" si="0"/>
        <v>44920</v>
      </c>
      <c r="B27" s="89">
        <v>0</v>
      </c>
      <c r="C27" s="89">
        <v>0</v>
      </c>
      <c r="D27" s="89">
        <v>0</v>
      </c>
      <c r="E27" s="89">
        <v>18</v>
      </c>
      <c r="F27" s="89">
        <v>0.05</v>
      </c>
      <c r="G27" s="89">
        <v>0</v>
      </c>
      <c r="H27" s="89">
        <v>0</v>
      </c>
      <c r="I27" s="89" t="s">
        <v>29</v>
      </c>
      <c r="J27" s="91"/>
    </row>
    <row r="28" spans="1:10" x14ac:dyDescent="0.25">
      <c r="A28" s="12">
        <f t="shared" si="0"/>
        <v>44921</v>
      </c>
      <c r="B28" s="89">
        <v>0</v>
      </c>
      <c r="C28" s="89">
        <v>0</v>
      </c>
      <c r="D28" s="89">
        <v>0</v>
      </c>
      <c r="E28" s="89">
        <v>20</v>
      </c>
      <c r="F28" s="89">
        <v>0.1</v>
      </c>
      <c r="G28" s="89">
        <v>0</v>
      </c>
      <c r="H28" s="89">
        <v>0</v>
      </c>
      <c r="I28" s="89" t="s">
        <v>29</v>
      </c>
      <c r="J28" s="91"/>
    </row>
    <row r="29" spans="1:10" x14ac:dyDescent="0.25">
      <c r="A29" s="12">
        <f t="shared" si="0"/>
        <v>44922</v>
      </c>
      <c r="B29" s="89">
        <v>19</v>
      </c>
      <c r="C29" s="89">
        <v>0</v>
      </c>
      <c r="D29" s="89">
        <v>0</v>
      </c>
      <c r="E29" s="89">
        <v>22</v>
      </c>
      <c r="F29" s="89">
        <v>0.13</v>
      </c>
      <c r="G29" s="89">
        <v>0</v>
      </c>
      <c r="H29" s="89">
        <v>0</v>
      </c>
      <c r="I29" s="89" t="s">
        <v>29</v>
      </c>
      <c r="J29" s="91"/>
    </row>
    <row r="30" spans="1:10" x14ac:dyDescent="0.25">
      <c r="A30" s="12">
        <f t="shared" si="0"/>
        <v>44923</v>
      </c>
      <c r="B30" s="89">
        <v>19</v>
      </c>
      <c r="C30" s="89">
        <v>0</v>
      </c>
      <c r="D30" s="89">
        <v>0</v>
      </c>
      <c r="E30" s="89">
        <v>31</v>
      </c>
      <c r="F30" s="89" t="s">
        <v>30</v>
      </c>
      <c r="G30" s="89">
        <v>0</v>
      </c>
      <c r="H30" s="89">
        <v>0</v>
      </c>
      <c r="I30" s="89" t="s">
        <v>29</v>
      </c>
      <c r="J30" s="88"/>
    </row>
    <row r="31" spans="1:10" x14ac:dyDescent="0.25">
      <c r="A31" s="12">
        <f t="shared" si="0"/>
        <v>44924</v>
      </c>
      <c r="B31" s="89">
        <v>19</v>
      </c>
      <c r="C31" s="89">
        <v>0</v>
      </c>
      <c r="D31" s="89">
        <v>0</v>
      </c>
      <c r="E31" s="89">
        <v>38</v>
      </c>
      <c r="F31" s="89">
        <v>0.11</v>
      </c>
      <c r="G31" s="89">
        <v>0.5</v>
      </c>
      <c r="H31" s="89">
        <v>0</v>
      </c>
      <c r="I31" s="89" t="s">
        <v>29</v>
      </c>
      <c r="J31" s="88"/>
    </row>
    <row r="32" spans="1:10" x14ac:dyDescent="0.25">
      <c r="A32" s="12">
        <f t="shared" si="0"/>
        <v>44925</v>
      </c>
      <c r="B32" s="89">
        <v>19</v>
      </c>
      <c r="C32" s="89">
        <v>0</v>
      </c>
      <c r="D32" s="89">
        <v>0</v>
      </c>
      <c r="E32" s="89">
        <v>95</v>
      </c>
      <c r="F32" s="89">
        <v>0.8</v>
      </c>
      <c r="G32" s="89">
        <v>0</v>
      </c>
      <c r="H32" s="89">
        <v>0</v>
      </c>
      <c r="I32" s="89" t="s">
        <v>29</v>
      </c>
      <c r="J32" s="88"/>
    </row>
    <row r="33" spans="1:16" ht="15.75" thickBot="1" x14ac:dyDescent="0.3">
      <c r="A33" s="12">
        <f t="shared" si="0"/>
        <v>44926</v>
      </c>
      <c r="B33" s="89">
        <v>39</v>
      </c>
      <c r="C33" s="89">
        <v>0</v>
      </c>
      <c r="D33" s="89">
        <v>14</v>
      </c>
      <c r="E33" s="89">
        <v>121</v>
      </c>
      <c r="F33" s="89">
        <v>0.14000000000000001</v>
      </c>
      <c r="G33" s="89">
        <v>0</v>
      </c>
      <c r="H33" s="89">
        <v>0</v>
      </c>
      <c r="I33" s="89" t="s">
        <v>29</v>
      </c>
      <c r="J33" s="88"/>
    </row>
    <row r="34" spans="1:16" s="11" customFormat="1" ht="15.75" thickTop="1" x14ac:dyDescent="0.25">
      <c r="A34" s="15" t="s">
        <v>8</v>
      </c>
      <c r="B34" s="16">
        <f>SUM(B3:B33)</f>
        <v>115</v>
      </c>
      <c r="C34" s="16">
        <f t="shared" ref="C34:H34" si="1">SUM(C3:C33)</f>
        <v>0</v>
      </c>
      <c r="D34" s="16">
        <f t="shared" si="1"/>
        <v>14</v>
      </c>
      <c r="E34" s="16">
        <f t="shared" si="1"/>
        <v>896</v>
      </c>
      <c r="F34" s="17">
        <f t="shared" si="1"/>
        <v>3.22</v>
      </c>
      <c r="G34" s="17">
        <f t="shared" si="1"/>
        <v>7</v>
      </c>
      <c r="H34" s="16">
        <f t="shared" si="1"/>
        <v>0</v>
      </c>
      <c r="I34" s="17"/>
    </row>
    <row r="35" spans="1:16" s="11" customFormat="1" x14ac:dyDescent="0.25">
      <c r="A35" s="18" t="s">
        <v>9</v>
      </c>
      <c r="B35" s="19">
        <f>SUM(B34+'Nov 2022'!B34)</f>
        <v>115</v>
      </c>
      <c r="C35" s="19">
        <f>SUM(C34+'Nov 2022'!C34)</f>
        <v>0</v>
      </c>
      <c r="D35" s="19">
        <f>SUM(D34+'Nov 2022'!D34)</f>
        <v>14</v>
      </c>
      <c r="E35" s="19">
        <f>SUM(E34+'Nov 2022'!E34)</f>
        <v>2318</v>
      </c>
      <c r="F35" s="20">
        <f>SUM(F34+'Nov 2022'!F34)</f>
        <v>4.5600000000000005</v>
      </c>
      <c r="G35" s="20">
        <f>SUM(G34+'Nov 2022'!G34)</f>
        <v>10.5</v>
      </c>
      <c r="H35" s="19">
        <f>SUM(H34+'Nov 2022'!H34)</f>
        <v>0</v>
      </c>
      <c r="I35" s="20"/>
    </row>
    <row r="37" spans="1:16" x14ac:dyDescent="0.25">
      <c r="A37" t="s">
        <v>10</v>
      </c>
      <c r="B37" s="22">
        <f>SUM(B3:B33)*1.9835</f>
        <v>228.10249999999999</v>
      </c>
      <c r="C37" s="22">
        <f>SUM(C3:C33)*1.9835</f>
        <v>0</v>
      </c>
      <c r="D37" s="22">
        <f>SUM(D3:D33)*1.9835</f>
        <v>27.769000000000002</v>
      </c>
      <c r="E37" s="22">
        <f>SUM(E3:E33)*1.9835</f>
        <v>1777.2160000000001</v>
      </c>
      <c r="F37" s="22"/>
      <c r="G37" s="22"/>
      <c r="H37" s="22"/>
      <c r="J37" s="21"/>
    </row>
    <row r="39" spans="1:16" x14ac:dyDescent="0.25">
      <c r="A39" t="s">
        <v>24</v>
      </c>
      <c r="B39" s="22">
        <f>SUM('Nov 2022'!B38+B37)</f>
        <v>228.10249999999999</v>
      </c>
      <c r="C39" s="22">
        <f>SUM('Nov 2022'!C38+C37)</f>
        <v>0</v>
      </c>
      <c r="D39" s="22">
        <f>SUM('Nov 2022'!D38+D37)</f>
        <v>27.769000000000002</v>
      </c>
      <c r="E39" s="22">
        <f>SUM('Nov 2022'!E38+E37)</f>
        <v>4597.7530000000006</v>
      </c>
      <c r="F39" s="22"/>
      <c r="G39" s="22"/>
      <c r="H39" s="22"/>
      <c r="J39" s="21"/>
    </row>
    <row r="40" spans="1:16" x14ac:dyDescent="0.25">
      <c r="C40" s="22"/>
      <c r="D40" s="22"/>
      <c r="E40" s="22"/>
      <c r="F40" s="22"/>
      <c r="G40" s="22"/>
      <c r="H40" s="22"/>
      <c r="J40" s="21"/>
    </row>
    <row r="41" spans="1:16" ht="17.45" customHeight="1" x14ac:dyDescent="0.25">
      <c r="A41" s="102"/>
      <c r="B41" s="102"/>
      <c r="C41" s="102"/>
      <c r="D41" s="102"/>
      <c r="E41" s="102"/>
      <c r="F41" s="102"/>
      <c r="G41" s="103"/>
      <c r="H41" s="104" t="s">
        <v>12</v>
      </c>
      <c r="I41" s="105"/>
      <c r="J41" s="26"/>
      <c r="K41" s="26"/>
      <c r="L41" s="26"/>
      <c r="M41" s="26"/>
      <c r="N41" s="26"/>
      <c r="O41" s="27"/>
      <c r="P41" s="26"/>
    </row>
    <row r="42" spans="1:16" ht="16.899999999999999" customHeight="1" x14ac:dyDescent="0.25">
      <c r="A42" s="25"/>
      <c r="B42" s="25"/>
      <c r="C42" s="25"/>
      <c r="D42" s="25"/>
      <c r="E42" s="25"/>
      <c r="F42" s="25"/>
      <c r="G42" s="25"/>
      <c r="H42" s="104"/>
      <c r="I42" s="105"/>
      <c r="J42" s="26"/>
      <c r="K42" s="26"/>
      <c r="L42" s="26"/>
      <c r="M42" s="26"/>
      <c r="N42" s="26"/>
      <c r="O42" s="27"/>
      <c r="P42" s="26"/>
    </row>
    <row r="43" spans="1:16" ht="13.9" customHeight="1" x14ac:dyDescent="0.25">
      <c r="A43" s="107" t="s">
        <v>23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28"/>
      <c r="M43" s="28"/>
      <c r="N43" s="28"/>
      <c r="O43" s="29"/>
      <c r="P43" s="28"/>
    </row>
    <row r="44" spans="1:16" ht="15.6" customHeight="1" x14ac:dyDescent="0.25">
      <c r="A44" s="37" t="s">
        <v>17</v>
      </c>
      <c r="B44" s="95"/>
      <c r="C44" s="31"/>
      <c r="D44" s="32"/>
      <c r="E44" s="32"/>
      <c r="F44" s="33"/>
      <c r="G44" s="34"/>
      <c r="H44" s="35"/>
      <c r="I44" s="36"/>
      <c r="J44" s="28"/>
      <c r="K44" s="28"/>
      <c r="L44" s="28"/>
      <c r="M44" s="28"/>
      <c r="N44" s="28"/>
      <c r="O44" s="29"/>
    </row>
    <row r="45" spans="1:16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8"/>
      <c r="O45" s="29"/>
    </row>
    <row r="46" spans="1:16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8"/>
      <c r="O46" s="29"/>
    </row>
    <row r="47" spans="1:16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28"/>
      <c r="K47" s="28"/>
      <c r="L47" s="28"/>
      <c r="M47" s="28"/>
      <c r="N47" s="28"/>
      <c r="O47" s="29"/>
    </row>
    <row r="48" spans="1:16" x14ac:dyDescent="0.25">
      <c r="A48" s="30"/>
      <c r="B48" s="96"/>
      <c r="C48" s="31"/>
      <c r="D48" s="32"/>
      <c r="E48" s="32"/>
      <c r="F48" s="38"/>
      <c r="G48" s="34">
        <f>SUM(24-E48)</f>
        <v>24</v>
      </c>
      <c r="H48" s="35">
        <f>SUM(D48+F48)</f>
        <v>0</v>
      </c>
      <c r="I48" s="36">
        <f>SUM(D48/24*E48+H48/24*G48)</f>
        <v>0</v>
      </c>
      <c r="J48" s="28"/>
      <c r="K48" s="28"/>
      <c r="L48" s="28"/>
      <c r="M48" s="28"/>
      <c r="N48" s="28"/>
      <c r="O48" s="29"/>
    </row>
    <row r="49" spans="1:16" x14ac:dyDescent="0.25">
      <c r="A49" s="30"/>
      <c r="B49" s="96"/>
      <c r="C49" s="31"/>
      <c r="D49" s="32"/>
      <c r="E49" s="32"/>
      <c r="F49" s="38"/>
      <c r="G49" s="34">
        <f>SUM(24-E49)</f>
        <v>24</v>
      </c>
      <c r="H49" s="35">
        <f>SUM(D49+F49)</f>
        <v>0</v>
      </c>
      <c r="I49" s="36">
        <f>SUM(D49/24*E49+H49/24*G49)</f>
        <v>0</v>
      </c>
      <c r="J49" s="28"/>
      <c r="K49" s="28"/>
      <c r="L49" s="28"/>
      <c r="M49" s="28"/>
      <c r="N49" s="28"/>
      <c r="O49" s="29"/>
    </row>
    <row r="50" spans="1:16" ht="13.15" customHeight="1" x14ac:dyDescent="0.25">
      <c r="A50" s="39"/>
      <c r="B50" s="39"/>
      <c r="C50" s="40"/>
      <c r="D50" s="40"/>
      <c r="E50" s="40"/>
      <c r="F50" s="40"/>
      <c r="G50" s="40"/>
      <c r="H50" s="41"/>
      <c r="I50" s="28"/>
      <c r="J50" s="28"/>
      <c r="K50" s="28"/>
      <c r="L50" s="28"/>
      <c r="M50" s="28"/>
      <c r="N50" s="28"/>
      <c r="O50" s="29"/>
      <c r="P50" s="28"/>
    </row>
    <row r="51" spans="1:16" ht="15.75" thickBot="1" x14ac:dyDescent="0.3">
      <c r="A51" s="42" t="s">
        <v>18</v>
      </c>
      <c r="B51" s="42"/>
      <c r="C51" s="42"/>
      <c r="D51" s="42"/>
      <c r="E51" s="42"/>
      <c r="F51" s="43"/>
      <c r="G51" s="44"/>
      <c r="H51" s="41"/>
      <c r="I51" s="28"/>
      <c r="J51" s="28"/>
      <c r="K51" s="28"/>
      <c r="L51" s="28"/>
      <c r="M51" s="28"/>
      <c r="N51" s="28"/>
      <c r="O51" s="29"/>
      <c r="P51" s="28"/>
    </row>
    <row r="52" spans="1:16" ht="26.25" x14ac:dyDescent="0.25">
      <c r="A52" s="45" t="s">
        <v>19</v>
      </c>
      <c r="B52" s="97"/>
      <c r="C52" s="46" t="s">
        <v>13</v>
      </c>
      <c r="D52" s="47" t="s">
        <v>14</v>
      </c>
      <c r="E52" s="47" t="s">
        <v>15</v>
      </c>
      <c r="F52" s="48" t="s">
        <v>16</v>
      </c>
      <c r="G52" s="49" t="s">
        <v>20</v>
      </c>
      <c r="H52" s="50"/>
      <c r="I52" s="51"/>
      <c r="J52" s="52"/>
      <c r="K52" s="52"/>
    </row>
    <row r="53" spans="1:16" ht="15.75" x14ac:dyDescent="0.25">
      <c r="A53" s="53"/>
      <c r="B53" s="98"/>
      <c r="C53" s="54"/>
      <c r="D53" s="55"/>
      <c r="E53" s="56"/>
      <c r="F53" s="57"/>
      <c r="G53" s="58"/>
      <c r="H53" s="59"/>
      <c r="I53" s="60"/>
      <c r="J53" s="61"/>
      <c r="K53" s="61"/>
    </row>
    <row r="54" spans="1:16" x14ac:dyDescent="0.25">
      <c r="A54" s="62"/>
      <c r="B54" s="99"/>
      <c r="C54" s="63"/>
      <c r="D54" s="64"/>
      <c r="E54" s="56"/>
      <c r="F54" s="65"/>
      <c r="G54" s="66"/>
      <c r="H54" s="59"/>
      <c r="I54" s="60"/>
    </row>
    <row r="55" spans="1:16" x14ac:dyDescent="0.25">
      <c r="A55" s="62"/>
      <c r="B55" s="99"/>
      <c r="C55" s="63"/>
      <c r="D55" s="64"/>
      <c r="E55" s="56"/>
      <c r="F55" s="67"/>
      <c r="G55" s="66"/>
      <c r="H55" s="59"/>
      <c r="I55" s="60"/>
    </row>
    <row r="56" spans="1:16" x14ac:dyDescent="0.25">
      <c r="A56" s="62"/>
      <c r="B56" s="99"/>
      <c r="C56" s="63"/>
      <c r="D56" s="64"/>
      <c r="E56" s="56"/>
      <c r="F56" s="67"/>
      <c r="G56" s="66"/>
      <c r="H56" s="59"/>
      <c r="I56" s="60"/>
    </row>
    <row r="57" spans="1:16" ht="15.75" thickBot="1" x14ac:dyDescent="0.3">
      <c r="A57" s="68"/>
      <c r="B57" s="100"/>
      <c r="C57" s="69"/>
      <c r="D57" s="70"/>
      <c r="E57" s="71"/>
      <c r="F57" s="70"/>
      <c r="G57" s="72"/>
      <c r="H57" s="59"/>
      <c r="I57" s="60"/>
    </row>
    <row r="58" spans="1:16" s="78" customFormat="1" ht="30" customHeight="1" x14ac:dyDescent="0.25">
      <c r="A58" s="108" t="s">
        <v>21</v>
      </c>
      <c r="B58" s="109"/>
      <c r="C58" s="109"/>
      <c r="D58" s="110"/>
      <c r="E58" s="73">
        <f>SUM(E53:E57)</f>
        <v>0</v>
      </c>
      <c r="F58" s="74" t="s">
        <v>22</v>
      </c>
      <c r="G58" s="75">
        <f>SUM(G53:G57)</f>
        <v>0</v>
      </c>
      <c r="H58" s="76"/>
      <c r="I58" s="77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57"/>
  <sheetViews>
    <sheetView zoomScaleNormal="100" workbookViewId="0">
      <selection activeCell="M18" sqref="M18"/>
    </sheetView>
  </sheetViews>
  <sheetFormatPr defaultRowHeight="15" x14ac:dyDescent="0.25"/>
  <cols>
    <col min="1" max="1" width="13.5703125" style="2" bestFit="1" customWidth="1"/>
    <col min="2" max="2" width="13.5703125" style="2" customWidth="1"/>
    <col min="3" max="5" width="11.7109375" style="6" customWidth="1"/>
    <col min="6" max="7" width="11.7109375" customWidth="1"/>
    <col min="8" max="8" width="11.7109375" style="6" customWidth="1"/>
    <col min="9" max="9" width="11.7109375" customWidth="1"/>
    <col min="10" max="10" width="29" bestFit="1" customWidth="1"/>
  </cols>
  <sheetData>
    <row r="1" spans="1:10" s="1" customFormat="1" ht="30" x14ac:dyDescent="0.25">
      <c r="A1" s="81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7" t="s">
        <v>6</v>
      </c>
      <c r="G1" s="7" t="s">
        <v>7</v>
      </c>
      <c r="H1" s="5" t="s">
        <v>3</v>
      </c>
      <c r="I1" s="3" t="s">
        <v>4</v>
      </c>
      <c r="J1" s="3" t="s">
        <v>11</v>
      </c>
    </row>
    <row r="2" spans="1:10" s="1" customFormat="1" x14ac:dyDescent="0.25">
      <c r="A2" s="80"/>
      <c r="B2" s="5" t="s">
        <v>25</v>
      </c>
      <c r="C2" s="5" t="s">
        <v>25</v>
      </c>
      <c r="D2" s="5" t="s">
        <v>25</v>
      </c>
      <c r="E2" s="5" t="s">
        <v>25</v>
      </c>
      <c r="F2" s="7"/>
      <c r="G2" s="7"/>
      <c r="H2" s="5" t="s">
        <v>26</v>
      </c>
      <c r="I2" s="3"/>
      <c r="J2" s="79"/>
    </row>
    <row r="3" spans="1:10" x14ac:dyDescent="0.25">
      <c r="A3" s="12">
        <v>44866</v>
      </c>
      <c r="B3" s="93">
        <v>0</v>
      </c>
      <c r="C3" s="93">
        <v>0</v>
      </c>
      <c r="D3" s="93">
        <v>0</v>
      </c>
      <c r="E3" s="93">
        <v>20</v>
      </c>
      <c r="F3" s="93">
        <v>0.28000000000000003</v>
      </c>
      <c r="G3" s="93">
        <v>1.5</v>
      </c>
      <c r="H3" s="93">
        <v>0</v>
      </c>
      <c r="I3" s="93" t="s">
        <v>29</v>
      </c>
      <c r="J3" s="88"/>
    </row>
    <row r="4" spans="1:10" x14ac:dyDescent="0.25">
      <c r="A4" s="12">
        <f>A3+1</f>
        <v>44867</v>
      </c>
      <c r="B4" s="93">
        <v>0</v>
      </c>
      <c r="C4" s="93">
        <v>0</v>
      </c>
      <c r="D4" s="93">
        <v>0</v>
      </c>
      <c r="E4" s="93">
        <v>20</v>
      </c>
      <c r="F4" s="93" t="s">
        <v>30</v>
      </c>
      <c r="G4" s="93">
        <v>0</v>
      </c>
      <c r="H4" s="93">
        <v>0</v>
      </c>
      <c r="I4" s="93" t="s">
        <v>29</v>
      </c>
      <c r="J4" s="88"/>
    </row>
    <row r="5" spans="1:10" x14ac:dyDescent="0.25">
      <c r="A5" s="12">
        <f t="shared" ref="A5:A32" si="0">A4+1</f>
        <v>44868</v>
      </c>
      <c r="B5" s="93">
        <v>0</v>
      </c>
      <c r="C5" s="93">
        <v>0</v>
      </c>
      <c r="D5" s="93">
        <v>0</v>
      </c>
      <c r="E5" s="93">
        <v>20</v>
      </c>
      <c r="F5" s="93" t="s">
        <v>30</v>
      </c>
      <c r="G5" s="93">
        <v>0</v>
      </c>
      <c r="H5" s="93">
        <v>0</v>
      </c>
      <c r="I5" s="93" t="s">
        <v>29</v>
      </c>
      <c r="J5" s="88"/>
    </row>
    <row r="6" spans="1:10" x14ac:dyDescent="0.25">
      <c r="A6" s="12">
        <f t="shared" si="0"/>
        <v>44869</v>
      </c>
      <c r="B6" s="93">
        <v>0</v>
      </c>
      <c r="C6" s="93">
        <v>0</v>
      </c>
      <c r="D6" s="93">
        <v>0</v>
      </c>
      <c r="E6" s="93">
        <v>20</v>
      </c>
      <c r="F6" s="93">
        <v>0.05</v>
      </c>
      <c r="G6" s="93">
        <v>0</v>
      </c>
      <c r="H6" s="93">
        <v>0</v>
      </c>
      <c r="I6" s="93" t="s">
        <v>29</v>
      </c>
      <c r="J6" s="88"/>
    </row>
    <row r="7" spans="1:10" x14ac:dyDescent="0.25">
      <c r="A7" s="12">
        <f t="shared" si="0"/>
        <v>44870</v>
      </c>
      <c r="B7" s="93">
        <v>0</v>
      </c>
      <c r="C7" s="93">
        <v>0</v>
      </c>
      <c r="D7" s="93">
        <v>0</v>
      </c>
      <c r="E7" s="93">
        <v>20</v>
      </c>
      <c r="F7" s="93">
        <v>0</v>
      </c>
      <c r="G7" s="93">
        <v>0</v>
      </c>
      <c r="H7" s="93">
        <v>0</v>
      </c>
      <c r="I7" s="93" t="s">
        <v>29</v>
      </c>
      <c r="J7" s="88"/>
    </row>
    <row r="8" spans="1:10" x14ac:dyDescent="0.25">
      <c r="A8" s="12">
        <f t="shared" si="0"/>
        <v>44871</v>
      </c>
      <c r="B8" s="93">
        <v>0</v>
      </c>
      <c r="C8" s="93">
        <v>0</v>
      </c>
      <c r="D8" s="93">
        <v>0</v>
      </c>
      <c r="E8" s="93">
        <v>20</v>
      </c>
      <c r="F8" s="93">
        <v>0</v>
      </c>
      <c r="G8" s="93">
        <v>0</v>
      </c>
      <c r="H8" s="93">
        <v>0</v>
      </c>
      <c r="I8" s="93" t="s">
        <v>29</v>
      </c>
      <c r="J8" s="88"/>
    </row>
    <row r="9" spans="1:10" x14ac:dyDescent="0.25">
      <c r="A9" s="12">
        <f t="shared" si="0"/>
        <v>44872</v>
      </c>
      <c r="B9" s="93">
        <v>0</v>
      </c>
      <c r="C9" s="93">
        <v>0</v>
      </c>
      <c r="D9" s="93">
        <v>0</v>
      </c>
      <c r="E9" s="93">
        <v>20</v>
      </c>
      <c r="F9" s="93">
        <v>0.54</v>
      </c>
      <c r="G9" s="93">
        <v>2</v>
      </c>
      <c r="H9" s="93">
        <v>0</v>
      </c>
      <c r="I9" s="93" t="s">
        <v>29</v>
      </c>
      <c r="J9" s="88"/>
    </row>
    <row r="10" spans="1:10" x14ac:dyDescent="0.25">
      <c r="A10" s="12">
        <f t="shared" si="0"/>
        <v>44873</v>
      </c>
      <c r="B10" s="93">
        <v>0</v>
      </c>
      <c r="C10" s="93">
        <v>0</v>
      </c>
      <c r="D10" s="93">
        <v>0</v>
      </c>
      <c r="E10" s="93">
        <v>20</v>
      </c>
      <c r="F10" s="93">
        <v>0.01</v>
      </c>
      <c r="G10" s="93" t="s">
        <v>30</v>
      </c>
      <c r="H10" s="93">
        <v>0</v>
      </c>
      <c r="I10" s="93" t="s">
        <v>29</v>
      </c>
      <c r="J10" s="88"/>
    </row>
    <row r="11" spans="1:10" x14ac:dyDescent="0.25">
      <c r="A11" s="12">
        <f t="shared" si="0"/>
        <v>44874</v>
      </c>
      <c r="B11" s="93">
        <v>0</v>
      </c>
      <c r="C11" s="93">
        <v>0</v>
      </c>
      <c r="D11" s="93">
        <v>0</v>
      </c>
      <c r="E11" s="93">
        <v>20</v>
      </c>
      <c r="F11" s="93">
        <v>0.13</v>
      </c>
      <c r="G11" s="93">
        <v>0</v>
      </c>
      <c r="H11" s="93">
        <v>0</v>
      </c>
      <c r="I11" s="93" t="s">
        <v>29</v>
      </c>
      <c r="J11" s="88"/>
    </row>
    <row r="12" spans="1:10" x14ac:dyDescent="0.25">
      <c r="A12" s="12">
        <f t="shared" si="0"/>
        <v>44875</v>
      </c>
      <c r="B12" s="93">
        <v>0</v>
      </c>
      <c r="C12" s="93">
        <v>0</v>
      </c>
      <c r="D12" s="93">
        <v>0</v>
      </c>
      <c r="E12" s="93">
        <v>20</v>
      </c>
      <c r="F12" s="93">
        <v>0</v>
      </c>
      <c r="G12" s="93">
        <v>0</v>
      </c>
      <c r="H12" s="93">
        <v>0</v>
      </c>
      <c r="I12" s="93" t="s">
        <v>29</v>
      </c>
      <c r="J12" s="88"/>
    </row>
    <row r="13" spans="1:10" x14ac:dyDescent="0.25">
      <c r="A13" s="12">
        <f t="shared" si="0"/>
        <v>44876</v>
      </c>
      <c r="B13" s="93">
        <v>0</v>
      </c>
      <c r="C13" s="93">
        <v>0</v>
      </c>
      <c r="D13" s="93">
        <v>0</v>
      </c>
      <c r="E13" s="93">
        <v>20</v>
      </c>
      <c r="F13" s="93">
        <v>0</v>
      </c>
      <c r="G13" s="93">
        <v>0</v>
      </c>
      <c r="H13" s="93">
        <v>0</v>
      </c>
      <c r="I13" s="93" t="s">
        <v>29</v>
      </c>
      <c r="J13" s="88"/>
    </row>
    <row r="14" spans="1:10" x14ac:dyDescent="0.25">
      <c r="A14" s="12">
        <f t="shared" si="0"/>
        <v>44877</v>
      </c>
      <c r="B14" s="93">
        <v>0</v>
      </c>
      <c r="C14" s="93">
        <v>0</v>
      </c>
      <c r="D14" s="93">
        <v>0</v>
      </c>
      <c r="E14" s="93">
        <v>20</v>
      </c>
      <c r="F14" s="93">
        <v>0.08</v>
      </c>
      <c r="G14" s="93">
        <v>0</v>
      </c>
      <c r="H14" s="93">
        <v>0</v>
      </c>
      <c r="I14" s="93" t="s">
        <v>29</v>
      </c>
      <c r="J14" s="88"/>
    </row>
    <row r="15" spans="1:10" x14ac:dyDescent="0.25">
      <c r="A15" s="12">
        <f t="shared" si="0"/>
        <v>44878</v>
      </c>
      <c r="B15" s="93">
        <v>0</v>
      </c>
      <c r="C15" s="93">
        <v>0</v>
      </c>
      <c r="D15" s="93">
        <v>0</v>
      </c>
      <c r="E15" s="93">
        <v>20</v>
      </c>
      <c r="F15" s="93">
        <v>0</v>
      </c>
      <c r="G15" s="93">
        <v>0</v>
      </c>
      <c r="H15" s="93">
        <v>0</v>
      </c>
      <c r="I15" s="93" t="s">
        <v>29</v>
      </c>
      <c r="J15" s="88"/>
    </row>
    <row r="16" spans="1:10" x14ac:dyDescent="0.25">
      <c r="A16" s="12">
        <f t="shared" si="0"/>
        <v>44879</v>
      </c>
      <c r="B16" s="93">
        <v>0</v>
      </c>
      <c r="C16" s="93">
        <v>0</v>
      </c>
      <c r="D16" s="93">
        <v>0</v>
      </c>
      <c r="E16" s="93">
        <v>20</v>
      </c>
      <c r="F16" s="93">
        <v>0</v>
      </c>
      <c r="G16" s="93">
        <v>0</v>
      </c>
      <c r="H16" s="93">
        <v>0</v>
      </c>
      <c r="I16" s="93" t="s">
        <v>29</v>
      </c>
      <c r="J16" s="88"/>
    </row>
    <row r="17" spans="1:10" x14ac:dyDescent="0.25">
      <c r="A17" s="12">
        <f t="shared" si="0"/>
        <v>44880</v>
      </c>
      <c r="B17" s="93">
        <v>0</v>
      </c>
      <c r="C17" s="93">
        <v>0</v>
      </c>
      <c r="D17" s="93">
        <v>0</v>
      </c>
      <c r="E17" s="93">
        <v>20</v>
      </c>
      <c r="F17" s="93">
        <v>0</v>
      </c>
      <c r="G17" s="93">
        <v>0</v>
      </c>
      <c r="H17" s="93">
        <v>0</v>
      </c>
      <c r="I17" s="93" t="s">
        <v>29</v>
      </c>
      <c r="J17" s="88"/>
    </row>
    <row r="18" spans="1:10" x14ac:dyDescent="0.25">
      <c r="A18" s="12">
        <f t="shared" si="0"/>
        <v>44881</v>
      </c>
      <c r="B18" s="93">
        <v>0</v>
      </c>
      <c r="C18" s="93">
        <v>0</v>
      </c>
      <c r="D18" s="93">
        <v>0</v>
      </c>
      <c r="E18" s="93">
        <v>20</v>
      </c>
      <c r="F18" s="93">
        <v>0</v>
      </c>
      <c r="G18" s="93">
        <v>0</v>
      </c>
      <c r="H18" s="93">
        <v>0</v>
      </c>
      <c r="I18" s="93" t="s">
        <v>29</v>
      </c>
      <c r="J18" s="88"/>
    </row>
    <row r="19" spans="1:10" x14ac:dyDescent="0.25">
      <c r="A19" s="12">
        <f t="shared" si="0"/>
        <v>44882</v>
      </c>
      <c r="B19" s="93">
        <v>0</v>
      </c>
      <c r="C19" s="93">
        <v>0</v>
      </c>
      <c r="D19" s="93">
        <v>0</v>
      </c>
      <c r="E19" s="93">
        <v>20</v>
      </c>
      <c r="F19" s="93">
        <v>0</v>
      </c>
      <c r="G19" s="93">
        <v>0</v>
      </c>
      <c r="H19" s="93">
        <v>0</v>
      </c>
      <c r="I19" s="93" t="s">
        <v>29</v>
      </c>
      <c r="J19" s="88"/>
    </row>
    <row r="20" spans="1:10" x14ac:dyDescent="0.25">
      <c r="A20" s="12">
        <f t="shared" si="0"/>
        <v>44883</v>
      </c>
      <c r="B20" s="93">
        <v>0</v>
      </c>
      <c r="C20" s="93">
        <v>0</v>
      </c>
      <c r="D20" s="93">
        <v>0</v>
      </c>
      <c r="E20" s="93">
        <v>20</v>
      </c>
      <c r="F20" s="93">
        <v>0</v>
      </c>
      <c r="G20" s="93">
        <v>0</v>
      </c>
      <c r="H20" s="93">
        <v>0</v>
      </c>
      <c r="I20" s="93" t="s">
        <v>29</v>
      </c>
      <c r="J20" s="88"/>
    </row>
    <row r="21" spans="1:10" x14ac:dyDescent="0.25">
      <c r="A21" s="12">
        <f t="shared" si="0"/>
        <v>44884</v>
      </c>
      <c r="B21" s="93">
        <v>0</v>
      </c>
      <c r="C21" s="93">
        <v>0</v>
      </c>
      <c r="D21" s="93">
        <v>0</v>
      </c>
      <c r="E21" s="93">
        <v>20</v>
      </c>
      <c r="F21" s="93">
        <v>0</v>
      </c>
      <c r="G21" s="93">
        <v>0</v>
      </c>
      <c r="H21" s="93">
        <v>0</v>
      </c>
      <c r="I21" s="93" t="s">
        <v>29</v>
      </c>
      <c r="J21" s="88"/>
    </row>
    <row r="22" spans="1:10" x14ac:dyDescent="0.25">
      <c r="A22" s="12">
        <f t="shared" si="0"/>
        <v>44885</v>
      </c>
      <c r="B22" s="93">
        <v>0</v>
      </c>
      <c r="C22" s="93">
        <v>0</v>
      </c>
      <c r="D22" s="93">
        <v>0</v>
      </c>
      <c r="E22" s="93">
        <v>20</v>
      </c>
      <c r="F22" s="93">
        <v>0</v>
      </c>
      <c r="G22" s="93">
        <v>0</v>
      </c>
      <c r="H22" s="93">
        <v>0</v>
      </c>
      <c r="I22" s="93" t="s">
        <v>29</v>
      </c>
      <c r="J22" s="88"/>
    </row>
    <row r="23" spans="1:10" x14ac:dyDescent="0.25">
      <c r="A23" s="12">
        <f t="shared" si="0"/>
        <v>44886</v>
      </c>
      <c r="B23" s="93">
        <v>0</v>
      </c>
      <c r="C23" s="93">
        <v>0</v>
      </c>
      <c r="D23" s="93">
        <v>0</v>
      </c>
      <c r="E23" s="93">
        <v>20</v>
      </c>
      <c r="F23" s="93">
        <v>0</v>
      </c>
      <c r="G23" s="93">
        <v>0</v>
      </c>
      <c r="H23" s="93">
        <v>0</v>
      </c>
      <c r="I23" s="93" t="s">
        <v>29</v>
      </c>
      <c r="J23" s="88"/>
    </row>
    <row r="24" spans="1:10" x14ac:dyDescent="0.25">
      <c r="A24" s="12">
        <f t="shared" si="0"/>
        <v>44887</v>
      </c>
      <c r="B24" s="93">
        <v>0</v>
      </c>
      <c r="C24" s="93">
        <v>0</v>
      </c>
      <c r="D24" s="93">
        <v>0</v>
      </c>
      <c r="E24" s="93">
        <v>20</v>
      </c>
      <c r="F24" s="93">
        <v>0</v>
      </c>
      <c r="G24" s="93">
        <v>0</v>
      </c>
      <c r="H24" s="93">
        <v>0</v>
      </c>
      <c r="I24" s="93" t="s">
        <v>29</v>
      </c>
      <c r="J24" s="88"/>
    </row>
    <row r="25" spans="1:10" x14ac:dyDescent="0.25">
      <c r="A25" s="12">
        <f t="shared" si="0"/>
        <v>44888</v>
      </c>
      <c r="B25" s="93">
        <v>0</v>
      </c>
      <c r="C25" s="93">
        <v>0</v>
      </c>
      <c r="D25" s="93">
        <v>0</v>
      </c>
      <c r="E25" s="93">
        <v>20</v>
      </c>
      <c r="F25" s="93">
        <v>0.01</v>
      </c>
      <c r="G25" s="93">
        <v>0</v>
      </c>
      <c r="H25" s="93">
        <v>0</v>
      </c>
      <c r="I25" s="93" t="s">
        <v>29</v>
      </c>
      <c r="J25" s="88"/>
    </row>
    <row r="26" spans="1:10" x14ac:dyDescent="0.25">
      <c r="A26" s="12">
        <f t="shared" si="0"/>
        <v>44889</v>
      </c>
      <c r="B26" s="93">
        <v>0</v>
      </c>
      <c r="C26" s="93">
        <v>0</v>
      </c>
      <c r="D26" s="93">
        <v>0</v>
      </c>
      <c r="E26" s="93">
        <v>20</v>
      </c>
      <c r="F26" s="93">
        <v>0</v>
      </c>
      <c r="G26" s="93">
        <v>0</v>
      </c>
      <c r="H26" s="93">
        <v>0</v>
      </c>
      <c r="I26" s="93" t="s">
        <v>29</v>
      </c>
      <c r="J26" s="88"/>
    </row>
    <row r="27" spans="1:10" x14ac:dyDescent="0.25">
      <c r="A27" s="12">
        <f t="shared" si="0"/>
        <v>44890</v>
      </c>
      <c r="B27" s="93">
        <v>0</v>
      </c>
      <c r="C27" s="93">
        <v>0</v>
      </c>
      <c r="D27" s="93">
        <v>0</v>
      </c>
      <c r="E27" s="93">
        <v>20</v>
      </c>
      <c r="F27" s="93">
        <v>0</v>
      </c>
      <c r="G27" s="93">
        <v>0</v>
      </c>
      <c r="H27" s="93">
        <v>0</v>
      </c>
      <c r="I27" s="93" t="s">
        <v>29</v>
      </c>
      <c r="J27" s="88"/>
    </row>
    <row r="28" spans="1:10" x14ac:dyDescent="0.25">
      <c r="A28" s="12">
        <f t="shared" si="0"/>
        <v>44891</v>
      </c>
      <c r="B28" s="93">
        <v>0</v>
      </c>
      <c r="C28" s="93">
        <v>0</v>
      </c>
      <c r="D28" s="93">
        <v>0</v>
      </c>
      <c r="E28" s="93">
        <v>20</v>
      </c>
      <c r="F28" s="93">
        <v>0</v>
      </c>
      <c r="G28" s="93">
        <v>0</v>
      </c>
      <c r="H28" s="93">
        <v>0</v>
      </c>
      <c r="I28" s="93" t="s">
        <v>29</v>
      </c>
      <c r="J28" s="88"/>
    </row>
    <row r="29" spans="1:10" x14ac:dyDescent="0.25">
      <c r="A29" s="12">
        <f t="shared" si="0"/>
        <v>44892</v>
      </c>
      <c r="B29" s="93">
        <v>0</v>
      </c>
      <c r="C29" s="93">
        <v>0</v>
      </c>
      <c r="D29" s="93">
        <v>0</v>
      </c>
      <c r="E29" s="93">
        <v>20</v>
      </c>
      <c r="F29" s="93">
        <v>0</v>
      </c>
      <c r="G29" s="93">
        <v>0</v>
      </c>
      <c r="H29" s="93">
        <v>0</v>
      </c>
      <c r="I29" s="93" t="s">
        <v>29</v>
      </c>
      <c r="J29" s="88"/>
    </row>
    <row r="30" spans="1:10" x14ac:dyDescent="0.25">
      <c r="A30" s="12">
        <f t="shared" si="0"/>
        <v>44893</v>
      </c>
      <c r="B30" s="93">
        <v>0</v>
      </c>
      <c r="C30" s="93">
        <v>0</v>
      </c>
      <c r="D30" s="93">
        <v>0</v>
      </c>
      <c r="E30" s="93">
        <v>20</v>
      </c>
      <c r="F30" s="93">
        <v>0.03</v>
      </c>
      <c r="G30" s="93">
        <v>0</v>
      </c>
      <c r="H30" s="93">
        <v>0</v>
      </c>
      <c r="I30" s="93" t="s">
        <v>29</v>
      </c>
      <c r="J30" s="88"/>
    </row>
    <row r="31" spans="1:10" x14ac:dyDescent="0.25">
      <c r="A31" s="12">
        <f t="shared" si="0"/>
        <v>44894</v>
      </c>
      <c r="B31" s="93">
        <v>0</v>
      </c>
      <c r="C31" s="93">
        <v>0</v>
      </c>
      <c r="D31" s="93">
        <v>0</v>
      </c>
      <c r="E31" s="93">
        <v>21</v>
      </c>
      <c r="F31" s="93" t="s">
        <v>30</v>
      </c>
      <c r="G31" s="93">
        <v>0</v>
      </c>
      <c r="H31" s="93">
        <v>0</v>
      </c>
      <c r="I31" s="93" t="s">
        <v>29</v>
      </c>
      <c r="J31" s="88"/>
    </row>
    <row r="32" spans="1:10" ht="15.75" thickBot="1" x14ac:dyDescent="0.3">
      <c r="A32" s="12">
        <f t="shared" si="0"/>
        <v>44895</v>
      </c>
      <c r="B32" s="93">
        <v>0</v>
      </c>
      <c r="C32" s="93">
        <v>0</v>
      </c>
      <c r="D32" s="93">
        <v>0</v>
      </c>
      <c r="E32" s="93">
        <v>24</v>
      </c>
      <c r="F32" s="93">
        <v>0</v>
      </c>
      <c r="G32" s="93">
        <v>0</v>
      </c>
      <c r="H32" s="93">
        <v>0</v>
      </c>
      <c r="I32" s="93" t="s">
        <v>29</v>
      </c>
      <c r="J32" s="88"/>
    </row>
    <row r="33" spans="1:16" s="11" customFormat="1" ht="15.75" thickTop="1" x14ac:dyDescent="0.25">
      <c r="A33" s="15" t="s">
        <v>8</v>
      </c>
      <c r="B33" s="16">
        <f t="shared" ref="B33:H33" si="1">SUM(B3:B32)</f>
        <v>0</v>
      </c>
      <c r="C33" s="16">
        <f t="shared" si="1"/>
        <v>0</v>
      </c>
      <c r="D33" s="16">
        <f t="shared" si="1"/>
        <v>0</v>
      </c>
      <c r="E33" s="16">
        <f t="shared" si="1"/>
        <v>605</v>
      </c>
      <c r="F33" s="17">
        <f t="shared" si="1"/>
        <v>1.1300000000000003</v>
      </c>
      <c r="G33" s="17">
        <f t="shared" si="1"/>
        <v>3.5</v>
      </c>
      <c r="H33" s="16">
        <f t="shared" si="1"/>
        <v>0</v>
      </c>
      <c r="I33" s="17"/>
      <c r="J33"/>
    </row>
    <row r="34" spans="1:16" s="11" customFormat="1" x14ac:dyDescent="0.25">
      <c r="A34" s="18" t="s">
        <v>9</v>
      </c>
      <c r="B34" s="19">
        <f>SUM(B33+'Oct 2022'!B35)</f>
        <v>0</v>
      </c>
      <c r="C34" s="19">
        <f>SUM(C33+'Oct 2022'!C35)</f>
        <v>0</v>
      </c>
      <c r="D34" s="19">
        <f>SUM(D33+'Oct 2022'!D35)</f>
        <v>0</v>
      </c>
      <c r="E34" s="19">
        <f>SUM(E33+'Oct 2022'!E35)</f>
        <v>1422</v>
      </c>
      <c r="F34" s="20">
        <f>SUM(F33+'Oct 2022'!F35)</f>
        <v>1.3400000000000003</v>
      </c>
      <c r="G34" s="20">
        <f>SUM(G33+'Oct 2022'!G35)</f>
        <v>3.5</v>
      </c>
      <c r="H34" s="19">
        <f>SUM(H33+'Oct 2022'!H35)</f>
        <v>0</v>
      </c>
      <c r="I34" s="20"/>
    </row>
    <row r="35" spans="1:16" x14ac:dyDescent="0.25">
      <c r="B35" s="6"/>
      <c r="J35" s="11"/>
    </row>
    <row r="36" spans="1:16" x14ac:dyDescent="0.25">
      <c r="A36" t="s">
        <v>10</v>
      </c>
      <c r="B36" s="22">
        <f>SUM(B3:B32)*1.9835</f>
        <v>0</v>
      </c>
      <c r="C36" s="22">
        <f>SUM(C3:C32)*1.9835</f>
        <v>0</v>
      </c>
      <c r="D36" s="22">
        <f>SUM(D3:D32)*1.9835</f>
        <v>0</v>
      </c>
      <c r="E36" s="22">
        <f>SUM(E3:E32)*1.9835</f>
        <v>1200.0174999999999</v>
      </c>
      <c r="F36" s="22"/>
      <c r="G36" s="22"/>
      <c r="H36" s="22"/>
      <c r="J36" s="21"/>
    </row>
    <row r="37" spans="1:16" x14ac:dyDescent="0.25">
      <c r="A37"/>
      <c r="B37"/>
      <c r="C37"/>
      <c r="D37"/>
      <c r="E37"/>
      <c r="H37"/>
    </row>
    <row r="38" spans="1:16" x14ac:dyDescent="0.25">
      <c r="A38" t="s">
        <v>24</v>
      </c>
      <c r="B38" s="22">
        <f>SUM('Oct 2022'!B39+B36)</f>
        <v>0</v>
      </c>
      <c r="C38" s="22">
        <f>SUM('Oct 2022'!C39+C36)</f>
        <v>0</v>
      </c>
      <c r="D38" s="22">
        <f>SUM('Oct 2022'!D39+D36)</f>
        <v>0</v>
      </c>
      <c r="E38" s="22">
        <f>SUM('Oct 2022'!E39+E36)</f>
        <v>2820.5370000000003</v>
      </c>
      <c r="F38" s="22"/>
      <c r="G38" s="22"/>
      <c r="H38" s="22"/>
      <c r="J38" s="21"/>
    </row>
    <row r="39" spans="1:16" x14ac:dyDescent="0.25">
      <c r="A39"/>
      <c r="B39"/>
      <c r="C39" s="22"/>
      <c r="D39" s="22"/>
      <c r="E39" s="22"/>
      <c r="F39" s="22"/>
      <c r="G39" s="22"/>
      <c r="H39" s="22"/>
      <c r="J39" s="21"/>
    </row>
    <row r="40" spans="1:16" ht="17.45" customHeight="1" x14ac:dyDescent="0.25">
      <c r="A40" s="102"/>
      <c r="B40" s="102"/>
      <c r="C40" s="102"/>
      <c r="D40" s="102"/>
      <c r="E40" s="102"/>
      <c r="F40" s="102"/>
      <c r="G40" s="103"/>
      <c r="H40" s="104" t="s">
        <v>12</v>
      </c>
      <c r="I40" s="105"/>
      <c r="J40" s="26"/>
      <c r="K40" s="26"/>
      <c r="L40" s="26"/>
      <c r="M40" s="26"/>
      <c r="N40" s="26"/>
      <c r="O40" s="27"/>
      <c r="P40" s="26"/>
    </row>
    <row r="41" spans="1:16" ht="16.899999999999999" customHeight="1" x14ac:dyDescent="0.25">
      <c r="A41" s="25"/>
      <c r="B41" s="25"/>
      <c r="C41" s="25"/>
      <c r="D41" s="25"/>
      <c r="E41" s="25"/>
      <c r="F41" s="25"/>
      <c r="G41" s="25"/>
      <c r="H41" s="104"/>
      <c r="I41" s="105"/>
      <c r="J41" s="26"/>
      <c r="K41" s="26"/>
      <c r="L41" s="26"/>
      <c r="M41" s="26"/>
      <c r="N41" s="26"/>
      <c r="O41" s="27"/>
      <c r="P41" s="26"/>
    </row>
    <row r="42" spans="1:16" ht="13.9" customHeight="1" x14ac:dyDescent="0.25">
      <c r="A42" s="107" t="s">
        <v>23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28"/>
      <c r="M42" s="28"/>
      <c r="N42" s="28"/>
      <c r="O42" s="29"/>
      <c r="P42" s="28"/>
    </row>
    <row r="43" spans="1:16" ht="15.6" customHeight="1" x14ac:dyDescent="0.25">
      <c r="A43" s="37" t="s">
        <v>17</v>
      </c>
      <c r="B43" s="95"/>
      <c r="C43" s="31"/>
      <c r="D43" s="32"/>
      <c r="E43" s="32"/>
      <c r="F43" s="33"/>
      <c r="G43" s="34"/>
      <c r="H43" s="35"/>
      <c r="I43" s="36"/>
      <c r="J43" s="28"/>
      <c r="K43" s="28"/>
      <c r="L43" s="28"/>
      <c r="M43" s="28"/>
      <c r="N43" s="28"/>
      <c r="O43" s="29"/>
    </row>
    <row r="44" spans="1:16" x14ac:dyDescent="0.25">
      <c r="A44" s="30"/>
      <c r="B44" s="96"/>
      <c r="C44" s="31"/>
      <c r="D44" s="32"/>
      <c r="E44" s="32"/>
      <c r="F44" s="38"/>
      <c r="G44" s="34">
        <f>SUM(24-E44)</f>
        <v>24</v>
      </c>
      <c r="H44" s="35">
        <f>SUM(D44+F44)</f>
        <v>0</v>
      </c>
      <c r="I44" s="36">
        <f>SUM(D44/24*E44+H44/24*G44)</f>
        <v>0</v>
      </c>
      <c r="J44" s="28"/>
      <c r="K44" s="28"/>
      <c r="L44" s="28"/>
      <c r="M44" s="28"/>
      <c r="N44" s="28"/>
      <c r="O44" s="29"/>
    </row>
    <row r="45" spans="1:16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8"/>
      <c r="O45" s="29"/>
    </row>
    <row r="46" spans="1:16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8"/>
      <c r="O46" s="29"/>
    </row>
    <row r="47" spans="1:16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28"/>
      <c r="K47" s="28"/>
      <c r="L47" s="28"/>
      <c r="M47" s="28"/>
      <c r="N47" s="28"/>
      <c r="O47" s="29"/>
    </row>
    <row r="48" spans="1:16" x14ac:dyDescent="0.25">
      <c r="A48" s="30"/>
      <c r="B48" s="96"/>
      <c r="C48" s="31"/>
      <c r="D48" s="32"/>
      <c r="E48" s="32"/>
      <c r="F48" s="38"/>
      <c r="G48" s="34">
        <f>SUM(24-E48)</f>
        <v>24</v>
      </c>
      <c r="H48" s="35">
        <f>SUM(D48+F48)</f>
        <v>0</v>
      </c>
      <c r="I48" s="36">
        <f>SUM(D48/24*E48+H48/24*G48)</f>
        <v>0</v>
      </c>
      <c r="J48" s="28"/>
      <c r="K48" s="28"/>
      <c r="L48" s="28"/>
      <c r="M48" s="28"/>
      <c r="N48" s="28"/>
      <c r="O48" s="29"/>
    </row>
    <row r="49" spans="1:16" ht="13.15" customHeight="1" x14ac:dyDescent="0.25">
      <c r="A49" s="39"/>
      <c r="B49" s="39"/>
      <c r="C49" s="40"/>
      <c r="D49" s="40"/>
      <c r="E49" s="40"/>
      <c r="F49" s="40"/>
      <c r="G49" s="40"/>
      <c r="H49" s="41"/>
      <c r="I49" s="28"/>
      <c r="J49" s="28"/>
      <c r="K49" s="28"/>
      <c r="L49" s="28"/>
      <c r="M49" s="28"/>
      <c r="N49" s="28"/>
      <c r="O49" s="29"/>
      <c r="P49" s="28"/>
    </row>
    <row r="50" spans="1:16" ht="15.75" thickBot="1" x14ac:dyDescent="0.3">
      <c r="A50" s="42" t="s">
        <v>18</v>
      </c>
      <c r="B50" s="42"/>
      <c r="C50" s="42"/>
      <c r="D50" s="42"/>
      <c r="E50" s="42"/>
      <c r="F50" s="43"/>
      <c r="G50" s="44"/>
      <c r="H50" s="41"/>
      <c r="I50" s="28"/>
      <c r="J50" s="28"/>
      <c r="K50" s="28"/>
      <c r="L50" s="28"/>
      <c r="M50" s="28"/>
      <c r="N50" s="28"/>
      <c r="O50" s="29"/>
      <c r="P50" s="28"/>
    </row>
    <row r="51" spans="1:16" ht="26.25" x14ac:dyDescent="0.25">
      <c r="A51" s="45" t="s">
        <v>19</v>
      </c>
      <c r="B51" s="97"/>
      <c r="C51" s="46" t="s">
        <v>13</v>
      </c>
      <c r="D51" s="47" t="s">
        <v>14</v>
      </c>
      <c r="E51" s="47" t="s">
        <v>15</v>
      </c>
      <c r="F51" s="48" t="s">
        <v>16</v>
      </c>
      <c r="G51" s="49" t="s">
        <v>20</v>
      </c>
      <c r="H51" s="50"/>
      <c r="I51" s="51"/>
      <c r="J51" s="52"/>
      <c r="K51" s="52"/>
    </row>
    <row r="52" spans="1:16" ht="15.75" x14ac:dyDescent="0.25">
      <c r="A52" s="53"/>
      <c r="B52" s="98"/>
      <c r="C52" s="54"/>
      <c r="D52" s="55"/>
      <c r="E52" s="56"/>
      <c r="F52" s="57"/>
      <c r="G52" s="58"/>
      <c r="H52" s="59"/>
      <c r="I52" s="60"/>
      <c r="J52" s="61"/>
      <c r="K52" s="61"/>
    </row>
    <row r="53" spans="1:16" x14ac:dyDescent="0.25">
      <c r="A53" s="62"/>
      <c r="B53" s="99"/>
      <c r="C53" s="63"/>
      <c r="D53" s="64"/>
      <c r="E53" s="56"/>
      <c r="F53" s="65"/>
      <c r="G53" s="66"/>
      <c r="H53" s="59"/>
      <c r="I53" s="60"/>
    </row>
    <row r="54" spans="1:16" x14ac:dyDescent="0.25">
      <c r="A54" s="62"/>
      <c r="B54" s="99"/>
      <c r="C54" s="63"/>
      <c r="D54" s="64"/>
      <c r="E54" s="56"/>
      <c r="F54" s="67"/>
      <c r="G54" s="66"/>
      <c r="H54" s="59"/>
      <c r="I54" s="60"/>
    </row>
    <row r="55" spans="1:16" x14ac:dyDescent="0.25">
      <c r="A55" s="62"/>
      <c r="B55" s="99"/>
      <c r="C55" s="63"/>
      <c r="D55" s="64"/>
      <c r="E55" s="56"/>
      <c r="F55" s="67"/>
      <c r="G55" s="66"/>
      <c r="H55" s="59"/>
      <c r="I55" s="60"/>
    </row>
    <row r="56" spans="1:16" ht="15.75" thickBot="1" x14ac:dyDescent="0.3">
      <c r="A56" s="68"/>
      <c r="B56" s="100"/>
      <c r="C56" s="69"/>
      <c r="D56" s="70"/>
      <c r="E56" s="71"/>
      <c r="F56" s="70"/>
      <c r="G56" s="72"/>
      <c r="H56" s="59"/>
      <c r="I56" s="60"/>
    </row>
    <row r="57" spans="1:16" s="78" customFormat="1" ht="30" customHeight="1" x14ac:dyDescent="0.25">
      <c r="A57" s="108" t="s">
        <v>21</v>
      </c>
      <c r="B57" s="109"/>
      <c r="C57" s="109"/>
      <c r="D57" s="110"/>
      <c r="E57" s="73">
        <f>SUM(E52:E56)</f>
        <v>0</v>
      </c>
      <c r="F57" s="74" t="s">
        <v>22</v>
      </c>
      <c r="G57" s="75">
        <f>SUM(G52:G56)</f>
        <v>0</v>
      </c>
      <c r="H57" s="76"/>
      <c r="I57" s="77"/>
    </row>
  </sheetData>
  <mergeCells count="4">
    <mergeCell ref="A40:G40"/>
    <mergeCell ref="H40:I41"/>
    <mergeCell ref="A42:K42"/>
    <mergeCell ref="A57:D57"/>
  </mergeCells>
  <printOptions horizontalCentered="1"/>
  <pageMargins left="0.7" right="0.5" top="1.5" bottom="1" header="1" footer="0.5"/>
  <pageSetup scale="6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59"/>
  <sheetViews>
    <sheetView zoomScaleNormal="100" workbookViewId="0">
      <pane xSplit="1" ySplit="2" topLeftCell="B7" activePane="bottomRight" state="frozen"/>
      <selection pane="topRight" activeCell="B1" sqref="B1"/>
      <selection pane="bottomLeft" activeCell="A3" sqref="A3"/>
      <selection pane="bottomRight" activeCell="L25" sqref="L25"/>
    </sheetView>
  </sheetViews>
  <sheetFormatPr defaultRowHeight="15" x14ac:dyDescent="0.25"/>
  <cols>
    <col min="1" max="1" width="13.5703125" style="2" bestFit="1" customWidth="1"/>
    <col min="2" max="2" width="13.5703125" style="2" customWidth="1"/>
    <col min="3" max="5" width="11.7109375" style="10" customWidth="1"/>
    <col min="6" max="7" width="11.7109375" style="8" customWidth="1"/>
    <col min="8" max="8" width="11.7109375" style="10" customWidth="1"/>
    <col min="9" max="9" width="11.7109375" style="4" customWidth="1"/>
    <col min="10" max="10" width="27.42578125" customWidth="1"/>
    <col min="13" max="13" width="29.28515625" customWidth="1"/>
  </cols>
  <sheetData>
    <row r="1" spans="1:13" s="1" customFormat="1" ht="30" x14ac:dyDescent="0.25">
      <c r="A1" s="81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7" t="s">
        <v>6</v>
      </c>
      <c r="G1" s="7" t="s">
        <v>7</v>
      </c>
      <c r="H1" s="5" t="s">
        <v>3</v>
      </c>
      <c r="I1" s="3" t="s">
        <v>4</v>
      </c>
      <c r="J1" s="3" t="s">
        <v>11</v>
      </c>
    </row>
    <row r="2" spans="1:13" s="1" customFormat="1" x14ac:dyDescent="0.25">
      <c r="A2" s="80"/>
      <c r="B2" s="5" t="s">
        <v>25</v>
      </c>
      <c r="C2" s="5" t="s">
        <v>25</v>
      </c>
      <c r="D2" s="5" t="s">
        <v>25</v>
      </c>
      <c r="E2" s="5" t="s">
        <v>25</v>
      </c>
      <c r="F2" s="7"/>
      <c r="G2" s="7"/>
      <c r="H2" s="5" t="s">
        <v>27</v>
      </c>
      <c r="I2" s="3"/>
      <c r="J2" s="79"/>
    </row>
    <row r="3" spans="1:13" ht="15.75" x14ac:dyDescent="0.25">
      <c r="A3" s="87">
        <v>44835</v>
      </c>
      <c r="B3" s="89">
        <v>0</v>
      </c>
      <c r="C3" s="89">
        <v>0</v>
      </c>
      <c r="D3" s="89">
        <v>0</v>
      </c>
      <c r="E3" s="89">
        <v>28</v>
      </c>
      <c r="F3" s="89">
        <v>0</v>
      </c>
      <c r="G3" s="89">
        <v>0</v>
      </c>
      <c r="H3" s="89">
        <v>0</v>
      </c>
      <c r="I3" s="89" t="s">
        <v>29</v>
      </c>
      <c r="J3" s="91"/>
      <c r="K3" s="88"/>
      <c r="L3" s="92"/>
      <c r="M3" s="92"/>
    </row>
    <row r="4" spans="1:13" ht="15.75" x14ac:dyDescent="0.25">
      <c r="A4" s="87">
        <f>A3+1</f>
        <v>44836</v>
      </c>
      <c r="B4" s="89">
        <v>0</v>
      </c>
      <c r="C4" s="89">
        <v>0</v>
      </c>
      <c r="D4" s="89">
        <v>0</v>
      </c>
      <c r="E4" s="89">
        <v>19</v>
      </c>
      <c r="F4" s="89">
        <v>0</v>
      </c>
      <c r="G4" s="89">
        <v>0</v>
      </c>
      <c r="H4" s="89">
        <v>0</v>
      </c>
      <c r="I4" s="89" t="s">
        <v>29</v>
      </c>
      <c r="J4" s="91"/>
      <c r="K4" s="88"/>
      <c r="L4" s="92"/>
      <c r="M4" s="92"/>
    </row>
    <row r="5" spans="1:13" ht="15.75" x14ac:dyDescent="0.25">
      <c r="A5" s="87">
        <f t="shared" ref="A5:A33" si="0">A4+1</f>
        <v>44837</v>
      </c>
      <c r="B5" s="89">
        <v>0</v>
      </c>
      <c r="C5" s="89">
        <v>0</v>
      </c>
      <c r="D5" s="89">
        <v>0</v>
      </c>
      <c r="E5" s="89">
        <v>19</v>
      </c>
      <c r="F5" s="89">
        <v>0</v>
      </c>
      <c r="G5" s="89">
        <v>0</v>
      </c>
      <c r="H5" s="89">
        <v>0</v>
      </c>
      <c r="I5" s="89" t="s">
        <v>29</v>
      </c>
      <c r="J5" s="91"/>
      <c r="K5" s="88"/>
      <c r="L5" s="92"/>
      <c r="M5" s="92"/>
    </row>
    <row r="6" spans="1:13" ht="15.75" x14ac:dyDescent="0.25">
      <c r="A6" s="87">
        <f t="shared" si="0"/>
        <v>44838</v>
      </c>
      <c r="B6" s="89">
        <v>0</v>
      </c>
      <c r="C6" s="89">
        <v>0</v>
      </c>
      <c r="D6" s="89">
        <v>0</v>
      </c>
      <c r="E6" s="89">
        <v>27</v>
      </c>
      <c r="F6" s="89">
        <v>0</v>
      </c>
      <c r="G6" s="89">
        <v>0</v>
      </c>
      <c r="H6" s="89">
        <v>0</v>
      </c>
      <c r="I6" s="89" t="s">
        <v>29</v>
      </c>
      <c r="J6" s="91"/>
      <c r="K6" s="88"/>
      <c r="L6" s="92"/>
      <c r="M6" s="92"/>
    </row>
    <row r="7" spans="1:13" ht="15.75" x14ac:dyDescent="0.25">
      <c r="A7" s="87">
        <f t="shared" si="0"/>
        <v>44839</v>
      </c>
      <c r="B7" s="89">
        <v>0</v>
      </c>
      <c r="C7" s="89">
        <v>0</v>
      </c>
      <c r="D7" s="89">
        <v>0</v>
      </c>
      <c r="E7" s="89">
        <v>31</v>
      </c>
      <c r="F7" s="89">
        <v>0</v>
      </c>
      <c r="G7" s="89">
        <v>0</v>
      </c>
      <c r="H7" s="89">
        <v>0</v>
      </c>
      <c r="I7" s="89" t="s">
        <v>29</v>
      </c>
      <c r="J7" s="91"/>
      <c r="K7" s="88"/>
      <c r="L7" s="92"/>
      <c r="M7" s="92"/>
    </row>
    <row r="8" spans="1:13" ht="15.75" x14ac:dyDescent="0.25">
      <c r="A8" s="87">
        <f t="shared" si="0"/>
        <v>44840</v>
      </c>
      <c r="B8" s="89">
        <v>0</v>
      </c>
      <c r="C8" s="89">
        <v>0</v>
      </c>
      <c r="D8" s="89">
        <v>0</v>
      </c>
      <c r="E8" s="89">
        <v>33</v>
      </c>
      <c r="F8" s="89">
        <v>0</v>
      </c>
      <c r="G8" s="89">
        <v>0</v>
      </c>
      <c r="H8" s="89">
        <v>0</v>
      </c>
      <c r="I8" s="89" t="s">
        <v>29</v>
      </c>
      <c r="J8" s="91"/>
      <c r="K8" s="88"/>
      <c r="L8" s="92"/>
      <c r="M8" s="92"/>
    </row>
    <row r="9" spans="1:13" ht="15.75" x14ac:dyDescent="0.25">
      <c r="A9" s="87">
        <f t="shared" si="0"/>
        <v>44841</v>
      </c>
      <c r="B9" s="89">
        <v>0</v>
      </c>
      <c r="C9" s="89">
        <v>0</v>
      </c>
      <c r="D9" s="89">
        <v>0</v>
      </c>
      <c r="E9" s="89">
        <v>38</v>
      </c>
      <c r="F9" s="89">
        <v>0</v>
      </c>
      <c r="G9" s="89">
        <v>0</v>
      </c>
      <c r="H9" s="89">
        <v>0</v>
      </c>
      <c r="I9" s="89" t="s">
        <v>29</v>
      </c>
      <c r="J9" s="91"/>
      <c r="K9" s="88"/>
      <c r="L9" s="92"/>
      <c r="M9" s="92"/>
    </row>
    <row r="10" spans="1:13" ht="15.75" x14ac:dyDescent="0.25">
      <c r="A10" s="87">
        <f t="shared" si="0"/>
        <v>44842</v>
      </c>
      <c r="B10" s="89">
        <v>0</v>
      </c>
      <c r="C10" s="89">
        <v>0</v>
      </c>
      <c r="D10" s="89">
        <v>0</v>
      </c>
      <c r="E10" s="89">
        <v>54</v>
      </c>
      <c r="F10" s="89">
        <v>0</v>
      </c>
      <c r="G10" s="89">
        <v>0</v>
      </c>
      <c r="H10" s="89">
        <v>0</v>
      </c>
      <c r="I10" s="89" t="s">
        <v>29</v>
      </c>
      <c r="J10" s="91"/>
      <c r="K10" s="88"/>
      <c r="L10" s="92"/>
      <c r="M10" s="92"/>
    </row>
    <row r="11" spans="1:13" ht="15.75" x14ac:dyDescent="0.25">
      <c r="A11" s="87">
        <f t="shared" si="0"/>
        <v>44843</v>
      </c>
      <c r="B11" s="89">
        <v>0</v>
      </c>
      <c r="C11" s="89">
        <v>0</v>
      </c>
      <c r="D11" s="89">
        <v>0</v>
      </c>
      <c r="E11" s="89">
        <v>54</v>
      </c>
      <c r="F11" s="89">
        <v>0</v>
      </c>
      <c r="G11" s="89">
        <v>0</v>
      </c>
      <c r="H11" s="89">
        <v>0</v>
      </c>
      <c r="I11" s="89" t="s">
        <v>29</v>
      </c>
      <c r="J11" s="91"/>
      <c r="K11" s="88"/>
      <c r="L11" s="92"/>
      <c r="M11" s="92"/>
    </row>
    <row r="12" spans="1:13" ht="15.75" x14ac:dyDescent="0.25">
      <c r="A12" s="87">
        <f t="shared" si="0"/>
        <v>44844</v>
      </c>
      <c r="B12" s="89">
        <v>0</v>
      </c>
      <c r="C12" s="89">
        <v>0</v>
      </c>
      <c r="D12" s="89">
        <v>0</v>
      </c>
      <c r="E12" s="89">
        <v>50</v>
      </c>
      <c r="F12" s="89">
        <v>0</v>
      </c>
      <c r="G12" s="89">
        <v>0</v>
      </c>
      <c r="H12" s="89">
        <v>0</v>
      </c>
      <c r="I12" s="89" t="s">
        <v>29</v>
      </c>
      <c r="J12" s="91"/>
      <c r="K12" s="88"/>
      <c r="L12" s="92"/>
      <c r="M12" s="91"/>
    </row>
    <row r="13" spans="1:13" ht="15.75" x14ac:dyDescent="0.25">
      <c r="A13" s="87">
        <f t="shared" si="0"/>
        <v>44845</v>
      </c>
      <c r="B13" s="89">
        <v>0</v>
      </c>
      <c r="C13" s="89">
        <v>0</v>
      </c>
      <c r="D13" s="89">
        <v>0</v>
      </c>
      <c r="E13" s="89">
        <v>34</v>
      </c>
      <c r="F13" s="89">
        <v>0</v>
      </c>
      <c r="G13" s="89">
        <v>0</v>
      </c>
      <c r="H13" s="89">
        <v>0</v>
      </c>
      <c r="I13" s="89" t="s">
        <v>29</v>
      </c>
      <c r="J13" s="91"/>
      <c r="K13" s="88"/>
      <c r="L13" s="92"/>
      <c r="M13" s="92"/>
    </row>
    <row r="14" spans="1:13" ht="15.75" x14ac:dyDescent="0.25">
      <c r="A14" s="87">
        <f t="shared" si="0"/>
        <v>44846</v>
      </c>
      <c r="B14" s="89">
        <v>0</v>
      </c>
      <c r="C14" s="89">
        <v>0</v>
      </c>
      <c r="D14" s="89">
        <v>0</v>
      </c>
      <c r="E14" s="89">
        <v>39</v>
      </c>
      <c r="F14" s="89">
        <v>0</v>
      </c>
      <c r="G14" s="89">
        <v>0</v>
      </c>
      <c r="H14" s="89">
        <v>0</v>
      </c>
      <c r="I14" s="89" t="s">
        <v>29</v>
      </c>
      <c r="J14" s="91"/>
      <c r="K14" s="88"/>
      <c r="L14" s="92"/>
      <c r="M14" s="92"/>
    </row>
    <row r="15" spans="1:13" ht="15.75" x14ac:dyDescent="0.25">
      <c r="A15" s="87">
        <f t="shared" si="0"/>
        <v>44847</v>
      </c>
      <c r="B15" s="89">
        <v>0</v>
      </c>
      <c r="C15" s="89">
        <v>0</v>
      </c>
      <c r="D15" s="89">
        <v>0</v>
      </c>
      <c r="E15" s="89">
        <v>31</v>
      </c>
      <c r="F15" s="89">
        <v>0</v>
      </c>
      <c r="G15" s="89">
        <v>0</v>
      </c>
      <c r="H15" s="89">
        <v>0</v>
      </c>
      <c r="I15" s="89" t="s">
        <v>29</v>
      </c>
      <c r="J15" s="91"/>
      <c r="K15" s="88"/>
    </row>
    <row r="16" spans="1:13" ht="15.75" x14ac:dyDescent="0.25">
      <c r="A16" s="87">
        <f t="shared" si="0"/>
        <v>44848</v>
      </c>
      <c r="B16" s="89">
        <v>0</v>
      </c>
      <c r="C16" s="89">
        <v>0</v>
      </c>
      <c r="D16" s="89">
        <v>0</v>
      </c>
      <c r="E16" s="89">
        <v>20</v>
      </c>
      <c r="F16" s="89">
        <v>0</v>
      </c>
      <c r="G16" s="89">
        <v>0</v>
      </c>
      <c r="H16" s="89">
        <v>0</v>
      </c>
      <c r="I16" s="89" t="s">
        <v>29</v>
      </c>
      <c r="J16" s="91"/>
      <c r="K16" s="88"/>
    </row>
    <row r="17" spans="1:11" ht="15.75" x14ac:dyDescent="0.25">
      <c r="A17" s="87">
        <f t="shared" si="0"/>
        <v>44849</v>
      </c>
      <c r="B17" s="89">
        <v>0</v>
      </c>
      <c r="C17" s="89">
        <v>0</v>
      </c>
      <c r="D17" s="89">
        <v>0</v>
      </c>
      <c r="E17" s="89">
        <v>20</v>
      </c>
      <c r="F17" s="89">
        <v>0</v>
      </c>
      <c r="G17" s="89">
        <v>0</v>
      </c>
      <c r="H17" s="89">
        <v>0</v>
      </c>
      <c r="I17" s="89" t="s">
        <v>29</v>
      </c>
      <c r="J17" s="91"/>
      <c r="K17" s="88"/>
    </row>
    <row r="18" spans="1:11" ht="15.75" x14ac:dyDescent="0.25">
      <c r="A18" s="87">
        <f t="shared" si="0"/>
        <v>44850</v>
      </c>
      <c r="B18" s="89">
        <v>0</v>
      </c>
      <c r="C18" s="89">
        <v>0</v>
      </c>
      <c r="D18" s="89">
        <v>0</v>
      </c>
      <c r="E18" s="89">
        <v>20</v>
      </c>
      <c r="F18" s="89">
        <v>0</v>
      </c>
      <c r="G18" s="89">
        <v>0</v>
      </c>
      <c r="H18" s="89">
        <v>0</v>
      </c>
      <c r="I18" s="89" t="s">
        <v>29</v>
      </c>
      <c r="J18" s="91"/>
      <c r="K18" s="92"/>
    </row>
    <row r="19" spans="1:11" ht="15.75" x14ac:dyDescent="0.25">
      <c r="A19" s="87">
        <f t="shared" si="0"/>
        <v>44851</v>
      </c>
      <c r="B19" s="89">
        <v>0</v>
      </c>
      <c r="C19" s="89">
        <v>0</v>
      </c>
      <c r="D19" s="89">
        <v>0</v>
      </c>
      <c r="E19" s="89">
        <v>20</v>
      </c>
      <c r="F19" s="89">
        <v>0</v>
      </c>
      <c r="G19" s="89">
        <v>0</v>
      </c>
      <c r="H19" s="89">
        <v>0</v>
      </c>
      <c r="I19" s="89" t="s">
        <v>29</v>
      </c>
      <c r="J19" s="91"/>
      <c r="K19" s="92"/>
    </row>
    <row r="20" spans="1:11" ht="15.75" x14ac:dyDescent="0.25">
      <c r="A20" s="87">
        <f t="shared" si="0"/>
        <v>44852</v>
      </c>
      <c r="B20" s="89">
        <v>0</v>
      </c>
      <c r="C20" s="89">
        <v>0</v>
      </c>
      <c r="D20" s="89">
        <v>0</v>
      </c>
      <c r="E20" s="89">
        <v>20</v>
      </c>
      <c r="F20" s="89">
        <v>0</v>
      </c>
      <c r="G20" s="89">
        <v>0</v>
      </c>
      <c r="H20" s="89">
        <v>0</v>
      </c>
      <c r="I20" s="89" t="s">
        <v>29</v>
      </c>
      <c r="J20" s="91"/>
      <c r="K20" s="92"/>
    </row>
    <row r="21" spans="1:11" ht="15.75" x14ac:dyDescent="0.25">
      <c r="A21" s="87">
        <f t="shared" si="0"/>
        <v>44853</v>
      </c>
      <c r="B21" s="89">
        <v>0</v>
      </c>
      <c r="C21" s="89">
        <v>0</v>
      </c>
      <c r="D21" s="89">
        <v>0</v>
      </c>
      <c r="E21" s="89">
        <v>20</v>
      </c>
      <c r="F21" s="89">
        <v>0</v>
      </c>
      <c r="G21" s="89">
        <v>0</v>
      </c>
      <c r="H21" s="89">
        <v>0</v>
      </c>
      <c r="I21" s="89" t="s">
        <v>29</v>
      </c>
      <c r="J21" s="91"/>
      <c r="K21" s="92"/>
    </row>
    <row r="22" spans="1:11" ht="15.75" x14ac:dyDescent="0.25">
      <c r="A22" s="87">
        <f t="shared" si="0"/>
        <v>44854</v>
      </c>
      <c r="B22" s="89">
        <v>0</v>
      </c>
      <c r="C22" s="89">
        <v>0</v>
      </c>
      <c r="D22" s="89">
        <v>0</v>
      </c>
      <c r="E22" s="89">
        <v>20</v>
      </c>
      <c r="F22" s="89">
        <v>0</v>
      </c>
      <c r="G22" s="89">
        <v>0</v>
      </c>
      <c r="H22" s="89">
        <v>0</v>
      </c>
      <c r="I22" s="89" t="s">
        <v>29</v>
      </c>
      <c r="J22" s="91"/>
    </row>
    <row r="23" spans="1:11" ht="15.75" x14ac:dyDescent="0.25">
      <c r="A23" s="87">
        <f t="shared" si="0"/>
        <v>44855</v>
      </c>
      <c r="B23" s="89">
        <v>0</v>
      </c>
      <c r="C23" s="89">
        <v>0</v>
      </c>
      <c r="D23" s="89">
        <v>0</v>
      </c>
      <c r="E23" s="89">
        <v>20</v>
      </c>
      <c r="F23" s="89">
        <v>0</v>
      </c>
      <c r="G23" s="89">
        <v>0</v>
      </c>
      <c r="H23" s="89">
        <v>0</v>
      </c>
      <c r="I23" s="89" t="s">
        <v>29</v>
      </c>
      <c r="J23" s="91"/>
    </row>
    <row r="24" spans="1:11" ht="15.75" x14ac:dyDescent="0.25">
      <c r="A24" s="87">
        <f t="shared" si="0"/>
        <v>44856</v>
      </c>
      <c r="B24" s="89">
        <v>0</v>
      </c>
      <c r="C24" s="89">
        <v>0</v>
      </c>
      <c r="D24" s="89">
        <v>0</v>
      </c>
      <c r="E24" s="89">
        <v>20</v>
      </c>
      <c r="F24" s="89">
        <v>0.21</v>
      </c>
      <c r="G24" s="89">
        <v>0</v>
      </c>
      <c r="H24" s="89">
        <v>0</v>
      </c>
      <c r="I24" s="89" t="s">
        <v>29</v>
      </c>
      <c r="J24" s="91"/>
    </row>
    <row r="25" spans="1:11" ht="15.75" x14ac:dyDescent="0.25">
      <c r="A25" s="87">
        <f t="shared" si="0"/>
        <v>44857</v>
      </c>
      <c r="B25" s="89">
        <v>0</v>
      </c>
      <c r="C25" s="89">
        <v>0</v>
      </c>
      <c r="D25" s="89">
        <v>0</v>
      </c>
      <c r="E25" s="89">
        <v>20</v>
      </c>
      <c r="F25" s="89">
        <v>0</v>
      </c>
      <c r="G25" s="89">
        <v>0</v>
      </c>
      <c r="H25" s="89">
        <v>0</v>
      </c>
      <c r="I25" s="89" t="s">
        <v>29</v>
      </c>
      <c r="J25" s="91"/>
    </row>
    <row r="26" spans="1:11" ht="15.75" x14ac:dyDescent="0.25">
      <c r="A26" s="87">
        <f t="shared" si="0"/>
        <v>44858</v>
      </c>
      <c r="B26" s="89">
        <v>0</v>
      </c>
      <c r="C26" s="89">
        <v>0</v>
      </c>
      <c r="D26" s="89">
        <v>0</v>
      </c>
      <c r="E26" s="89">
        <v>20</v>
      </c>
      <c r="F26" s="89" t="s">
        <v>30</v>
      </c>
      <c r="G26" s="89">
        <v>0</v>
      </c>
      <c r="H26" s="89">
        <v>0</v>
      </c>
      <c r="I26" s="89" t="s">
        <v>29</v>
      </c>
      <c r="J26" s="91"/>
    </row>
    <row r="27" spans="1:11" ht="15.75" x14ac:dyDescent="0.25">
      <c r="A27" s="87">
        <f t="shared" si="0"/>
        <v>44859</v>
      </c>
      <c r="B27" s="89">
        <v>0</v>
      </c>
      <c r="C27" s="89">
        <v>0</v>
      </c>
      <c r="D27" s="89">
        <v>0</v>
      </c>
      <c r="E27" s="89">
        <v>20</v>
      </c>
      <c r="F27" s="89">
        <v>0</v>
      </c>
      <c r="G27" s="89">
        <v>0</v>
      </c>
      <c r="H27" s="89">
        <v>0</v>
      </c>
      <c r="I27" s="89" t="s">
        <v>29</v>
      </c>
      <c r="J27" s="91"/>
    </row>
    <row r="28" spans="1:11" ht="15.75" x14ac:dyDescent="0.25">
      <c r="A28" s="87">
        <f t="shared" si="0"/>
        <v>44860</v>
      </c>
      <c r="B28" s="89">
        <v>0</v>
      </c>
      <c r="C28" s="89">
        <v>0</v>
      </c>
      <c r="D28" s="89">
        <v>0</v>
      </c>
      <c r="E28" s="89">
        <v>20</v>
      </c>
      <c r="F28" s="89">
        <v>0</v>
      </c>
      <c r="G28" s="89">
        <v>0</v>
      </c>
      <c r="H28" s="89">
        <v>0</v>
      </c>
      <c r="I28" s="89" t="s">
        <v>29</v>
      </c>
      <c r="J28" s="91"/>
    </row>
    <row r="29" spans="1:11" ht="15.75" x14ac:dyDescent="0.25">
      <c r="A29" s="87">
        <f t="shared" si="0"/>
        <v>44861</v>
      </c>
      <c r="B29" s="89">
        <v>0</v>
      </c>
      <c r="C29" s="89">
        <v>0</v>
      </c>
      <c r="D29" s="89">
        <v>0</v>
      </c>
      <c r="E29" s="89">
        <v>20</v>
      </c>
      <c r="F29" s="89">
        <v>0</v>
      </c>
      <c r="G29" s="89">
        <v>0</v>
      </c>
      <c r="H29" s="89">
        <v>0</v>
      </c>
      <c r="I29" s="89" t="s">
        <v>29</v>
      </c>
      <c r="J29" s="91"/>
    </row>
    <row r="30" spans="1:11" ht="15.75" x14ac:dyDescent="0.25">
      <c r="A30" s="87">
        <f t="shared" si="0"/>
        <v>44862</v>
      </c>
      <c r="B30" s="89">
        <v>0</v>
      </c>
      <c r="C30" s="89">
        <v>0</v>
      </c>
      <c r="D30" s="89">
        <v>0</v>
      </c>
      <c r="E30" s="89">
        <v>20</v>
      </c>
      <c r="F30" s="89">
        <v>0</v>
      </c>
      <c r="G30" s="89">
        <v>0</v>
      </c>
      <c r="H30" s="89">
        <v>0</v>
      </c>
      <c r="I30" s="89" t="s">
        <v>29</v>
      </c>
      <c r="J30" s="91"/>
    </row>
    <row r="31" spans="1:11" ht="15.75" x14ac:dyDescent="0.25">
      <c r="A31" s="87">
        <f t="shared" si="0"/>
        <v>44863</v>
      </c>
      <c r="B31" s="89">
        <v>0</v>
      </c>
      <c r="C31" s="89">
        <v>0</v>
      </c>
      <c r="D31" s="89">
        <v>0</v>
      </c>
      <c r="E31" s="89">
        <v>20</v>
      </c>
      <c r="F31" s="89">
        <v>0</v>
      </c>
      <c r="G31" s="89">
        <v>0</v>
      </c>
      <c r="H31" s="89">
        <v>0</v>
      </c>
      <c r="I31" s="89" t="s">
        <v>29</v>
      </c>
      <c r="J31" s="91"/>
    </row>
    <row r="32" spans="1:11" ht="15.75" x14ac:dyDescent="0.25">
      <c r="A32" s="87">
        <f t="shared" si="0"/>
        <v>44864</v>
      </c>
      <c r="B32" s="89">
        <v>0</v>
      </c>
      <c r="C32" s="89">
        <v>0</v>
      </c>
      <c r="D32" s="89">
        <v>0</v>
      </c>
      <c r="E32" s="89">
        <v>20</v>
      </c>
      <c r="F32" s="89">
        <v>0</v>
      </c>
      <c r="G32" s="89">
        <v>0</v>
      </c>
      <c r="H32" s="89">
        <v>0</v>
      </c>
      <c r="I32" s="89" t="s">
        <v>29</v>
      </c>
      <c r="J32" s="91"/>
    </row>
    <row r="33" spans="1:15" ht="16.5" thickBot="1" x14ac:dyDescent="0.3">
      <c r="A33" s="87">
        <f t="shared" si="0"/>
        <v>44865</v>
      </c>
      <c r="B33" s="89">
        <v>0</v>
      </c>
      <c r="C33" s="89">
        <v>0</v>
      </c>
      <c r="D33" s="89">
        <v>0</v>
      </c>
      <c r="E33" s="89">
        <v>20</v>
      </c>
      <c r="F33" s="89">
        <v>0</v>
      </c>
      <c r="G33" s="89">
        <v>0</v>
      </c>
      <c r="H33" s="89">
        <v>0</v>
      </c>
      <c r="I33" s="89" t="s">
        <v>29</v>
      </c>
      <c r="J33" s="91"/>
    </row>
    <row r="34" spans="1:15" ht="16.5" thickTop="1" x14ac:dyDescent="0.25">
      <c r="A34" s="83" t="s">
        <v>8</v>
      </c>
      <c r="B34" s="82">
        <f t="shared" ref="B34:H34" si="1">SUM(B3:B33)</f>
        <v>0</v>
      </c>
      <c r="C34" s="82">
        <f t="shared" si="1"/>
        <v>0</v>
      </c>
      <c r="D34" s="82">
        <f t="shared" si="1"/>
        <v>0</v>
      </c>
      <c r="E34" s="82">
        <f t="shared" si="1"/>
        <v>817</v>
      </c>
      <c r="F34" s="82">
        <f t="shared" si="1"/>
        <v>0.21</v>
      </c>
      <c r="G34" s="82">
        <f t="shared" si="1"/>
        <v>0</v>
      </c>
      <c r="H34" s="82">
        <f t="shared" si="1"/>
        <v>0</v>
      </c>
      <c r="I34" s="82" t="s">
        <v>29</v>
      </c>
      <c r="K34" s="11"/>
    </row>
    <row r="35" spans="1:15" s="11" customFormat="1" ht="15.75" x14ac:dyDescent="0.25">
      <c r="A35" s="84" t="s">
        <v>9</v>
      </c>
      <c r="B35" s="85">
        <f>SUM(B34+'Oct 2022'!B36)</f>
        <v>0</v>
      </c>
      <c r="C35" s="85">
        <f>SUM(C34+'Oct 2022'!C36)</f>
        <v>0</v>
      </c>
      <c r="D35" s="85">
        <f>SUM(D34+'Oct 2022'!D36)</f>
        <v>0</v>
      </c>
      <c r="E35" s="85">
        <f>SUM(E34+'Oct 2022'!E36)</f>
        <v>817</v>
      </c>
      <c r="F35" s="86">
        <f>SUM(F34+'Oct 2022'!F36)</f>
        <v>0.21</v>
      </c>
      <c r="G35" s="86">
        <f>SUM(G34+'Oct 2022'!G36)</f>
        <v>0</v>
      </c>
      <c r="H35" s="85">
        <f>SUM(H34+'Oct 2022'!H36)</f>
        <v>0</v>
      </c>
      <c r="I35" s="86"/>
    </row>
    <row r="36" spans="1:15" s="11" customFormat="1" x14ac:dyDescent="0.25">
      <c r="A36" s="2"/>
      <c r="B36" s="6"/>
      <c r="C36" s="6"/>
      <c r="D36" s="6"/>
      <c r="E36" s="6"/>
      <c r="F36"/>
      <c r="G36"/>
      <c r="H36" s="6"/>
      <c r="I36"/>
      <c r="K36"/>
    </row>
    <row r="37" spans="1:15" x14ac:dyDescent="0.25">
      <c r="A37" t="s">
        <v>10</v>
      </c>
      <c r="B37" s="22">
        <f>SUM(B3:B33)*1.9835</f>
        <v>0</v>
      </c>
      <c r="C37" s="22">
        <f>SUM(C3:C33)*1.9835</f>
        <v>0</v>
      </c>
      <c r="D37" s="22">
        <f>SUM(D3:D33)*1.9835</f>
        <v>0</v>
      </c>
      <c r="E37" s="22">
        <f>SUM(E3:E33)*1.9835</f>
        <v>1620.5195000000001</v>
      </c>
      <c r="F37" s="22"/>
      <c r="G37" s="22"/>
      <c r="H37" s="22"/>
      <c r="I37"/>
      <c r="J37" s="21"/>
    </row>
    <row r="38" spans="1:15" x14ac:dyDescent="0.25">
      <c r="A38"/>
      <c r="B38"/>
      <c r="C38"/>
      <c r="D38"/>
      <c r="E38"/>
      <c r="F38"/>
      <c r="G38"/>
      <c r="H38"/>
      <c r="I38"/>
    </row>
    <row r="39" spans="1:15" x14ac:dyDescent="0.25">
      <c r="A39" t="s">
        <v>24</v>
      </c>
      <c r="B39" s="22">
        <f>SUM('Oct 2022'!B40+B37)</f>
        <v>0</v>
      </c>
      <c r="C39" s="22">
        <f>SUM('Oct 2022'!C40+C37)</f>
        <v>0</v>
      </c>
      <c r="D39" s="22">
        <f>SUM('Oct 2022'!D40+D37)</f>
        <v>0</v>
      </c>
      <c r="E39" s="22">
        <f>SUM('Oct 2022'!E40+E37)</f>
        <v>1620.5195000000001</v>
      </c>
      <c r="F39" s="22"/>
      <c r="G39" s="22"/>
      <c r="H39" s="22"/>
      <c r="I39"/>
      <c r="J39" s="21"/>
    </row>
    <row r="40" spans="1:15" x14ac:dyDescent="0.25">
      <c r="A40"/>
      <c r="B40"/>
      <c r="C40" s="22"/>
      <c r="D40" s="22"/>
      <c r="E40" s="22"/>
      <c r="F40" s="22"/>
      <c r="G40" s="22"/>
      <c r="H40" s="22"/>
      <c r="I40"/>
      <c r="J40" s="21"/>
    </row>
    <row r="41" spans="1:15" ht="15" customHeight="1" x14ac:dyDescent="0.25">
      <c r="A41" s="102"/>
      <c r="B41" s="102"/>
      <c r="C41" s="102"/>
      <c r="D41" s="102"/>
      <c r="E41" s="102"/>
      <c r="F41" s="102"/>
      <c r="G41" s="103"/>
      <c r="H41" s="104" t="s">
        <v>12</v>
      </c>
      <c r="I41" s="105"/>
      <c r="J41" s="26"/>
      <c r="K41" s="26"/>
    </row>
    <row r="42" spans="1:15" ht="17.45" customHeight="1" x14ac:dyDescent="0.25">
      <c r="A42" s="25"/>
      <c r="B42" s="25"/>
      <c r="C42" s="25"/>
      <c r="D42" s="25"/>
      <c r="E42" s="25"/>
      <c r="F42" s="25"/>
      <c r="G42" s="25"/>
      <c r="H42" s="104"/>
      <c r="I42" s="105"/>
      <c r="J42" s="26"/>
      <c r="K42" s="26"/>
      <c r="L42" s="26"/>
      <c r="M42" s="26"/>
      <c r="N42" s="27"/>
      <c r="O42" s="26"/>
    </row>
    <row r="43" spans="1:15" ht="16.899999999999999" customHeight="1" x14ac:dyDescent="0.25">
      <c r="A43" s="107" t="s">
        <v>23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26"/>
      <c r="M43" s="26"/>
      <c r="N43" s="27"/>
      <c r="O43" s="26"/>
    </row>
    <row r="44" spans="1:15" ht="13.9" customHeight="1" x14ac:dyDescent="0.25">
      <c r="A44" s="37" t="s">
        <v>17</v>
      </c>
      <c r="B44" s="95"/>
      <c r="C44" s="31"/>
      <c r="D44" s="32"/>
      <c r="E44" s="32"/>
      <c r="F44" s="33"/>
      <c r="G44" s="34"/>
      <c r="H44" s="35"/>
      <c r="I44" s="36"/>
      <c r="J44" s="28"/>
      <c r="K44" s="28"/>
      <c r="L44" s="28"/>
      <c r="M44" s="28"/>
      <c r="N44" s="29"/>
      <c r="O44" s="28"/>
    </row>
    <row r="45" spans="1:15" ht="15.6" customHeight="1" x14ac:dyDescent="0.25">
      <c r="A45" s="30"/>
      <c r="B45" s="96"/>
      <c r="C45" s="31"/>
      <c r="D45" s="32"/>
      <c r="E45" s="32"/>
      <c r="F45" s="38"/>
      <c r="G45" s="34">
        <f>SUM(24-E45)</f>
        <v>24</v>
      </c>
      <c r="H45" s="35">
        <f>SUM(D45+F45)</f>
        <v>0</v>
      </c>
      <c r="I45" s="36">
        <f>SUM(D45/24*E45+H45/24*G45)</f>
        <v>0</v>
      </c>
      <c r="J45" s="28"/>
      <c r="K45" s="28"/>
      <c r="L45" s="28"/>
      <c r="M45" s="28"/>
      <c r="N45" s="29"/>
    </row>
    <row r="46" spans="1:15" x14ac:dyDescent="0.25">
      <c r="A46" s="30"/>
      <c r="B46" s="96"/>
      <c r="C46" s="31"/>
      <c r="D46" s="32"/>
      <c r="E46" s="32"/>
      <c r="F46" s="38"/>
      <c r="G46" s="34">
        <f>SUM(24-E46)</f>
        <v>24</v>
      </c>
      <c r="H46" s="35">
        <f>SUM(D46+F46)</f>
        <v>0</v>
      </c>
      <c r="I46" s="36">
        <f>SUM(D46/24*E46+H46/24*G46)</f>
        <v>0</v>
      </c>
      <c r="J46" s="28"/>
      <c r="K46" s="28"/>
      <c r="L46" s="28"/>
      <c r="M46" s="28"/>
      <c r="N46" s="29"/>
    </row>
    <row r="47" spans="1:15" x14ac:dyDescent="0.25">
      <c r="A47" s="30"/>
      <c r="B47" s="96"/>
      <c r="C47" s="31"/>
      <c r="D47" s="32"/>
      <c r="E47" s="32"/>
      <c r="F47" s="38"/>
      <c r="G47" s="34">
        <f>SUM(24-E47)</f>
        <v>24</v>
      </c>
      <c r="H47" s="35">
        <f>SUM(D47+F47)</f>
        <v>0</v>
      </c>
      <c r="I47" s="36">
        <f>SUM(D47/24*E47+H47/24*G47)</f>
        <v>0</v>
      </c>
      <c r="J47" s="28"/>
      <c r="K47" s="28"/>
      <c r="L47" s="28"/>
      <c r="M47" s="28"/>
      <c r="N47" s="29"/>
    </row>
    <row r="48" spans="1:15" x14ac:dyDescent="0.25">
      <c r="A48" s="30"/>
      <c r="B48" s="96"/>
      <c r="C48" s="31"/>
      <c r="D48" s="32"/>
      <c r="E48" s="32"/>
      <c r="F48" s="38"/>
      <c r="G48" s="34">
        <f>SUM(24-E48)</f>
        <v>24</v>
      </c>
      <c r="H48" s="35">
        <f>SUM(D48+F48)</f>
        <v>0</v>
      </c>
      <c r="I48" s="36">
        <f>SUM(D48/24*E48+H48/24*G48)</f>
        <v>0</v>
      </c>
      <c r="J48" s="28"/>
      <c r="K48" s="28"/>
      <c r="L48" s="28"/>
      <c r="M48" s="28"/>
      <c r="N48" s="29"/>
    </row>
    <row r="49" spans="1:15" x14ac:dyDescent="0.25">
      <c r="A49" s="30"/>
      <c r="B49" s="96"/>
      <c r="C49" s="31"/>
      <c r="D49" s="32"/>
      <c r="E49" s="32"/>
      <c r="F49" s="38"/>
      <c r="G49" s="34">
        <f>SUM(24-E49)</f>
        <v>24</v>
      </c>
      <c r="H49" s="35">
        <f>SUM(D49+F49)</f>
        <v>0</v>
      </c>
      <c r="I49" s="36">
        <f>SUM(D49/24*E49+H49/24*G49)</f>
        <v>0</v>
      </c>
      <c r="J49" s="28"/>
      <c r="K49" s="28"/>
      <c r="L49" s="28"/>
      <c r="M49" s="28"/>
      <c r="N49" s="29"/>
    </row>
    <row r="50" spans="1:15" x14ac:dyDescent="0.25">
      <c r="A50" s="39"/>
      <c r="B50" s="39"/>
      <c r="C50" s="40"/>
      <c r="D50" s="40"/>
      <c r="E50" s="40"/>
      <c r="F50" s="40"/>
      <c r="G50" s="40"/>
      <c r="H50" s="41"/>
      <c r="I50" s="28"/>
      <c r="J50" s="28"/>
      <c r="K50" s="28"/>
      <c r="L50" s="28"/>
      <c r="M50" s="28"/>
      <c r="N50" s="29"/>
    </row>
    <row r="51" spans="1:15" ht="13.15" customHeight="1" thickBot="1" x14ac:dyDescent="0.3">
      <c r="A51" s="42" t="s">
        <v>18</v>
      </c>
      <c r="B51" s="42"/>
      <c r="C51" s="42"/>
      <c r="D51" s="42"/>
      <c r="E51" s="42"/>
      <c r="F51" s="43"/>
      <c r="G51" s="44"/>
      <c r="H51" s="41"/>
      <c r="I51" s="28"/>
      <c r="J51" s="28"/>
      <c r="K51" s="28"/>
      <c r="L51" s="28"/>
      <c r="M51" s="28"/>
      <c r="N51" s="29"/>
      <c r="O51" s="28"/>
    </row>
    <row r="52" spans="1:15" ht="26.25" x14ac:dyDescent="0.25">
      <c r="A52" s="45" t="s">
        <v>19</v>
      </c>
      <c r="B52" s="97"/>
      <c r="C52" s="46" t="s">
        <v>13</v>
      </c>
      <c r="D52" s="47" t="s">
        <v>14</v>
      </c>
      <c r="E52" s="47" t="s">
        <v>15</v>
      </c>
      <c r="F52" s="48" t="s">
        <v>16</v>
      </c>
      <c r="G52" s="49" t="s">
        <v>20</v>
      </c>
      <c r="H52" s="50"/>
      <c r="I52" s="51"/>
      <c r="J52" s="52"/>
      <c r="K52" s="52"/>
      <c r="L52" s="28"/>
      <c r="M52" s="28"/>
      <c r="N52" s="29"/>
      <c r="O52" s="28"/>
    </row>
    <row r="53" spans="1:15" ht="15.75" x14ac:dyDescent="0.25">
      <c r="A53" s="53"/>
      <c r="B53" s="98"/>
      <c r="C53" s="54"/>
      <c r="D53" s="55"/>
      <c r="E53" s="56"/>
      <c r="F53" s="57"/>
      <c r="G53" s="58"/>
      <c r="H53" s="59"/>
      <c r="I53" s="60"/>
      <c r="J53" s="61"/>
      <c r="K53" s="61"/>
    </row>
    <row r="54" spans="1:15" x14ac:dyDescent="0.25">
      <c r="A54" s="62"/>
      <c r="B54" s="99"/>
      <c r="C54" s="63"/>
      <c r="D54" s="64"/>
      <c r="E54" s="56"/>
      <c r="F54" s="65"/>
      <c r="G54" s="66"/>
      <c r="H54" s="59"/>
      <c r="I54" s="60"/>
    </row>
    <row r="55" spans="1:15" x14ac:dyDescent="0.25">
      <c r="A55" s="62"/>
      <c r="B55" s="99"/>
      <c r="C55" s="63"/>
      <c r="D55" s="64"/>
      <c r="E55" s="56"/>
      <c r="F55" s="67"/>
      <c r="G55" s="66"/>
      <c r="H55" s="59"/>
      <c r="I55" s="60"/>
    </row>
    <row r="56" spans="1:15" x14ac:dyDescent="0.25">
      <c r="A56" s="62"/>
      <c r="B56" s="99"/>
      <c r="C56" s="63"/>
      <c r="D56" s="64"/>
      <c r="E56" s="56"/>
      <c r="F56" s="67"/>
      <c r="G56" s="66"/>
      <c r="H56" s="59"/>
      <c r="I56" s="60"/>
    </row>
    <row r="57" spans="1:15" ht="15.75" thickBot="1" x14ac:dyDescent="0.3">
      <c r="A57" s="68"/>
      <c r="B57" s="100"/>
      <c r="C57" s="69"/>
      <c r="D57" s="70"/>
      <c r="E57" s="71"/>
      <c r="F57" s="70"/>
      <c r="G57" s="72"/>
      <c r="H57" s="59"/>
      <c r="I57" s="60"/>
    </row>
    <row r="58" spans="1:15" ht="26.25" thickBot="1" x14ac:dyDescent="0.3">
      <c r="A58" s="108" t="s">
        <v>21</v>
      </c>
      <c r="B58" s="109"/>
      <c r="C58" s="109"/>
      <c r="D58" s="110"/>
      <c r="E58" s="73">
        <f>SUM(E53:E57)</f>
        <v>0</v>
      </c>
      <c r="F58" s="74" t="s">
        <v>22</v>
      </c>
      <c r="G58" s="75">
        <f>SUM(G53:G57)</f>
        <v>0</v>
      </c>
      <c r="H58" s="76"/>
      <c r="I58" s="77"/>
      <c r="J58" s="78"/>
      <c r="K58" s="78"/>
    </row>
    <row r="59" spans="1:15" s="78" customFormat="1" ht="30" customHeight="1" x14ac:dyDescent="0.25">
      <c r="A59" s="108" t="s">
        <v>21</v>
      </c>
      <c r="B59" s="109"/>
      <c r="C59" s="109"/>
      <c r="D59" s="110"/>
      <c r="E59" s="73">
        <f>SUM(E54:E58)</f>
        <v>0</v>
      </c>
      <c r="F59" s="74" t="s">
        <v>22</v>
      </c>
      <c r="G59" s="75">
        <f>SUM(G54:G58)</f>
        <v>0</v>
      </c>
      <c r="H59" s="76"/>
      <c r="I59" s="77"/>
    </row>
  </sheetData>
  <mergeCells count="5">
    <mergeCell ref="A59:D59"/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Sep 2023</vt:lpstr>
      <vt:lpstr>Aug 2023</vt:lpstr>
      <vt:lpstr>Jul 2023</vt:lpstr>
      <vt:lpstr>Jun 2023</vt:lpstr>
      <vt:lpstr>May 2023</vt:lpstr>
      <vt:lpstr>Apr 2023</vt:lpstr>
      <vt:lpstr>Mar 2023</vt:lpstr>
      <vt:lpstr>Feb 2023</vt:lpstr>
      <vt:lpstr>Jan 2023</vt:lpstr>
      <vt:lpstr>Dec 2022</vt:lpstr>
      <vt:lpstr>Nov 2022</vt:lpstr>
      <vt:lpstr>Oct 2022</vt:lpstr>
      <vt:lpstr>'Apr 2023'!Print_Area</vt:lpstr>
      <vt:lpstr>'Aug 2023'!Print_Area</vt:lpstr>
      <vt:lpstr>'Dec 2022'!Print_Area</vt:lpstr>
      <vt:lpstr>'Feb 2023'!Print_Area</vt:lpstr>
      <vt:lpstr>'Jan 2023'!Print_Area</vt:lpstr>
      <vt:lpstr>'Jul 2023'!Print_Area</vt:lpstr>
      <vt:lpstr>'Jun 2023'!Print_Area</vt:lpstr>
      <vt:lpstr>'Mar 2023'!Print_Area</vt:lpstr>
      <vt:lpstr>'Nov 2022'!Print_Area</vt:lpstr>
      <vt:lpstr>'Oct 2022'!Print_Area</vt:lpstr>
      <vt:lpstr>'Sep 2023'!Print_Area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Mark Thomson</cp:lastModifiedBy>
  <cp:lastPrinted>2023-01-05T19:43:32Z</cp:lastPrinted>
  <dcterms:created xsi:type="dcterms:W3CDTF">2010-05-21T17:05:57Z</dcterms:created>
  <dcterms:modified xsi:type="dcterms:W3CDTF">2023-10-02T16:14:56Z</dcterms:modified>
</cp:coreProperties>
</file>